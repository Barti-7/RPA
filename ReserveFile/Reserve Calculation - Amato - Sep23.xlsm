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24226"/>
  <mc:AlternateContent xmlns:mc="http://schemas.openxmlformats.org/markup-compatibility/2006">
    <mc:Choice Requires="x15">
      <x15ac:absPath xmlns:x15ac="http://schemas.microsoft.com/office/spreadsheetml/2010/11/ac" url="G:\Finance\Common\2023 me\Amato\09 September\"/>
    </mc:Choice>
  </mc:AlternateContent>
  <xr:revisionPtr revIDLastSave="0" documentId="13_ncr:1_{D4A9B9F7-276A-4942-999F-03A468C22548}" xr6:coauthVersionLast="47" xr6:coauthVersionMax="47" xr10:uidLastSave="{00000000-0000-0000-0000-000000000000}"/>
  <bookViews>
    <workbookView xWindow="25080" yWindow="-120" windowWidth="25440" windowHeight="15990" tabRatio="811" xr2:uid="{00000000-000D-0000-FFFF-FFFF00000000}"/>
  </bookViews>
  <sheets>
    <sheet name="Company Summary" sheetId="1" r:id="rId1"/>
    <sheet name="Creve Coeur" sheetId="2" r:id="rId2"/>
    <sheet name="SSOR Summary Unposted Money" sheetId="6" state="hidden" r:id="rId3"/>
    <sheet name="CWE" sheetId="28" r:id="rId4"/>
    <sheet name="Clinic 3" sheetId="29" state="hidden" r:id="rId5"/>
    <sheet name="Clinic 4" sheetId="30" state="hidden" r:id="rId6"/>
    <sheet name="Clinic 5" sheetId="31" state="hidden" r:id="rId7"/>
    <sheet name="Clinic 6" sheetId="32" state="hidden" r:id="rId8"/>
    <sheet name="Clinic 7" sheetId="33" state="hidden" r:id="rId9"/>
    <sheet name="Clinic 8" sheetId="34" state="hidden" r:id="rId10"/>
    <sheet name="Clinic 9" sheetId="36" state="hidden" r:id="rId11"/>
    <sheet name="Clinic 10" sheetId="38" state="hidden" r:id="rId12"/>
    <sheet name="Clinic 11" sheetId="39" state="hidden" r:id="rId13"/>
    <sheet name="Clinic 12" sheetId="41" state="hidden" r:id="rId14"/>
    <sheet name="Clinic 13" sheetId="37" state="hidden" r:id="rId15"/>
    <sheet name="Clinic 14" sheetId="35" state="hidden" r:id="rId16"/>
    <sheet name="Clinic 15" sheetId="40" state="hidden" r:id="rId17"/>
    <sheet name="Reimbursement Rates &lt;-INPUT" sheetId="8" r:id="rId18"/>
    <sheet name="Agile AR Aging &lt;-INPUT" sheetId="16" r:id="rId19"/>
    <sheet name="RF by Location &lt;-INPUT" sheetId="13" r:id="rId20"/>
    <sheet name="RF by Payor &lt;-INPUT" sheetId="18" r:id="rId21"/>
    <sheet name="Bad Debt Detail &lt;-INPUT" sheetId="19" r:id="rId22"/>
    <sheet name="Credit Bal Entry" sheetId="23" r:id="rId23"/>
    <sheet name="Summary Cash Entry" sheetId="72" r:id="rId24"/>
    <sheet name="CC Cash Entry" sheetId="17" state="hidden" r:id="rId25"/>
    <sheet name="Summary Rev Entry" sheetId="76" r:id="rId26"/>
    <sheet name="CC Rev Entry" sheetId="9" state="hidden" r:id="rId27"/>
    <sheet name="CWE Rev Entry" sheetId="42" state="hidden" r:id="rId28"/>
    <sheet name="CurrentMonthTransactionData" sheetId="74" r:id="rId29"/>
    <sheet name="CurrentMonthAgingData" sheetId="73" r:id="rId30"/>
    <sheet name="CWE Cash Entry" sheetId="43" state="hidden" r:id="rId31"/>
    <sheet name="Clinic 3 1-16 Rev Entry" sheetId="45" state="hidden" r:id="rId32"/>
    <sheet name="Clinic 3 1-16 Cash Entry" sheetId="44" state="hidden" r:id="rId33"/>
    <sheet name="Clinic 4 1-16 Rev Entry" sheetId="46" state="hidden" r:id="rId34"/>
    <sheet name="Clinic 4 1-16 Cash Entry" sheetId="48" state="hidden" r:id="rId35"/>
    <sheet name="Clinic 5 1-16 Rev Entry" sheetId="49" state="hidden" r:id="rId36"/>
    <sheet name="Clinic 5 1-16 Cash Entry" sheetId="50" state="hidden" r:id="rId37"/>
    <sheet name="Clinic 6 1-16 Rev Entry" sheetId="51" state="hidden" r:id="rId38"/>
    <sheet name="Clinic 6 1-16 Cash Entry" sheetId="52" state="hidden" r:id="rId39"/>
    <sheet name="Clinic 7 1-16 Rev Entry" sheetId="53" state="hidden" r:id="rId40"/>
    <sheet name="Clinic 7 1-16 Cash Entry" sheetId="54" state="hidden" r:id="rId41"/>
    <sheet name="Clinic 8 1-16 Rev Entry" sheetId="55" state="hidden" r:id="rId42"/>
    <sheet name="Clinic 8 1-16 Cash Entry" sheetId="56" state="hidden" r:id="rId43"/>
    <sheet name="Clinic 9 1-16 Rev Entry" sheetId="57" state="hidden" r:id="rId44"/>
    <sheet name="Clinic 9 1-16 Cash Entry" sheetId="58" state="hidden" r:id="rId45"/>
    <sheet name="Clinic 10 1-16 Rev Entry" sheetId="59" state="hidden" r:id="rId46"/>
    <sheet name="Clinic 10 1-16 Cash Entry" sheetId="60" state="hidden" r:id="rId47"/>
    <sheet name="Clinic 11 1-16 Rev Entry" sheetId="61" state="hidden" r:id="rId48"/>
    <sheet name="Clinic 11 1-16 Cash Entry" sheetId="62" state="hidden" r:id="rId49"/>
    <sheet name="Clinic 12 1-16 Rev Entry" sheetId="63" state="hidden" r:id="rId50"/>
    <sheet name="Clinic 12 1-16 Cash Entry" sheetId="64" state="hidden" r:id="rId51"/>
    <sheet name="Clinic 13 1-16 Rev Entry" sheetId="65" state="hidden" r:id="rId52"/>
    <sheet name="Clinic 13 1-16 Cash Entry" sheetId="66" state="hidden" r:id="rId53"/>
    <sheet name="Clinic 14 1-16 Rev Entry" sheetId="67" state="hidden" r:id="rId54"/>
    <sheet name="Clinic 14 1-16 Cash Entry" sheetId="68" state="hidden" r:id="rId55"/>
    <sheet name="Clinic 15 1-16 Rev Entry" sheetId="69" state="hidden" r:id="rId56"/>
    <sheet name="Clinic 15 1-16 Cash Entry" sheetId="70" state="hidden" r:id="rId57"/>
  </sheets>
  <externalReferences>
    <externalReference r:id="rId58"/>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P3" i="74" l="1"/>
  <c r="AP2" i="74"/>
  <c r="J32" i="28"/>
  <c r="J32" i="2"/>
  <c r="I32" i="28"/>
  <c r="I32" i="2"/>
  <c r="H32" i="28"/>
  <c r="H32" i="2"/>
  <c r="G32" i="28"/>
  <c r="G32" i="2"/>
  <c r="F32" i="28"/>
  <c r="F32" i="2"/>
  <c r="E32" i="28"/>
  <c r="E32" i="2"/>
  <c r="D32" i="28"/>
  <c r="D32" i="2"/>
  <c r="J40" i="2"/>
  <c r="I40" i="2"/>
  <c r="H40" i="2"/>
  <c r="G40" i="2"/>
  <c r="F40" i="2"/>
  <c r="E40" i="2"/>
  <c r="D40" i="2"/>
  <c r="D40" i="28"/>
  <c r="J30" i="2"/>
  <c r="I44" i="2"/>
  <c r="I43" i="2"/>
  <c r="I42" i="2"/>
  <c r="I41" i="2"/>
  <c r="I39" i="2"/>
  <c r="I38" i="2"/>
  <c r="I37" i="2"/>
  <c r="I36" i="2"/>
  <c r="I35" i="2"/>
  <c r="I34" i="2"/>
  <c r="I33" i="2"/>
  <c r="I31" i="2"/>
  <c r="I30" i="2"/>
  <c r="I29" i="2"/>
  <c r="I28" i="2"/>
  <c r="H44" i="2"/>
  <c r="H43" i="2"/>
  <c r="H42" i="2"/>
  <c r="H41" i="2"/>
  <c r="H39" i="2"/>
  <c r="H38" i="2"/>
  <c r="H37" i="2"/>
  <c r="H36" i="2"/>
  <c r="H35" i="2"/>
  <c r="H34" i="2"/>
  <c r="H33" i="2"/>
  <c r="H31" i="2"/>
  <c r="H30" i="2"/>
  <c r="H29" i="2"/>
  <c r="H28" i="2"/>
  <c r="G44" i="2"/>
  <c r="G43" i="2"/>
  <c r="G42" i="2"/>
  <c r="G41" i="2"/>
  <c r="G39" i="2"/>
  <c r="G38" i="2"/>
  <c r="G37" i="2"/>
  <c r="G36" i="2"/>
  <c r="G35" i="2"/>
  <c r="G34" i="2"/>
  <c r="G33" i="2"/>
  <c r="G31" i="2"/>
  <c r="G30" i="2"/>
  <c r="G29" i="2"/>
  <c r="G28" i="2"/>
  <c r="F44" i="2"/>
  <c r="F43" i="2"/>
  <c r="F42" i="2"/>
  <c r="F41" i="2"/>
  <c r="F39" i="2"/>
  <c r="F38" i="2"/>
  <c r="F37" i="2"/>
  <c r="F36" i="2"/>
  <c r="F35" i="2"/>
  <c r="F34" i="2"/>
  <c r="F33" i="2"/>
  <c r="F31" i="2"/>
  <c r="F30" i="2"/>
  <c r="F29" i="2"/>
  <c r="F28" i="2"/>
  <c r="E44" i="2"/>
  <c r="E43" i="2"/>
  <c r="E42" i="2"/>
  <c r="E41" i="2"/>
  <c r="E39" i="2"/>
  <c r="E38" i="2"/>
  <c r="E37" i="2"/>
  <c r="E36" i="2"/>
  <c r="E35" i="2"/>
  <c r="E34" i="2"/>
  <c r="E33" i="2"/>
  <c r="E31" i="2"/>
  <c r="E30" i="2"/>
  <c r="E29" i="2"/>
  <c r="E28" i="2"/>
  <c r="D44" i="2"/>
  <c r="D43" i="2"/>
  <c r="D42" i="2"/>
  <c r="D41" i="2"/>
  <c r="D39" i="2"/>
  <c r="D38" i="2"/>
  <c r="D37" i="2"/>
  <c r="D36" i="2"/>
  <c r="D35" i="2"/>
  <c r="D34" i="2"/>
  <c r="D33" i="2"/>
  <c r="D31" i="2"/>
  <c r="D30" i="2"/>
  <c r="D29" i="2"/>
  <c r="D28" i="2"/>
  <c r="J42" i="2"/>
  <c r="J43" i="2"/>
  <c r="J44" i="2"/>
  <c r="J41" i="2"/>
  <c r="J29" i="2"/>
  <c r="J31" i="2"/>
  <c r="J33" i="2"/>
  <c r="J34" i="2"/>
  <c r="J35" i="2"/>
  <c r="J36" i="2"/>
  <c r="J37" i="2"/>
  <c r="J38" i="2"/>
  <c r="J39" i="2"/>
  <c r="J28" i="2"/>
  <c r="K43" i="2"/>
  <c r="K38" i="2"/>
  <c r="K31" i="28"/>
  <c r="K33" i="28"/>
  <c r="K36" i="28"/>
  <c r="J40" i="28"/>
  <c r="I40" i="28"/>
  <c r="H40" i="28"/>
  <c r="G40" i="28"/>
  <c r="F40" i="28"/>
  <c r="E40" i="28"/>
  <c r="E28" i="28"/>
  <c r="F28" i="28"/>
  <c r="G28" i="28"/>
  <c r="H28" i="28"/>
  <c r="I28" i="28"/>
  <c r="J28" i="28"/>
  <c r="E29" i="28"/>
  <c r="F29" i="28"/>
  <c r="G29" i="28"/>
  <c r="H29" i="28"/>
  <c r="I29" i="28"/>
  <c r="J29" i="28"/>
  <c r="E30" i="28"/>
  <c r="F30" i="28"/>
  <c r="G30" i="28"/>
  <c r="H30" i="28"/>
  <c r="I30" i="28"/>
  <c r="J30" i="28"/>
  <c r="E31" i="28"/>
  <c r="F31" i="28"/>
  <c r="G31" i="28"/>
  <c r="H31" i="28"/>
  <c r="I31" i="28"/>
  <c r="J31" i="28"/>
  <c r="E33" i="28"/>
  <c r="F33" i="28"/>
  <c r="G33" i="28"/>
  <c r="H33" i="28"/>
  <c r="I33" i="28"/>
  <c r="J33" i="28"/>
  <c r="E34" i="28"/>
  <c r="F34" i="28"/>
  <c r="G34" i="28"/>
  <c r="H34" i="28"/>
  <c r="I34" i="28"/>
  <c r="J34" i="28"/>
  <c r="E35" i="28"/>
  <c r="F35" i="28"/>
  <c r="G35" i="28"/>
  <c r="H35" i="28"/>
  <c r="I35" i="28"/>
  <c r="J35" i="28"/>
  <c r="E36" i="28"/>
  <c r="F36" i="28"/>
  <c r="G36" i="28"/>
  <c r="H36" i="28"/>
  <c r="I36" i="28"/>
  <c r="J36" i="28"/>
  <c r="E37" i="28"/>
  <c r="F37" i="28"/>
  <c r="G37" i="28"/>
  <c r="H37" i="28"/>
  <c r="I37" i="28"/>
  <c r="J37" i="28"/>
  <c r="E38" i="28"/>
  <c r="F38" i="28"/>
  <c r="G38" i="28"/>
  <c r="H38" i="28"/>
  <c r="I38" i="28"/>
  <c r="J38" i="28"/>
  <c r="E39" i="28"/>
  <c r="F39" i="28"/>
  <c r="G39" i="28"/>
  <c r="H39" i="28"/>
  <c r="I39" i="28"/>
  <c r="J39" i="28"/>
  <c r="E41" i="28"/>
  <c r="F41" i="28"/>
  <c r="G41" i="28"/>
  <c r="H41" i="28"/>
  <c r="I41" i="28"/>
  <c r="J41" i="28"/>
  <c r="E42" i="28"/>
  <c r="F42" i="28"/>
  <c r="G42" i="28"/>
  <c r="H42" i="28"/>
  <c r="I42" i="28"/>
  <c r="J42" i="28"/>
  <c r="E43" i="28"/>
  <c r="F43" i="28"/>
  <c r="G43" i="28"/>
  <c r="H43" i="28"/>
  <c r="I43" i="28"/>
  <c r="J43" i="28"/>
  <c r="E44" i="28"/>
  <c r="F44" i="28"/>
  <c r="G44" i="28"/>
  <c r="H44" i="28"/>
  <c r="I44" i="28"/>
  <c r="J44" i="28"/>
  <c r="D44" i="28"/>
  <c r="D42" i="28"/>
  <c r="D43" i="28"/>
  <c r="D41" i="28"/>
  <c r="D29" i="28"/>
  <c r="D30" i="28"/>
  <c r="D31" i="28"/>
  <c r="D33" i="28"/>
  <c r="D34" i="28"/>
  <c r="D35" i="28"/>
  <c r="D36" i="28"/>
  <c r="D37" i="28"/>
  <c r="D38" i="28"/>
  <c r="D39" i="28"/>
  <c r="D28" i="28"/>
  <c r="I45" i="2" l="1"/>
  <c r="H45" i="2"/>
  <c r="G45" i="2"/>
  <c r="F45" i="2"/>
  <c r="E45" i="2"/>
  <c r="J45" i="2"/>
  <c r="L43" i="2"/>
  <c r="L38" i="2"/>
  <c r="D45" i="28"/>
  <c r="D45" i="2"/>
  <c r="BE2" i="73" l="1"/>
  <c r="BE3" i="73"/>
  <c r="BE4" i="73"/>
  <c r="BE5" i="73"/>
  <c r="BE6" i="73"/>
  <c r="BE7" i="73"/>
  <c r="BE8" i="73"/>
  <c r="BE9" i="73"/>
  <c r="BE10" i="73"/>
  <c r="BE11" i="73"/>
  <c r="BE12" i="73"/>
  <c r="BE13" i="73"/>
  <c r="BE14" i="73"/>
  <c r="BE15" i="73"/>
  <c r="BE16" i="73"/>
  <c r="BE17" i="73"/>
  <c r="BE18" i="73"/>
  <c r="BE19" i="73"/>
  <c r="BE20" i="73"/>
  <c r="BE21" i="73"/>
  <c r="BE22" i="73"/>
  <c r="BE23" i="73"/>
  <c r="BE24" i="73"/>
  <c r="BE25" i="73"/>
  <c r="BE26" i="73"/>
  <c r="BE27" i="73"/>
  <c r="BE28" i="73"/>
  <c r="BE29" i="73"/>
  <c r="BE30" i="73"/>
  <c r="BE31" i="73"/>
  <c r="BE32" i="73"/>
  <c r="BE33" i="73"/>
  <c r="BE34" i="73"/>
  <c r="BE35" i="73"/>
  <c r="BE36" i="73"/>
  <c r="BE37" i="73"/>
  <c r="BE38" i="73"/>
  <c r="BE39" i="73"/>
  <c r="BE40" i="73"/>
  <c r="BE41" i="73"/>
  <c r="BE42" i="73"/>
  <c r="BE43" i="73"/>
  <c r="BE44" i="73"/>
  <c r="BE45" i="73"/>
  <c r="BE46" i="73"/>
  <c r="BE47" i="73"/>
  <c r="BE48" i="73"/>
  <c r="BE49" i="73"/>
  <c r="BE50" i="73"/>
  <c r="BE51" i="73"/>
  <c r="BE52" i="73"/>
  <c r="BE53" i="73"/>
  <c r="BE54" i="73"/>
  <c r="BE55" i="73"/>
  <c r="BE56" i="73"/>
  <c r="BE57" i="73"/>
  <c r="BE58" i="73"/>
  <c r="BE59" i="73"/>
  <c r="BE60" i="73"/>
  <c r="BE61" i="73"/>
  <c r="BE62" i="73"/>
  <c r="BE63" i="73"/>
  <c r="BE64" i="73"/>
  <c r="BE65" i="73"/>
  <c r="BE66" i="73"/>
  <c r="BE67" i="73"/>
  <c r="BE68" i="73"/>
  <c r="BE69" i="73"/>
  <c r="BE70" i="73"/>
  <c r="BE71" i="73"/>
  <c r="BE72" i="73"/>
  <c r="BE73" i="73"/>
  <c r="BE74" i="73"/>
  <c r="BE75" i="73"/>
  <c r="BE76" i="73"/>
  <c r="BE77" i="73"/>
  <c r="BE78" i="73"/>
  <c r="BE79" i="73"/>
  <c r="BE80" i="73"/>
  <c r="BE81" i="73"/>
  <c r="BE82" i="73"/>
  <c r="BE83" i="73"/>
  <c r="BE84" i="73"/>
  <c r="BE85" i="73"/>
  <c r="BE86" i="73"/>
  <c r="BE87" i="73"/>
  <c r="BE88" i="73"/>
  <c r="BE89" i="73"/>
  <c r="BE90" i="73"/>
  <c r="BE91" i="73"/>
  <c r="BE92" i="73"/>
  <c r="BE93" i="73"/>
  <c r="BE94" i="73"/>
  <c r="BE95" i="73"/>
  <c r="BE96" i="73"/>
  <c r="BE97" i="73"/>
  <c r="BE98" i="73"/>
  <c r="BE99" i="73"/>
  <c r="BE100" i="73"/>
  <c r="BE101" i="73"/>
  <c r="BE102" i="73"/>
  <c r="BE103" i="73"/>
  <c r="BE104" i="73"/>
  <c r="BE105" i="73"/>
  <c r="BE106" i="73"/>
  <c r="BE107" i="73"/>
  <c r="BE108" i="73"/>
  <c r="BE109" i="73"/>
  <c r="BE110" i="73"/>
  <c r="BE111" i="73"/>
  <c r="BE112" i="73"/>
  <c r="BE113" i="73"/>
  <c r="BE114" i="73"/>
  <c r="BE115" i="73"/>
  <c r="BE116" i="73"/>
  <c r="BE117" i="73"/>
  <c r="BE118" i="73"/>
  <c r="BE119" i="73"/>
  <c r="BE120" i="73"/>
  <c r="BE121" i="73"/>
  <c r="BE122" i="73"/>
  <c r="BE123" i="73"/>
  <c r="BE124" i="73"/>
  <c r="BE125" i="73"/>
  <c r="BE126" i="73"/>
  <c r="BE127" i="73"/>
  <c r="BE128" i="73"/>
  <c r="BE129" i="73"/>
  <c r="BE130" i="73"/>
  <c r="BE131" i="73"/>
  <c r="BE132" i="73"/>
  <c r="BE133" i="73"/>
  <c r="BE134" i="73"/>
  <c r="BE135" i="73"/>
  <c r="BE136" i="73"/>
  <c r="BE137" i="73"/>
  <c r="BE138" i="73"/>
  <c r="BE139" i="73"/>
  <c r="BE140" i="73"/>
  <c r="BE141" i="73"/>
  <c r="BE142" i="73"/>
  <c r="BE143" i="73"/>
  <c r="BE144" i="73"/>
  <c r="BE145" i="73"/>
  <c r="BE146" i="73"/>
  <c r="BE147" i="73"/>
  <c r="BE148" i="73"/>
  <c r="BE149" i="73"/>
  <c r="BE150" i="73"/>
  <c r="BE151" i="73"/>
  <c r="BE152" i="73"/>
  <c r="BE153" i="73"/>
  <c r="BE154" i="73"/>
  <c r="BE155" i="73"/>
  <c r="BE156" i="73"/>
  <c r="BE157" i="73"/>
  <c r="BE158" i="73"/>
  <c r="BE159" i="73"/>
  <c r="BE160" i="73"/>
  <c r="BE161" i="73"/>
  <c r="BE162" i="73"/>
  <c r="BE163" i="73"/>
  <c r="BE164" i="73"/>
  <c r="BE165" i="73"/>
  <c r="BE166" i="73"/>
  <c r="BE167" i="73"/>
  <c r="BE168" i="73"/>
  <c r="BE169" i="73"/>
  <c r="BE170" i="73"/>
  <c r="BE171" i="73"/>
  <c r="BE172" i="73"/>
  <c r="BE173" i="73"/>
  <c r="BE174" i="73"/>
  <c r="BE175" i="73"/>
  <c r="BE176" i="73"/>
  <c r="BE177" i="73"/>
  <c r="BE178" i="73"/>
  <c r="BE179" i="73"/>
  <c r="BE180" i="73"/>
  <c r="BE181" i="73"/>
  <c r="BE182" i="73"/>
  <c r="BE183" i="73"/>
  <c r="BE184" i="73"/>
  <c r="BE185" i="73"/>
  <c r="BE186" i="73"/>
  <c r="BE187" i="73"/>
  <c r="BE188" i="73"/>
  <c r="BE189" i="73"/>
  <c r="BE190" i="73"/>
  <c r="BE191" i="73"/>
  <c r="BE192" i="73"/>
  <c r="BE193" i="73"/>
  <c r="BE194" i="73"/>
  <c r="BE195" i="73"/>
  <c r="BE196" i="73"/>
  <c r="BE197" i="73"/>
  <c r="BE198" i="73"/>
  <c r="BE199" i="73"/>
  <c r="BE200" i="73"/>
  <c r="BE201" i="73"/>
  <c r="BE202" i="73"/>
  <c r="BE203" i="73"/>
  <c r="BE204" i="73"/>
  <c r="BE205" i="73"/>
  <c r="BE206" i="73"/>
  <c r="BE207" i="73"/>
  <c r="BE208" i="73"/>
  <c r="BE209" i="73"/>
  <c r="BE210" i="73"/>
  <c r="BE211" i="73"/>
  <c r="BE212" i="73"/>
  <c r="BE213" i="73"/>
  <c r="BE214" i="73"/>
  <c r="BE215" i="73"/>
  <c r="BE216" i="73"/>
  <c r="BE217" i="73"/>
  <c r="BE218" i="73"/>
  <c r="BE219" i="73"/>
  <c r="BE220" i="73"/>
  <c r="BE221" i="73"/>
  <c r="BE222" i="73"/>
  <c r="BE223" i="73"/>
  <c r="BE224" i="73"/>
  <c r="BE225" i="73"/>
  <c r="BE226" i="73"/>
  <c r="BE227" i="73"/>
  <c r="BE228" i="73"/>
  <c r="BE229" i="73"/>
  <c r="BE230" i="73"/>
  <c r="BE231" i="73"/>
  <c r="BE232" i="73"/>
  <c r="BE233" i="73"/>
  <c r="BE234" i="73"/>
  <c r="BE235" i="73"/>
  <c r="BE236" i="73"/>
  <c r="BE237" i="73"/>
  <c r="BE238" i="73"/>
  <c r="BE239" i="73"/>
  <c r="BE240" i="73"/>
  <c r="BE241" i="73"/>
  <c r="BE242" i="73"/>
  <c r="BE243" i="73"/>
  <c r="BE244" i="73"/>
  <c r="BE245" i="73"/>
  <c r="BE246" i="73"/>
  <c r="BE247" i="73"/>
  <c r="BE248" i="73"/>
  <c r="BE249" i="73"/>
  <c r="BE250" i="73"/>
  <c r="BE251" i="73"/>
  <c r="BE252" i="73"/>
  <c r="BE253" i="73"/>
  <c r="BE254" i="73"/>
  <c r="BE255" i="73"/>
  <c r="BE256" i="73"/>
  <c r="BE257" i="73"/>
  <c r="BE258" i="73"/>
  <c r="BE259" i="73"/>
  <c r="BE260" i="73"/>
  <c r="BE261" i="73"/>
  <c r="BE262" i="73"/>
  <c r="BE263" i="73"/>
  <c r="BE264" i="73"/>
  <c r="BE265" i="73"/>
  <c r="BE266" i="73"/>
  <c r="BE267" i="73"/>
  <c r="BE268" i="73"/>
  <c r="BE269" i="73"/>
  <c r="BE270" i="73"/>
  <c r="BE271" i="73"/>
  <c r="BE272" i="73"/>
  <c r="BE273" i="73"/>
  <c r="BE274" i="73"/>
  <c r="BE275" i="73"/>
  <c r="BE276" i="73"/>
  <c r="BE277" i="73"/>
  <c r="BE278" i="73"/>
  <c r="BE279" i="73"/>
  <c r="BE280" i="73"/>
  <c r="BE281" i="73"/>
  <c r="BE282" i="73"/>
  <c r="BE283" i="73"/>
  <c r="BE284" i="73"/>
  <c r="BE285" i="73"/>
  <c r="BE286" i="73"/>
  <c r="BE287" i="73"/>
  <c r="BE288" i="73"/>
  <c r="BE289" i="73"/>
  <c r="BE290" i="73"/>
  <c r="BE291" i="73"/>
  <c r="BE292" i="73"/>
  <c r="BE293" i="73"/>
  <c r="BE294" i="73"/>
  <c r="BE295" i="73"/>
  <c r="BE296" i="73"/>
  <c r="BE297" i="73"/>
  <c r="BE298" i="73"/>
  <c r="BE299" i="73"/>
  <c r="BE300" i="73"/>
  <c r="BE301" i="73"/>
  <c r="BE302" i="73"/>
  <c r="BE303" i="73"/>
  <c r="BE304" i="73"/>
  <c r="BE305" i="73"/>
  <c r="BE306" i="73"/>
  <c r="BE307" i="73"/>
  <c r="BE308" i="73"/>
  <c r="BE309" i="73"/>
  <c r="BE310" i="73"/>
  <c r="BE311" i="73"/>
  <c r="BE312" i="73"/>
  <c r="BE313" i="73"/>
  <c r="BE314" i="73"/>
  <c r="BE315" i="73"/>
  <c r="BE316" i="73"/>
  <c r="BE317" i="73"/>
  <c r="BE318" i="73"/>
  <c r="BE319" i="73"/>
  <c r="BE320" i="73"/>
  <c r="BE321" i="73"/>
  <c r="BE322" i="73"/>
  <c r="BE323" i="73"/>
  <c r="BE324" i="73"/>
  <c r="BE325" i="73"/>
  <c r="BE326" i="73"/>
  <c r="BE327" i="73"/>
  <c r="BE328" i="73"/>
  <c r="BE329" i="73"/>
  <c r="BE330" i="73"/>
  <c r="BE331" i="73"/>
  <c r="BE332" i="73"/>
  <c r="BE333" i="73"/>
  <c r="BE334" i="73"/>
  <c r="BE335" i="73"/>
  <c r="BE336" i="73"/>
  <c r="BE337" i="73"/>
  <c r="BE338" i="73"/>
  <c r="BE339" i="73"/>
  <c r="BE340" i="73"/>
  <c r="BE341" i="73"/>
  <c r="BE342" i="73"/>
  <c r="BE343" i="73"/>
  <c r="BE344" i="73"/>
  <c r="BE345" i="73"/>
  <c r="BE346" i="73"/>
  <c r="BE347" i="73"/>
  <c r="BE348" i="73"/>
  <c r="BE349" i="73"/>
  <c r="BE350" i="73"/>
  <c r="BE351" i="73"/>
  <c r="BE352" i="73"/>
  <c r="BE353" i="73"/>
  <c r="BE354" i="73"/>
  <c r="BE355" i="73"/>
  <c r="BE356" i="73"/>
  <c r="BE357" i="73"/>
  <c r="BE358" i="73"/>
  <c r="BE359" i="73"/>
  <c r="BE360" i="73"/>
  <c r="BE361" i="73"/>
  <c r="BE362" i="73"/>
  <c r="BE363" i="73"/>
  <c r="BE364" i="73"/>
  <c r="BE365" i="73"/>
  <c r="BE366" i="73"/>
  <c r="BE367" i="73"/>
  <c r="BE368" i="73"/>
  <c r="BE369" i="73"/>
  <c r="BE370" i="73"/>
  <c r="BE371" i="73"/>
  <c r="BE372" i="73"/>
  <c r="BE373" i="73"/>
  <c r="BE374" i="73"/>
  <c r="BE375" i="73"/>
  <c r="BE376" i="73"/>
  <c r="BE377" i="73"/>
  <c r="BE378" i="73"/>
  <c r="BE379" i="73"/>
  <c r="BE380" i="73"/>
  <c r="BE381" i="73"/>
  <c r="BE382" i="73"/>
  <c r="BE383" i="73"/>
  <c r="BE384" i="73"/>
  <c r="BE385" i="73"/>
  <c r="BE386" i="73"/>
  <c r="BE387" i="73"/>
  <c r="BE388" i="73"/>
  <c r="BE389" i="73"/>
  <c r="BE390" i="73"/>
  <c r="BE391" i="73"/>
  <c r="BE392" i="73"/>
  <c r="BE393" i="73"/>
  <c r="BE394" i="73"/>
  <c r="BE395" i="73"/>
  <c r="BE396" i="73"/>
  <c r="BE397" i="73"/>
  <c r="BE398" i="73"/>
  <c r="BE399" i="73"/>
  <c r="BE400" i="73"/>
  <c r="BE401" i="73"/>
  <c r="BE402" i="73"/>
  <c r="BE403" i="73"/>
  <c r="BE404" i="73"/>
  <c r="BE405" i="73"/>
  <c r="BE406" i="73"/>
  <c r="BE407" i="73"/>
  <c r="BE408" i="73"/>
  <c r="BE409" i="73"/>
  <c r="BE410" i="73"/>
  <c r="BE411" i="73"/>
  <c r="BE412" i="73"/>
  <c r="BE413" i="73"/>
  <c r="BE414" i="73"/>
  <c r="BE415" i="73"/>
  <c r="BE416" i="73"/>
  <c r="BE417" i="73"/>
  <c r="BE418" i="73"/>
  <c r="BE419" i="73"/>
  <c r="BE420" i="73"/>
  <c r="BE421" i="73"/>
  <c r="BE422" i="73"/>
  <c r="BE423" i="73"/>
  <c r="BE424" i="73"/>
  <c r="BE425" i="73"/>
  <c r="BE426" i="73"/>
  <c r="BE427" i="73"/>
  <c r="BE428" i="73"/>
  <c r="BE429" i="73"/>
  <c r="BE430" i="73"/>
  <c r="BE431" i="73"/>
  <c r="BE432" i="73"/>
  <c r="BE433" i="73"/>
  <c r="BE434" i="73"/>
  <c r="BE435" i="73"/>
  <c r="BE436" i="73"/>
  <c r="BE437" i="73"/>
  <c r="BE438" i="73"/>
  <c r="BE439" i="73"/>
  <c r="BE440" i="73"/>
  <c r="BE441" i="73"/>
  <c r="BE442" i="73"/>
  <c r="BE443" i="73"/>
  <c r="BE444" i="73"/>
  <c r="BE445" i="73"/>
  <c r="BE446" i="73"/>
  <c r="BE447" i="73"/>
  <c r="BE448" i="73"/>
  <c r="BE449" i="73"/>
  <c r="BE450" i="73"/>
  <c r="BE451" i="73"/>
  <c r="BE452" i="73"/>
  <c r="BE453" i="73"/>
  <c r="BE454" i="73"/>
  <c r="BE455" i="73"/>
  <c r="BE456" i="73"/>
  <c r="BE457" i="73"/>
  <c r="BE458" i="73"/>
  <c r="BE459" i="73"/>
  <c r="BE460" i="73"/>
  <c r="BE461" i="73"/>
  <c r="BE462" i="73"/>
  <c r="BE463" i="73"/>
  <c r="BE464" i="73"/>
  <c r="BE465" i="73"/>
  <c r="BE466" i="73"/>
  <c r="BE467" i="73"/>
  <c r="BE468" i="73"/>
  <c r="BE469" i="73"/>
  <c r="BE470" i="73"/>
  <c r="BE471" i="73"/>
  <c r="BE472" i="73"/>
  <c r="BE473" i="73"/>
  <c r="BE474" i="73"/>
  <c r="BE475" i="73"/>
  <c r="BE476" i="73"/>
  <c r="BE477" i="73"/>
  <c r="BE478" i="73"/>
  <c r="BE479" i="73"/>
  <c r="BE480" i="73"/>
  <c r="BE481" i="73"/>
  <c r="BE482" i="73"/>
  <c r="BE483" i="73"/>
  <c r="BE484" i="73"/>
  <c r="BE485" i="73"/>
  <c r="BE486" i="73"/>
  <c r="BE487" i="73"/>
  <c r="BE488" i="73"/>
  <c r="BE489" i="73"/>
  <c r="BE490" i="73"/>
  <c r="BE491" i="73"/>
  <c r="BE492" i="73"/>
  <c r="BE493" i="73"/>
  <c r="BE494" i="73"/>
  <c r="BE495" i="73"/>
  <c r="BE496" i="73"/>
  <c r="BE497" i="73"/>
  <c r="BE498" i="73"/>
  <c r="BE499" i="73"/>
  <c r="BE500" i="73"/>
  <c r="BE501" i="73"/>
  <c r="BE502" i="73"/>
  <c r="BE503" i="73"/>
  <c r="BE504" i="73"/>
  <c r="BE505" i="73"/>
  <c r="BE506" i="73"/>
  <c r="BE507" i="73"/>
  <c r="BE508" i="73"/>
  <c r="BE509" i="73"/>
  <c r="BE510" i="73"/>
  <c r="BE511" i="73"/>
  <c r="BE512" i="73"/>
  <c r="BE513" i="73"/>
  <c r="BE514" i="73"/>
  <c r="BE515" i="73"/>
  <c r="BE516" i="73"/>
  <c r="BE517" i="73"/>
  <c r="BE518" i="73"/>
  <c r="BE519" i="73"/>
  <c r="BE520" i="73"/>
  <c r="BE521" i="73"/>
  <c r="BE522" i="73"/>
  <c r="BE523" i="73"/>
  <c r="BE524" i="73"/>
  <c r="BE525" i="73"/>
  <c r="BE526" i="73"/>
  <c r="BE527" i="73"/>
  <c r="BE528" i="73"/>
  <c r="BE529" i="73"/>
  <c r="BE530" i="73"/>
  <c r="BE531" i="73"/>
  <c r="BE532" i="73"/>
  <c r="BE533" i="73"/>
  <c r="BE534" i="73"/>
  <c r="BE535" i="73"/>
  <c r="BE536" i="73"/>
  <c r="BE537" i="73"/>
  <c r="BE538" i="73"/>
  <c r="BE539" i="73"/>
  <c r="BE540" i="73"/>
  <c r="BE541" i="73"/>
  <c r="BE542" i="73"/>
  <c r="BE543" i="73"/>
  <c r="BE544" i="73"/>
  <c r="BE545" i="73"/>
  <c r="BE546" i="73"/>
  <c r="BE547" i="73"/>
  <c r="BE548" i="73"/>
  <c r="BE549" i="73"/>
  <c r="BE550" i="73"/>
  <c r="BE551" i="73"/>
  <c r="BE552" i="73"/>
  <c r="BE553" i="73"/>
  <c r="BE554" i="73"/>
  <c r="BE555" i="73"/>
  <c r="BE556" i="73"/>
  <c r="BE557" i="73"/>
  <c r="BE558" i="73"/>
  <c r="BE559" i="73"/>
  <c r="BE560" i="73"/>
  <c r="BE561" i="73"/>
  <c r="BE562" i="73"/>
  <c r="BE563" i="73"/>
  <c r="BE564" i="73"/>
  <c r="BE565" i="73"/>
  <c r="BE566" i="73"/>
  <c r="BE567" i="73"/>
  <c r="BE568" i="73"/>
  <c r="BE569" i="73"/>
  <c r="BE570" i="73"/>
  <c r="BE571" i="73"/>
  <c r="BE572" i="73"/>
  <c r="BE573" i="73"/>
  <c r="BE574" i="73"/>
  <c r="BE575" i="73"/>
  <c r="BE576" i="73"/>
  <c r="BE577" i="73"/>
  <c r="BE578" i="73"/>
  <c r="BD2" i="73"/>
  <c r="BD3" i="73"/>
  <c r="BD4" i="73"/>
  <c r="BD5" i="73"/>
  <c r="BD6" i="73"/>
  <c r="BD7" i="73"/>
  <c r="BD8" i="73"/>
  <c r="BD9" i="73"/>
  <c r="BD10" i="73"/>
  <c r="BD11" i="73"/>
  <c r="BD12" i="73"/>
  <c r="BD13" i="73"/>
  <c r="BD14" i="73"/>
  <c r="BD15" i="73"/>
  <c r="BD16" i="73"/>
  <c r="BD17" i="73"/>
  <c r="BD18" i="73"/>
  <c r="BD19" i="73"/>
  <c r="BD20" i="73"/>
  <c r="BD21" i="73"/>
  <c r="BD22" i="73"/>
  <c r="BD23" i="73"/>
  <c r="BD24" i="73"/>
  <c r="BD25" i="73"/>
  <c r="BD26" i="73"/>
  <c r="BD27" i="73"/>
  <c r="BD28" i="73"/>
  <c r="BD29" i="73"/>
  <c r="BD30" i="73"/>
  <c r="BD31" i="73"/>
  <c r="BD32" i="73"/>
  <c r="BD33" i="73"/>
  <c r="BD34" i="73"/>
  <c r="BD35" i="73"/>
  <c r="BD36" i="73"/>
  <c r="BD37" i="73"/>
  <c r="BD38" i="73"/>
  <c r="BD39" i="73"/>
  <c r="BD40" i="73"/>
  <c r="BD41" i="73"/>
  <c r="BD42" i="73"/>
  <c r="BD43" i="73"/>
  <c r="BD44" i="73"/>
  <c r="BD45" i="73"/>
  <c r="BD46" i="73"/>
  <c r="BD47" i="73"/>
  <c r="BD48" i="73"/>
  <c r="BD49" i="73"/>
  <c r="BD50" i="73"/>
  <c r="BD51" i="73"/>
  <c r="BD52" i="73"/>
  <c r="BD53" i="73"/>
  <c r="BD54" i="73"/>
  <c r="BD55" i="73"/>
  <c r="BD56" i="73"/>
  <c r="BD57" i="73"/>
  <c r="BD58" i="73"/>
  <c r="BD59" i="73"/>
  <c r="BD60" i="73"/>
  <c r="BD61" i="73"/>
  <c r="BD62" i="73"/>
  <c r="BD63" i="73"/>
  <c r="BD64" i="73"/>
  <c r="BD65" i="73"/>
  <c r="BD66" i="73"/>
  <c r="BD67" i="73"/>
  <c r="BD68" i="73"/>
  <c r="BD69" i="73"/>
  <c r="BD70" i="73"/>
  <c r="BD71" i="73"/>
  <c r="BD72" i="73"/>
  <c r="BD73" i="73"/>
  <c r="BD74" i="73"/>
  <c r="BD75" i="73"/>
  <c r="BD76" i="73"/>
  <c r="BD77" i="73"/>
  <c r="BD78" i="73"/>
  <c r="BD79" i="73"/>
  <c r="BD80" i="73"/>
  <c r="BD81" i="73"/>
  <c r="BD82" i="73"/>
  <c r="BD83" i="73"/>
  <c r="BD84" i="73"/>
  <c r="BD85" i="73"/>
  <c r="BD86" i="73"/>
  <c r="BD87" i="73"/>
  <c r="BD88" i="73"/>
  <c r="BD89" i="73"/>
  <c r="BD90" i="73"/>
  <c r="BD91" i="73"/>
  <c r="BD92" i="73"/>
  <c r="BD93" i="73"/>
  <c r="BD94" i="73"/>
  <c r="BD95" i="73"/>
  <c r="BD96" i="73"/>
  <c r="BD97" i="73"/>
  <c r="BD98" i="73"/>
  <c r="BD99" i="73"/>
  <c r="BD100" i="73"/>
  <c r="BD101" i="73"/>
  <c r="BD102" i="73"/>
  <c r="BD103" i="73"/>
  <c r="BD104" i="73"/>
  <c r="BD105" i="73"/>
  <c r="BD106" i="73"/>
  <c r="BD107" i="73"/>
  <c r="BD108" i="73"/>
  <c r="BD109" i="73"/>
  <c r="BD110" i="73"/>
  <c r="BD111" i="73"/>
  <c r="BD112" i="73"/>
  <c r="BD113" i="73"/>
  <c r="BD114" i="73"/>
  <c r="BD115" i="73"/>
  <c r="BD116" i="73"/>
  <c r="BD117" i="73"/>
  <c r="BD118" i="73"/>
  <c r="BD119" i="73"/>
  <c r="BD120" i="73"/>
  <c r="BD121" i="73"/>
  <c r="BD122" i="73"/>
  <c r="BD123" i="73"/>
  <c r="BD124" i="73"/>
  <c r="BD125" i="73"/>
  <c r="BD126" i="73"/>
  <c r="BD127" i="73"/>
  <c r="BD128" i="73"/>
  <c r="BD129" i="73"/>
  <c r="BD130" i="73"/>
  <c r="BD131" i="73"/>
  <c r="BD132" i="73"/>
  <c r="BD133" i="73"/>
  <c r="BD134" i="73"/>
  <c r="BD135" i="73"/>
  <c r="BD136" i="73"/>
  <c r="BD137" i="73"/>
  <c r="BD138" i="73"/>
  <c r="BD139" i="73"/>
  <c r="BD140" i="73"/>
  <c r="BD141" i="73"/>
  <c r="BD142" i="73"/>
  <c r="BD143" i="73"/>
  <c r="BD144" i="73"/>
  <c r="BD145" i="73"/>
  <c r="BD146" i="73"/>
  <c r="BD147" i="73"/>
  <c r="BD148" i="73"/>
  <c r="BD149" i="73"/>
  <c r="BD150" i="73"/>
  <c r="BD151" i="73"/>
  <c r="BD152" i="73"/>
  <c r="BD153" i="73"/>
  <c r="BD154" i="73"/>
  <c r="BD155" i="73"/>
  <c r="BD156" i="73"/>
  <c r="BD157" i="73"/>
  <c r="BD158" i="73"/>
  <c r="BD159" i="73"/>
  <c r="BD160" i="73"/>
  <c r="BD161" i="73"/>
  <c r="BD162" i="73"/>
  <c r="BD163" i="73"/>
  <c r="BD164" i="73"/>
  <c r="BD165" i="73"/>
  <c r="BD166" i="73"/>
  <c r="BD167" i="73"/>
  <c r="BD168" i="73"/>
  <c r="BD169" i="73"/>
  <c r="BD170" i="73"/>
  <c r="BD171" i="73"/>
  <c r="BD172" i="73"/>
  <c r="BD173" i="73"/>
  <c r="BD174" i="73"/>
  <c r="BD175" i="73"/>
  <c r="BD176" i="73"/>
  <c r="BD177" i="73"/>
  <c r="BD178" i="73"/>
  <c r="BD179" i="73"/>
  <c r="BD180" i="73"/>
  <c r="BD181" i="73"/>
  <c r="BD182" i="73"/>
  <c r="BD183" i="73"/>
  <c r="BD184" i="73"/>
  <c r="BD185" i="73"/>
  <c r="BD186" i="73"/>
  <c r="BD187" i="73"/>
  <c r="BD188" i="73"/>
  <c r="BD189" i="73"/>
  <c r="BD190" i="73"/>
  <c r="BD191" i="73"/>
  <c r="BD192" i="73"/>
  <c r="BD193" i="73"/>
  <c r="BD194" i="73"/>
  <c r="BD195" i="73"/>
  <c r="BD196" i="73"/>
  <c r="BD197" i="73"/>
  <c r="BD198" i="73"/>
  <c r="BD199" i="73"/>
  <c r="BD200" i="73"/>
  <c r="BD201" i="73"/>
  <c r="BD202" i="73"/>
  <c r="BD203" i="73"/>
  <c r="BD204" i="73"/>
  <c r="BD205" i="73"/>
  <c r="BD206" i="73"/>
  <c r="BD207" i="73"/>
  <c r="BD208" i="73"/>
  <c r="BD209" i="73"/>
  <c r="BD210" i="73"/>
  <c r="BD211" i="73"/>
  <c r="BD212" i="73"/>
  <c r="BD213" i="73"/>
  <c r="BD214" i="73"/>
  <c r="BD215" i="73"/>
  <c r="BD216" i="73"/>
  <c r="BD217" i="73"/>
  <c r="BD218" i="73"/>
  <c r="BD219" i="73"/>
  <c r="BD220" i="73"/>
  <c r="BD221" i="73"/>
  <c r="BD222" i="73"/>
  <c r="BD223" i="73"/>
  <c r="BD224" i="73"/>
  <c r="BD225" i="73"/>
  <c r="BD226" i="73"/>
  <c r="BD227" i="73"/>
  <c r="BD228" i="73"/>
  <c r="BD229" i="73"/>
  <c r="BD230" i="73"/>
  <c r="BD231" i="73"/>
  <c r="BD232" i="73"/>
  <c r="BD233" i="73"/>
  <c r="BD234" i="73"/>
  <c r="BD235" i="73"/>
  <c r="BF235" i="73" s="1"/>
  <c r="BD236" i="73"/>
  <c r="BF236" i="73" s="1"/>
  <c r="BD237" i="73"/>
  <c r="BD238" i="73"/>
  <c r="BF238" i="73" s="1"/>
  <c r="BD239" i="73"/>
  <c r="BD240" i="73"/>
  <c r="BF240" i="73" s="1"/>
  <c r="BD241" i="73"/>
  <c r="BF241" i="73" s="1"/>
  <c r="BD242" i="73"/>
  <c r="BF242" i="73" s="1"/>
  <c r="BD243" i="73"/>
  <c r="BF243" i="73" s="1"/>
  <c r="BD244" i="73"/>
  <c r="BF244" i="73" s="1"/>
  <c r="BD245" i="73"/>
  <c r="BF245" i="73" s="1"/>
  <c r="BD246" i="73"/>
  <c r="BF246" i="73" s="1"/>
  <c r="BD247" i="73"/>
  <c r="BF247" i="73" s="1"/>
  <c r="BD248" i="73"/>
  <c r="BF248" i="73" s="1"/>
  <c r="BD249" i="73"/>
  <c r="BF249" i="73" s="1"/>
  <c r="BD250" i="73"/>
  <c r="BF250" i="73" s="1"/>
  <c r="BD251" i="73"/>
  <c r="BF251" i="73" s="1"/>
  <c r="BD252" i="73"/>
  <c r="BF252" i="73" s="1"/>
  <c r="BD253" i="73"/>
  <c r="BF253" i="73" s="1"/>
  <c r="BD254" i="73"/>
  <c r="BF254" i="73" s="1"/>
  <c r="BD255" i="73"/>
  <c r="BF255" i="73" s="1"/>
  <c r="BD256" i="73"/>
  <c r="BF256" i="73" s="1"/>
  <c r="BD257" i="73"/>
  <c r="BF257" i="73" s="1"/>
  <c r="BD258" i="73"/>
  <c r="BF258" i="73" s="1"/>
  <c r="BD259" i="73"/>
  <c r="BF259" i="73" s="1"/>
  <c r="BD260" i="73"/>
  <c r="BF260" i="73" s="1"/>
  <c r="BD261" i="73"/>
  <c r="BF261" i="73" s="1"/>
  <c r="BD262" i="73"/>
  <c r="BF262" i="73" s="1"/>
  <c r="BD263" i="73"/>
  <c r="BF263" i="73" s="1"/>
  <c r="BD264" i="73"/>
  <c r="BF264" i="73" s="1"/>
  <c r="BD265" i="73"/>
  <c r="BF265" i="73" s="1"/>
  <c r="BD266" i="73"/>
  <c r="BF266" i="73" s="1"/>
  <c r="BD267" i="73"/>
  <c r="BD268" i="73"/>
  <c r="BF268" i="73" s="1"/>
  <c r="BD269" i="73"/>
  <c r="BF269" i="73" s="1"/>
  <c r="BD270" i="73"/>
  <c r="BF270" i="73" s="1"/>
  <c r="BD271" i="73"/>
  <c r="BF271" i="73" s="1"/>
  <c r="BD272" i="73"/>
  <c r="BF272" i="73" s="1"/>
  <c r="BD273" i="73"/>
  <c r="BF273" i="73" s="1"/>
  <c r="BD274" i="73"/>
  <c r="BD275" i="73"/>
  <c r="BF275" i="73" s="1"/>
  <c r="BD276" i="73"/>
  <c r="BF276" i="73" s="1"/>
  <c r="BD277" i="73"/>
  <c r="BF277" i="73" s="1"/>
  <c r="BD278" i="73"/>
  <c r="BF278" i="73" s="1"/>
  <c r="BD279" i="73"/>
  <c r="BF279" i="73" s="1"/>
  <c r="BD280" i="73"/>
  <c r="BF280" i="73" s="1"/>
  <c r="BD281" i="73"/>
  <c r="BF281" i="73" s="1"/>
  <c r="BD282" i="73"/>
  <c r="BF282" i="73" s="1"/>
  <c r="BD283" i="73"/>
  <c r="BF283" i="73" s="1"/>
  <c r="BD284" i="73"/>
  <c r="BF284" i="73" s="1"/>
  <c r="BD285" i="73"/>
  <c r="BF285" i="73" s="1"/>
  <c r="BD286" i="73"/>
  <c r="BF286" i="73" s="1"/>
  <c r="BD287" i="73"/>
  <c r="BF287" i="73" s="1"/>
  <c r="BD288" i="73"/>
  <c r="BF288" i="73" s="1"/>
  <c r="BD289" i="73"/>
  <c r="BD290" i="73"/>
  <c r="BF290" i="73" s="1"/>
  <c r="BD291" i="73"/>
  <c r="BF291" i="73" s="1"/>
  <c r="BD292" i="73"/>
  <c r="BF292" i="73" s="1"/>
  <c r="BD293" i="73"/>
  <c r="BD294" i="73"/>
  <c r="BF294" i="73" s="1"/>
  <c r="BD295" i="73"/>
  <c r="BF295" i="73" s="1"/>
  <c r="BD296" i="73"/>
  <c r="BD297" i="73"/>
  <c r="BF297" i="73" s="1"/>
  <c r="BD298" i="73"/>
  <c r="BF298" i="73" s="1"/>
  <c r="BD299" i="73"/>
  <c r="BF299" i="73" s="1"/>
  <c r="BD300" i="73"/>
  <c r="BF300" i="73" s="1"/>
  <c r="BD301" i="73"/>
  <c r="BF301" i="73" s="1"/>
  <c r="BD302" i="73"/>
  <c r="BF302" i="73" s="1"/>
  <c r="BD303" i="73"/>
  <c r="BD304" i="73"/>
  <c r="BF304" i="73" s="1"/>
  <c r="BD305" i="73"/>
  <c r="BD306" i="73"/>
  <c r="BF306" i="73" s="1"/>
  <c r="BD307" i="73"/>
  <c r="BF307" i="73" s="1"/>
  <c r="BD308" i="73"/>
  <c r="BD309" i="73"/>
  <c r="BD310" i="73"/>
  <c r="BF310" i="73" s="1"/>
  <c r="BD311" i="73"/>
  <c r="BF311" i="73" s="1"/>
  <c r="BD312" i="73"/>
  <c r="BF312" i="73" s="1"/>
  <c r="BD313" i="73"/>
  <c r="BF313" i="73" s="1"/>
  <c r="BD314" i="73"/>
  <c r="BF314" i="73" s="1"/>
  <c r="BD315" i="73"/>
  <c r="BF315" i="73" s="1"/>
  <c r="BD316" i="73"/>
  <c r="BF316" i="73" s="1"/>
  <c r="BD317" i="73"/>
  <c r="BF317" i="73" s="1"/>
  <c r="BD318" i="73"/>
  <c r="BD319" i="73"/>
  <c r="BF319" i="73" s="1"/>
  <c r="BD320" i="73"/>
  <c r="BD321" i="73"/>
  <c r="BD322" i="73"/>
  <c r="BF322" i="73" s="1"/>
  <c r="BD323" i="73"/>
  <c r="BF323" i="73" s="1"/>
  <c r="BD324" i="73"/>
  <c r="BF324" i="73" s="1"/>
  <c r="BD325" i="73"/>
  <c r="BF325" i="73" s="1"/>
  <c r="BD326" i="73"/>
  <c r="BF326" i="73" s="1"/>
  <c r="BD327" i="73"/>
  <c r="BD328" i="73"/>
  <c r="BF328" i="73" s="1"/>
  <c r="BD329" i="73"/>
  <c r="BF329" i="73" s="1"/>
  <c r="BD330" i="73"/>
  <c r="BD331" i="73"/>
  <c r="BF331" i="73" s="1"/>
  <c r="BD332" i="73"/>
  <c r="BD333" i="73"/>
  <c r="BF333" i="73" s="1"/>
  <c r="BD334" i="73"/>
  <c r="BF334" i="73" s="1"/>
  <c r="BD335" i="73"/>
  <c r="BF335" i="73" s="1"/>
  <c r="BD336" i="73"/>
  <c r="BF336" i="73" s="1"/>
  <c r="BD337" i="73"/>
  <c r="BF337" i="73" s="1"/>
  <c r="BD338" i="73"/>
  <c r="BF338" i="73" s="1"/>
  <c r="BD339" i="73"/>
  <c r="BD340" i="73"/>
  <c r="BF340" i="73" s="1"/>
  <c r="BD341" i="73"/>
  <c r="BF341" i="73" s="1"/>
  <c r="BD342" i="73"/>
  <c r="BD343" i="73"/>
  <c r="BF343" i="73" s="1"/>
  <c r="BD344" i="73"/>
  <c r="BF344" i="73" s="1"/>
  <c r="BD345" i="73"/>
  <c r="BF345" i="73" s="1"/>
  <c r="BD346" i="73"/>
  <c r="BF346" i="73" s="1"/>
  <c r="BD347" i="73"/>
  <c r="BF347" i="73" s="1"/>
  <c r="BD348" i="73"/>
  <c r="BF348" i="73" s="1"/>
  <c r="BD349" i="73"/>
  <c r="BF349" i="73" s="1"/>
  <c r="BD350" i="73"/>
  <c r="BF350" i="73" s="1"/>
  <c r="BD351" i="73"/>
  <c r="BF351" i="73" s="1"/>
  <c r="BD352" i="73"/>
  <c r="BF352" i="73" s="1"/>
  <c r="BD353" i="73"/>
  <c r="BF353" i="73" s="1"/>
  <c r="BD354" i="73"/>
  <c r="BF354" i="73" s="1"/>
  <c r="BD355" i="73"/>
  <c r="BF355" i="73" s="1"/>
  <c r="BD356" i="73"/>
  <c r="BF356" i="73" s="1"/>
  <c r="BD357" i="73"/>
  <c r="BD358" i="73"/>
  <c r="BF358" i="73" s="1"/>
  <c r="BD359" i="73"/>
  <c r="BF359" i="73" s="1"/>
  <c r="BD360" i="73"/>
  <c r="BF360" i="73" s="1"/>
  <c r="BD361" i="73"/>
  <c r="BF361" i="73" s="1"/>
  <c r="BD362" i="73"/>
  <c r="BF362" i="73" s="1"/>
  <c r="BD363" i="73"/>
  <c r="BF363" i="73" s="1"/>
  <c r="BD364" i="73"/>
  <c r="BF364" i="73" s="1"/>
  <c r="BD365" i="73"/>
  <c r="BF365" i="73" s="1"/>
  <c r="BD366" i="73"/>
  <c r="BF366" i="73" s="1"/>
  <c r="BD367" i="73"/>
  <c r="BD368" i="73"/>
  <c r="BD369" i="73"/>
  <c r="BF369" i="73" s="1"/>
  <c r="BD370" i="73"/>
  <c r="BF370" i="73" s="1"/>
  <c r="BD371" i="73"/>
  <c r="BD372" i="73"/>
  <c r="BD373" i="73"/>
  <c r="BF373" i="73" s="1"/>
  <c r="BD374" i="73"/>
  <c r="BF374" i="73" s="1"/>
  <c r="BD375" i="73"/>
  <c r="BF375" i="73" s="1"/>
  <c r="BD376" i="73"/>
  <c r="BF376" i="73" s="1"/>
  <c r="BD377" i="73"/>
  <c r="BF377" i="73" s="1"/>
  <c r="BD378" i="73"/>
  <c r="BF378" i="73" s="1"/>
  <c r="BD379" i="73"/>
  <c r="BF379" i="73" s="1"/>
  <c r="BD380" i="73"/>
  <c r="BF380" i="73" s="1"/>
  <c r="BD381" i="73"/>
  <c r="BF381" i="73" s="1"/>
  <c r="BD382" i="73"/>
  <c r="BF382" i="73" s="1"/>
  <c r="BD383" i="73"/>
  <c r="BF383" i="73" s="1"/>
  <c r="BD384" i="73"/>
  <c r="BF384" i="73" s="1"/>
  <c r="BD385" i="73"/>
  <c r="BD386" i="73"/>
  <c r="BD387" i="73"/>
  <c r="BF387" i="73" s="1"/>
  <c r="BD388" i="73"/>
  <c r="BD389" i="73"/>
  <c r="BF389" i="73" s="1"/>
  <c r="BD390" i="73"/>
  <c r="BF390" i="73" s="1"/>
  <c r="BD391" i="73"/>
  <c r="BF391" i="73" s="1"/>
  <c r="BD392" i="73"/>
  <c r="BD393" i="73"/>
  <c r="BD394" i="73"/>
  <c r="BD395" i="73"/>
  <c r="BF395" i="73" s="1"/>
  <c r="BD396" i="73"/>
  <c r="BF396" i="73" s="1"/>
  <c r="BD397" i="73"/>
  <c r="BF397" i="73" s="1"/>
  <c r="BD398" i="73"/>
  <c r="BF398" i="73" s="1"/>
  <c r="BD399" i="73"/>
  <c r="BF399" i="73" s="1"/>
  <c r="BD400" i="73"/>
  <c r="BF400" i="73" s="1"/>
  <c r="BD401" i="73"/>
  <c r="BF401" i="73" s="1"/>
  <c r="BD402" i="73"/>
  <c r="BF402" i="73" s="1"/>
  <c r="BD403" i="73"/>
  <c r="BF403" i="73" s="1"/>
  <c r="BD404" i="73"/>
  <c r="BF404" i="73" s="1"/>
  <c r="BD405" i="73"/>
  <c r="BD406" i="73"/>
  <c r="BF406" i="73" s="1"/>
  <c r="BD407" i="73"/>
  <c r="BF407" i="73" s="1"/>
  <c r="BD408" i="73"/>
  <c r="BF408" i="73" s="1"/>
  <c r="BD409" i="73"/>
  <c r="BF409" i="73" s="1"/>
  <c r="BD410" i="73"/>
  <c r="BD411" i="73"/>
  <c r="BF411" i="73" s="1"/>
  <c r="BD412" i="73"/>
  <c r="BF412" i="73" s="1"/>
  <c r="BD413" i="73"/>
  <c r="BF413" i="73" s="1"/>
  <c r="BD414" i="73"/>
  <c r="BF414" i="73" s="1"/>
  <c r="BD415" i="73"/>
  <c r="BF415" i="73" s="1"/>
  <c r="BD416" i="73"/>
  <c r="BF416" i="73" s="1"/>
  <c r="BD417" i="73"/>
  <c r="BF417" i="73" s="1"/>
  <c r="BD418" i="73"/>
  <c r="BF418" i="73" s="1"/>
  <c r="BD419" i="73"/>
  <c r="BF419" i="73" s="1"/>
  <c r="BD420" i="73"/>
  <c r="BF420" i="73" s="1"/>
  <c r="BD421" i="73"/>
  <c r="BF421" i="73" s="1"/>
  <c r="BD422" i="73"/>
  <c r="BF422" i="73" s="1"/>
  <c r="BD423" i="73"/>
  <c r="BF423" i="73" s="1"/>
  <c r="BD424" i="73"/>
  <c r="BF424" i="73" s="1"/>
  <c r="BD425" i="73"/>
  <c r="BF425" i="73" s="1"/>
  <c r="BD426" i="73"/>
  <c r="BF426" i="73" s="1"/>
  <c r="BD427" i="73"/>
  <c r="BD428" i="73"/>
  <c r="BF428" i="73" s="1"/>
  <c r="BD429" i="73"/>
  <c r="BF429" i="73" s="1"/>
  <c r="BD430" i="73"/>
  <c r="BD431" i="73"/>
  <c r="BF431" i="73" s="1"/>
  <c r="BD432" i="73"/>
  <c r="BF432" i="73" s="1"/>
  <c r="BD433" i="73"/>
  <c r="BD434" i="73"/>
  <c r="BF434" i="73" s="1"/>
  <c r="BD435" i="73"/>
  <c r="BF435" i="73" s="1"/>
  <c r="BD436" i="73"/>
  <c r="BF436" i="73" s="1"/>
  <c r="BD437" i="73"/>
  <c r="BD438" i="73"/>
  <c r="BF438" i="73" s="1"/>
  <c r="BD439" i="73"/>
  <c r="BF439" i="73" s="1"/>
  <c r="BD440" i="73"/>
  <c r="BF440" i="73" s="1"/>
  <c r="BD441" i="73"/>
  <c r="BF441" i="73" s="1"/>
  <c r="BD442" i="73"/>
  <c r="BF442" i="73" s="1"/>
  <c r="BD443" i="73"/>
  <c r="BF443" i="73" s="1"/>
  <c r="BD444" i="73"/>
  <c r="BF444" i="73" s="1"/>
  <c r="BD445" i="73"/>
  <c r="BF445" i="73" s="1"/>
  <c r="BD446" i="73"/>
  <c r="BF446" i="73" s="1"/>
  <c r="BD447" i="73"/>
  <c r="BF447" i="73" s="1"/>
  <c r="BD448" i="73"/>
  <c r="BF448" i="73" s="1"/>
  <c r="BD449" i="73"/>
  <c r="BF449" i="73" s="1"/>
  <c r="BD450" i="73"/>
  <c r="BF450" i="73" s="1"/>
  <c r="BD451" i="73"/>
  <c r="BF451" i="73" s="1"/>
  <c r="BD452" i="73"/>
  <c r="BF452" i="73" s="1"/>
  <c r="BD453" i="73"/>
  <c r="BD454" i="73"/>
  <c r="BF454" i="73" s="1"/>
  <c r="BD455" i="73"/>
  <c r="BF455" i="73" s="1"/>
  <c r="BD456" i="73"/>
  <c r="BF456" i="73" s="1"/>
  <c r="BD457" i="73"/>
  <c r="BF457" i="73" s="1"/>
  <c r="BD458" i="73"/>
  <c r="BF458" i="73" s="1"/>
  <c r="BD459" i="73"/>
  <c r="BF459" i="73" s="1"/>
  <c r="BD460" i="73"/>
  <c r="BD461" i="73"/>
  <c r="BF461" i="73" s="1"/>
  <c r="BD462" i="73"/>
  <c r="BD463" i="73"/>
  <c r="BD464" i="73"/>
  <c r="BD465" i="73"/>
  <c r="BF465" i="73" s="1"/>
  <c r="BD466" i="73"/>
  <c r="BD467" i="73"/>
  <c r="BD468" i="73"/>
  <c r="BF468" i="73" s="1"/>
  <c r="BD469" i="73"/>
  <c r="BF469" i="73" s="1"/>
  <c r="BD470" i="73"/>
  <c r="BF470" i="73" s="1"/>
  <c r="BD471" i="73"/>
  <c r="BF471" i="73" s="1"/>
  <c r="BD472" i="73"/>
  <c r="BF472" i="73" s="1"/>
  <c r="BD473" i="73"/>
  <c r="BD474" i="73"/>
  <c r="BF474" i="73" s="1"/>
  <c r="BD475" i="73"/>
  <c r="BF475" i="73" s="1"/>
  <c r="BD476" i="73"/>
  <c r="BF476" i="73" s="1"/>
  <c r="BD477" i="73"/>
  <c r="BF477" i="73" s="1"/>
  <c r="BD478" i="73"/>
  <c r="BF478" i="73" s="1"/>
  <c r="BD479" i="73"/>
  <c r="BF479" i="73" s="1"/>
  <c r="BD480" i="73"/>
  <c r="BD481" i="73"/>
  <c r="BF481" i="73" s="1"/>
  <c r="BD482" i="73"/>
  <c r="BF482" i="73" s="1"/>
  <c r="BD483" i="73"/>
  <c r="BF483" i="73" s="1"/>
  <c r="BD484" i="73"/>
  <c r="BF484" i="73" s="1"/>
  <c r="BD485" i="73"/>
  <c r="BF485" i="73" s="1"/>
  <c r="BD486" i="73"/>
  <c r="BD487" i="73"/>
  <c r="BF487" i="73" s="1"/>
  <c r="BD488" i="73"/>
  <c r="BF488" i="73" s="1"/>
  <c r="BD489" i="73"/>
  <c r="BD490" i="73"/>
  <c r="BF490" i="73" s="1"/>
  <c r="BD491" i="73"/>
  <c r="BF491" i="73" s="1"/>
  <c r="BD492" i="73"/>
  <c r="BF492" i="73" s="1"/>
  <c r="BD493" i="73"/>
  <c r="BF493" i="73" s="1"/>
  <c r="BD494" i="73"/>
  <c r="BF494" i="73" s="1"/>
  <c r="BD495" i="73"/>
  <c r="BD496" i="73"/>
  <c r="BF496" i="73" s="1"/>
  <c r="BD497" i="73"/>
  <c r="BF497" i="73" s="1"/>
  <c r="BD498" i="73"/>
  <c r="BF498" i="73" s="1"/>
  <c r="BD499" i="73"/>
  <c r="BF499" i="73" s="1"/>
  <c r="BD500" i="73"/>
  <c r="BF500" i="73" s="1"/>
  <c r="BD501" i="73"/>
  <c r="BD502" i="73"/>
  <c r="BF502" i="73" s="1"/>
  <c r="BD503" i="73"/>
  <c r="BF503" i="73" s="1"/>
  <c r="BD504" i="73"/>
  <c r="BF504" i="73" s="1"/>
  <c r="BD505" i="73"/>
  <c r="BF505" i="73" s="1"/>
  <c r="BD506" i="73"/>
  <c r="BF506" i="73" s="1"/>
  <c r="BD507" i="73"/>
  <c r="BF507" i="73" s="1"/>
  <c r="BD508" i="73"/>
  <c r="BF508" i="73" s="1"/>
  <c r="BD509" i="73"/>
  <c r="BF509" i="73" s="1"/>
  <c r="BD510" i="73"/>
  <c r="BF510" i="73" s="1"/>
  <c r="BD511" i="73"/>
  <c r="BF511" i="73" s="1"/>
  <c r="BD512" i="73"/>
  <c r="BF512" i="73" s="1"/>
  <c r="BD513" i="73"/>
  <c r="BF513" i="73" s="1"/>
  <c r="BD514" i="73"/>
  <c r="BF514" i="73" s="1"/>
  <c r="BD515" i="73"/>
  <c r="BF515" i="73" s="1"/>
  <c r="BD516" i="73"/>
  <c r="BF516" i="73" s="1"/>
  <c r="BD517" i="73"/>
  <c r="BF517" i="73" s="1"/>
  <c r="BD518" i="73"/>
  <c r="BF518" i="73" s="1"/>
  <c r="BD519" i="73"/>
  <c r="BD520" i="73"/>
  <c r="BD521" i="73"/>
  <c r="BD522" i="73"/>
  <c r="BF522" i="73" s="1"/>
  <c r="BD523" i="73"/>
  <c r="BD524" i="73"/>
  <c r="BF524" i="73" s="1"/>
  <c r="BD525" i="73"/>
  <c r="BF525" i="73" s="1"/>
  <c r="BD526" i="73"/>
  <c r="BF526" i="73" s="1"/>
  <c r="BD527" i="73"/>
  <c r="BF527" i="73" s="1"/>
  <c r="BD528" i="73"/>
  <c r="BF528" i="73" s="1"/>
  <c r="BD529" i="73"/>
  <c r="BF529" i="73" s="1"/>
  <c r="BD530" i="73"/>
  <c r="BF530" i="73" s="1"/>
  <c r="BD531" i="73"/>
  <c r="BF531" i="73" s="1"/>
  <c r="BD532" i="73"/>
  <c r="BF532" i="73" s="1"/>
  <c r="BD533" i="73"/>
  <c r="BF533" i="73" s="1"/>
  <c r="BD534" i="73"/>
  <c r="BF534" i="73" s="1"/>
  <c r="BD535" i="73"/>
  <c r="BD536" i="73"/>
  <c r="BF536" i="73" s="1"/>
  <c r="BD537" i="73"/>
  <c r="BF537" i="73" s="1"/>
  <c r="BD538" i="73"/>
  <c r="BF538" i="73" s="1"/>
  <c r="BD539" i="73"/>
  <c r="BF539" i="73" s="1"/>
  <c r="BD540" i="73"/>
  <c r="BF540" i="73" s="1"/>
  <c r="BD541" i="73"/>
  <c r="BF541" i="73" s="1"/>
  <c r="BD542" i="73"/>
  <c r="BF542" i="73" s="1"/>
  <c r="BD543" i="73"/>
  <c r="BF543" i="73" s="1"/>
  <c r="BD544" i="73"/>
  <c r="BF544" i="73" s="1"/>
  <c r="BD545" i="73"/>
  <c r="BF545" i="73" s="1"/>
  <c r="BD546" i="73"/>
  <c r="BD547" i="73"/>
  <c r="BD548" i="73"/>
  <c r="BF548" i="73" s="1"/>
  <c r="BD549" i="73"/>
  <c r="BF549" i="73" s="1"/>
  <c r="BD550" i="73"/>
  <c r="BF550" i="73" s="1"/>
  <c r="BD551" i="73"/>
  <c r="BF551" i="73" s="1"/>
  <c r="BD552" i="73"/>
  <c r="BF552" i="73" s="1"/>
  <c r="BD553" i="73"/>
  <c r="BF553" i="73" s="1"/>
  <c r="BD554" i="73"/>
  <c r="BF554" i="73" s="1"/>
  <c r="BD555" i="73"/>
  <c r="BF555" i="73" s="1"/>
  <c r="BD556" i="73"/>
  <c r="BF556" i="73" s="1"/>
  <c r="BD557" i="73"/>
  <c r="BD558" i="73"/>
  <c r="BF558" i="73" s="1"/>
  <c r="BD559" i="73"/>
  <c r="BF559" i="73" s="1"/>
  <c r="BD560" i="73"/>
  <c r="BF560" i="73" s="1"/>
  <c r="BD561" i="73"/>
  <c r="BF561" i="73" s="1"/>
  <c r="BD562" i="73"/>
  <c r="BF562" i="73" s="1"/>
  <c r="BD563" i="73"/>
  <c r="BF563" i="73" s="1"/>
  <c r="BD564" i="73"/>
  <c r="BD565" i="73"/>
  <c r="BF565" i="73" s="1"/>
  <c r="BD566" i="73"/>
  <c r="BD567" i="73"/>
  <c r="BF567" i="73" s="1"/>
  <c r="BD568" i="73"/>
  <c r="BF568" i="73" s="1"/>
  <c r="BD569" i="73"/>
  <c r="BD570" i="73"/>
  <c r="BF570" i="73" s="1"/>
  <c r="BD571" i="73"/>
  <c r="BD572" i="73"/>
  <c r="BF572" i="73" s="1"/>
  <c r="BD573" i="73"/>
  <c r="BD574" i="73"/>
  <c r="BF574" i="73" s="1"/>
  <c r="BD575" i="73"/>
  <c r="BF575" i="73" s="1"/>
  <c r="BD576" i="73"/>
  <c r="BF576" i="73" s="1"/>
  <c r="BD577" i="73"/>
  <c r="BF577" i="73" s="1"/>
  <c r="BD578" i="73"/>
  <c r="BF578" i="73" s="1"/>
  <c r="C4" i="28"/>
  <c r="C4" i="2"/>
  <c r="BF342" i="73" l="1"/>
  <c r="BF318" i="73"/>
  <c r="BF357" i="73"/>
  <c r="BF321" i="73"/>
  <c r="BF367" i="73"/>
  <c r="BF372" i="73"/>
  <c r="BF393" i="73"/>
  <c r="BF394" i="73"/>
  <c r="BF392" i="73"/>
  <c r="BF296" i="73"/>
  <c r="BF557" i="73"/>
  <c r="BF564" i="73"/>
  <c r="BF569" i="73"/>
  <c r="BF566" i="73"/>
  <c r="BF571" i="73"/>
  <c r="BF489" i="73"/>
  <c r="BF368" i="73"/>
  <c r="BF320" i="73"/>
  <c r="BF486" i="73"/>
  <c r="BF501" i="73"/>
  <c r="BF332" i="73"/>
  <c r="BF410" i="73"/>
  <c r="BF305" i="73"/>
  <c r="BF463" i="73"/>
  <c r="BF303" i="73"/>
  <c r="BF535" i="73"/>
  <c r="BF330" i="73"/>
  <c r="BF274" i="73"/>
  <c r="BF327" i="73"/>
  <c r="BF437" i="73"/>
  <c r="BF386" i="73"/>
  <c r="BF523" i="73"/>
  <c r="BF521" i="73"/>
  <c r="BF385" i="73"/>
  <c r="BF289" i="73"/>
  <c r="BF466" i="73"/>
  <c r="BF473" i="73"/>
  <c r="BF239" i="73"/>
  <c r="BF237" i="73"/>
  <c r="BF225" i="73"/>
  <c r="BF573" i="73"/>
  <c r="BF405" i="73"/>
  <c r="BF293" i="73"/>
  <c r="BF388" i="73"/>
  <c r="BF339" i="73"/>
  <c r="BF547" i="73"/>
  <c r="BF546" i="73"/>
  <c r="BF210" i="73"/>
  <c r="BF170" i="73"/>
  <c r="BF209" i="73"/>
  <c r="BF201" i="73"/>
  <c r="BF193" i="73"/>
  <c r="BF185" i="73"/>
  <c r="BF169" i="73"/>
  <c r="BF161" i="73"/>
  <c r="BF153" i="73"/>
  <c r="BF105" i="73"/>
  <c r="BF464" i="73"/>
  <c r="BF495" i="73"/>
  <c r="BF183" i="73"/>
  <c r="BF206" i="73"/>
  <c r="BF467" i="73"/>
  <c r="BF267" i="73"/>
  <c r="BF234" i="73"/>
  <c r="BF226" i="73"/>
  <c r="BF194" i="73"/>
  <c r="BF186" i="73"/>
  <c r="BF162" i="73"/>
  <c r="BF122" i="73"/>
  <c r="BF106" i="73"/>
  <c r="BF90" i="73"/>
  <c r="BF58" i="73"/>
  <c r="BF50" i="73"/>
  <c r="BF145" i="73"/>
  <c r="BF121" i="73"/>
  <c r="BF113" i="73"/>
  <c r="BF73" i="73"/>
  <c r="BF49" i="73"/>
  <c r="BF17" i="73"/>
  <c r="BF520" i="73"/>
  <c r="BF120" i="73"/>
  <c r="BF199" i="73"/>
  <c r="BF159" i="73"/>
  <c r="BF127" i="73"/>
  <c r="BF87" i="73"/>
  <c r="BF166" i="73"/>
  <c r="BF126" i="73"/>
  <c r="BF519" i="73"/>
  <c r="BF453" i="73"/>
  <c r="BF309" i="73"/>
  <c r="BF229" i="73"/>
  <c r="BF221" i="73"/>
  <c r="BF213" i="73"/>
  <c r="BF173" i="73"/>
  <c r="BF157" i="73"/>
  <c r="BF93" i="73"/>
  <c r="BF77" i="73"/>
  <c r="BF53" i="73"/>
  <c r="BF308" i="73"/>
  <c r="BF371" i="73"/>
  <c r="BF480" i="73"/>
  <c r="BF232" i="73"/>
  <c r="BF224" i="73"/>
  <c r="BF216" i="73"/>
  <c r="BF208" i="73"/>
  <c r="BF200" i="73"/>
  <c r="BF192" i="73"/>
  <c r="BF184" i="73"/>
  <c r="BF176" i="73"/>
  <c r="BF168" i="73"/>
  <c r="BF160" i="73"/>
  <c r="BF152" i="73"/>
  <c r="BF144" i="73"/>
  <c r="BF136" i="73"/>
  <c r="BF128" i="73"/>
  <c r="BF112" i="73"/>
  <c r="BF104" i="73"/>
  <c r="BF96" i="73"/>
  <c r="BF88" i="73"/>
  <c r="BF80" i="73"/>
  <c r="BF72" i="73"/>
  <c r="BF64" i="73"/>
  <c r="BF56" i="73"/>
  <c r="BF48" i="73"/>
  <c r="BF40" i="73"/>
  <c r="BF32" i="73"/>
  <c r="BF24" i="73"/>
  <c r="BF16" i="73"/>
  <c r="BF8" i="73"/>
  <c r="BF231" i="73"/>
  <c r="BF223" i="73"/>
  <c r="BF215" i="73"/>
  <c r="BF207" i="73"/>
  <c r="BF191" i="73"/>
  <c r="BF175" i="73"/>
  <c r="BF167" i="73"/>
  <c r="BF151" i="73"/>
  <c r="BF143" i="73"/>
  <c r="BF135" i="73"/>
  <c r="BF119" i="73"/>
  <c r="BF111" i="73"/>
  <c r="BF103" i="73"/>
  <c r="BF95" i="73"/>
  <c r="BF79" i="73"/>
  <c r="BF71" i="73"/>
  <c r="BF63" i="73"/>
  <c r="BF55" i="73"/>
  <c r="BF47" i="73"/>
  <c r="BF39" i="73"/>
  <c r="BF31" i="73"/>
  <c r="BF23" i="73"/>
  <c r="BF15" i="73"/>
  <c r="BF7" i="73"/>
  <c r="BF462" i="73"/>
  <c r="BF430" i="73"/>
  <c r="BF230" i="73"/>
  <c r="BF222" i="73"/>
  <c r="BF214" i="73"/>
  <c r="BF198" i="73"/>
  <c r="BF190" i="73"/>
  <c r="BF182" i="73"/>
  <c r="BF174" i="73"/>
  <c r="BF158" i="73"/>
  <c r="BF150" i="73"/>
  <c r="BF142" i="73"/>
  <c r="BF134" i="73"/>
  <c r="BF118" i="73"/>
  <c r="BF110" i="73"/>
  <c r="BF102" i="73"/>
  <c r="BF94" i="73"/>
  <c r="BF86" i="73"/>
  <c r="BF78" i="73"/>
  <c r="BF70" i="73"/>
  <c r="BF62" i="73"/>
  <c r="BF54" i="73"/>
  <c r="BF46" i="73"/>
  <c r="BF38" i="73"/>
  <c r="BF30" i="73"/>
  <c r="BF22" i="73"/>
  <c r="BF14" i="73"/>
  <c r="BF6" i="73"/>
  <c r="BF205" i="73"/>
  <c r="BF197" i="73"/>
  <c r="BF189" i="73"/>
  <c r="BF181" i="73"/>
  <c r="BF165" i="73"/>
  <c r="BF149" i="73"/>
  <c r="BF141" i="73"/>
  <c r="BF133" i="73"/>
  <c r="BF125" i="73"/>
  <c r="BF117" i="73"/>
  <c r="BF109" i="73"/>
  <c r="BF101" i="73"/>
  <c r="BF85" i="73"/>
  <c r="BF69" i="73"/>
  <c r="BF61" i="73"/>
  <c r="BF45" i="73"/>
  <c r="BF37" i="73"/>
  <c r="BF29" i="73"/>
  <c r="BF21" i="73"/>
  <c r="BF13" i="73"/>
  <c r="BF5" i="73"/>
  <c r="K39" i="28" s="1"/>
  <c r="BF460" i="73"/>
  <c r="BF228" i="73"/>
  <c r="BF220" i="73"/>
  <c r="BF212" i="73"/>
  <c r="BF204" i="73"/>
  <c r="BF196" i="73"/>
  <c r="BF188" i="73"/>
  <c r="BF180" i="73"/>
  <c r="BF172" i="73"/>
  <c r="BF164" i="73"/>
  <c r="BF156" i="73"/>
  <c r="BF148" i="73"/>
  <c r="BF140" i="73"/>
  <c r="BF132" i="73"/>
  <c r="BF124" i="73"/>
  <c r="BF116" i="73"/>
  <c r="BF108" i="73"/>
  <c r="BF100" i="73"/>
  <c r="BF92" i="73"/>
  <c r="BF84" i="73"/>
  <c r="BF76" i="73"/>
  <c r="BF68" i="73"/>
  <c r="BF60" i="73"/>
  <c r="BF52" i="73"/>
  <c r="BF44" i="73"/>
  <c r="BF36" i="73"/>
  <c r="BF28" i="73"/>
  <c r="BF20" i="73"/>
  <c r="BF12" i="73"/>
  <c r="BF4" i="73"/>
  <c r="BF427" i="73"/>
  <c r="BF227" i="73"/>
  <c r="BF219" i="73"/>
  <c r="BF211" i="73"/>
  <c r="BF203" i="73"/>
  <c r="BF195" i="73"/>
  <c r="BF187" i="73"/>
  <c r="BF179" i="73"/>
  <c r="BF171" i="73"/>
  <c r="BF163" i="73"/>
  <c r="BF155" i="73"/>
  <c r="BF147" i="73"/>
  <c r="BF139" i="73"/>
  <c r="BF131" i="73"/>
  <c r="BF123" i="73"/>
  <c r="BF115" i="73"/>
  <c r="BF107" i="73"/>
  <c r="BF99" i="73"/>
  <c r="BF91" i="73"/>
  <c r="BF83" i="73"/>
  <c r="BF75" i="73"/>
  <c r="BF67" i="73"/>
  <c r="BF59" i="73"/>
  <c r="BF51" i="73"/>
  <c r="BF43" i="73"/>
  <c r="BF35" i="73"/>
  <c r="BF27" i="73"/>
  <c r="BF19" i="73"/>
  <c r="BF11" i="73"/>
  <c r="BF3" i="73"/>
  <c r="K28" i="2" s="1"/>
  <c r="L28" i="2" s="1"/>
  <c r="BF218" i="73"/>
  <c r="BF202" i="73"/>
  <c r="BF178" i="73"/>
  <c r="BF154" i="73"/>
  <c r="BF146" i="73"/>
  <c r="BF138" i="73"/>
  <c r="BF130" i="73"/>
  <c r="BF114" i="73"/>
  <c r="BF98" i="73"/>
  <c r="BF82" i="73"/>
  <c r="BF74" i="73"/>
  <c r="BF66" i="73"/>
  <c r="BF42" i="73"/>
  <c r="BF34" i="73"/>
  <c r="BF26" i="73"/>
  <c r="BF18" i="73"/>
  <c r="BF10" i="73"/>
  <c r="K28" i="28" s="1"/>
  <c r="BF2" i="73"/>
  <c r="K41" i="28"/>
  <c r="K41" i="2"/>
  <c r="L41" i="2" s="1"/>
  <c r="K31" i="2"/>
  <c r="L31" i="2" s="1"/>
  <c r="BF137" i="73"/>
  <c r="BF97" i="73"/>
  <c r="BF65" i="73"/>
  <c r="BF9" i="73"/>
  <c r="BF233" i="73"/>
  <c r="BF89" i="73"/>
  <c r="BF177" i="73"/>
  <c r="BF129" i="73"/>
  <c r="BF41" i="73"/>
  <c r="BF33" i="73"/>
  <c r="BF433" i="73"/>
  <c r="BF217" i="73"/>
  <c r="BF81" i="73"/>
  <c r="BF57" i="73"/>
  <c r="BF25" i="73"/>
  <c r="M29" i="76"/>
  <c r="L29" i="76"/>
  <c r="K32" i="28" l="1"/>
  <c r="K32" i="2"/>
  <c r="K38" i="28"/>
  <c r="K39" i="2"/>
  <c r="L39" i="2" s="1"/>
  <c r="K33" i="2"/>
  <c r="L33" i="2" s="1"/>
  <c r="K30" i="28"/>
  <c r="K44" i="2"/>
  <c r="L44" i="2" s="1"/>
  <c r="K29" i="28"/>
  <c r="K42" i="2"/>
  <c r="L42" i="2" s="1"/>
  <c r="L32" i="2"/>
  <c r="K29" i="2"/>
  <c r="L29" i="2" s="1"/>
  <c r="K37" i="28"/>
  <c r="K30" i="2"/>
  <c r="L30" i="2" s="1"/>
  <c r="K42" i="28"/>
  <c r="K34" i="28"/>
  <c r="K43" i="28"/>
  <c r="K34" i="2"/>
  <c r="L34" i="2" s="1"/>
  <c r="K36" i="2"/>
  <c r="L36" i="2" s="1"/>
  <c r="K40" i="28"/>
  <c r="K37" i="2"/>
  <c r="L37" i="2" s="1"/>
  <c r="K35" i="28"/>
  <c r="K44" i="28"/>
  <c r="K35" i="2"/>
  <c r="L35" i="2" s="1"/>
  <c r="K40" i="2"/>
  <c r="L40" i="2" s="1"/>
  <c r="L45" i="2" l="1"/>
  <c r="D12" i="23" s="1"/>
  <c r="K45" i="2"/>
  <c r="C20" i="13" l="1"/>
  <c r="M18" i="72" l="1"/>
  <c r="L18" i="72"/>
  <c r="D20" i="76" l="1"/>
  <c r="D13" i="76" l="1"/>
  <c r="D14" i="76"/>
  <c r="D15" i="76"/>
  <c r="D16" i="76"/>
  <c r="D17" i="76"/>
  <c r="D18" i="76"/>
  <c r="D19" i="76"/>
  <c r="D21" i="76"/>
  <c r="D22" i="76"/>
  <c r="D23" i="76"/>
  <c r="D24" i="76"/>
  <c r="D25" i="76"/>
  <c r="D26" i="76"/>
  <c r="D27" i="76"/>
  <c r="C34" i="18" l="1"/>
  <c r="C36" i="19" s="1"/>
  <c r="D68" i="19" l="1"/>
  <c r="C68" i="19"/>
  <c r="D67" i="19"/>
  <c r="C67" i="19"/>
  <c r="D66" i="19"/>
  <c r="C66" i="19"/>
  <c r="D65" i="19"/>
  <c r="C65" i="19"/>
  <c r="D64" i="19"/>
  <c r="C64" i="19"/>
  <c r="D63" i="19"/>
  <c r="C63" i="19"/>
  <c r="D62" i="19"/>
  <c r="C62" i="19"/>
  <c r="D61" i="19"/>
  <c r="C61" i="19"/>
  <c r="D60" i="19"/>
  <c r="C60" i="19"/>
  <c r="D59" i="19"/>
  <c r="C59" i="19"/>
  <c r="D58" i="19"/>
  <c r="C58" i="19"/>
  <c r="D57" i="19"/>
  <c r="C57" i="19"/>
  <c r="D56" i="19"/>
  <c r="C56" i="19"/>
  <c r="D55" i="19"/>
  <c r="C55" i="19"/>
  <c r="D54" i="19"/>
  <c r="C54" i="19"/>
  <c r="D53" i="19"/>
  <c r="C53" i="19"/>
  <c r="D52" i="19"/>
  <c r="C52" i="19"/>
  <c r="D51" i="19"/>
  <c r="C51" i="19"/>
  <c r="D50" i="19"/>
  <c r="C50" i="19"/>
  <c r="D49" i="19"/>
  <c r="C49" i="19"/>
  <c r="D48" i="19"/>
  <c r="C48" i="19"/>
  <c r="D47" i="19"/>
  <c r="C47" i="19"/>
  <c r="D46" i="19"/>
  <c r="C46" i="19"/>
  <c r="D45" i="19"/>
  <c r="C45" i="19"/>
  <c r="D44" i="19"/>
  <c r="C44" i="19"/>
  <c r="D43" i="19"/>
  <c r="C43" i="19"/>
  <c r="D42" i="19"/>
  <c r="C42" i="19"/>
  <c r="D41" i="19"/>
  <c r="C41" i="19"/>
  <c r="D40" i="19"/>
  <c r="C40" i="19"/>
  <c r="D39" i="19"/>
  <c r="C39" i="19"/>
  <c r="D38" i="19"/>
  <c r="C38" i="19"/>
  <c r="L55" i="18"/>
  <c r="K55" i="18"/>
  <c r="J55" i="18"/>
  <c r="I55" i="18"/>
  <c r="H55" i="18"/>
  <c r="G55" i="18"/>
  <c r="F55" i="18"/>
  <c r="E55" i="18"/>
  <c r="D55" i="18"/>
  <c r="C55" i="18"/>
  <c r="L54" i="18"/>
  <c r="K54" i="18"/>
  <c r="J54" i="18"/>
  <c r="I54" i="18"/>
  <c r="H54" i="18"/>
  <c r="G54" i="18"/>
  <c r="F54" i="18"/>
  <c r="E54" i="18"/>
  <c r="D54" i="18"/>
  <c r="C54" i="18"/>
  <c r="L53" i="18"/>
  <c r="K53" i="18"/>
  <c r="J53" i="18"/>
  <c r="I53" i="18"/>
  <c r="H53" i="18"/>
  <c r="G53" i="18"/>
  <c r="F53" i="18"/>
  <c r="E53" i="18"/>
  <c r="D53" i="18"/>
  <c r="C53" i="18"/>
  <c r="L52" i="18"/>
  <c r="K52" i="18"/>
  <c r="J52" i="18"/>
  <c r="I52" i="18"/>
  <c r="H52" i="18"/>
  <c r="G52" i="18"/>
  <c r="F52" i="18"/>
  <c r="E52" i="18"/>
  <c r="D52" i="18"/>
  <c r="C52" i="18"/>
  <c r="L51" i="18"/>
  <c r="K51" i="18"/>
  <c r="J51" i="18"/>
  <c r="I51" i="18"/>
  <c r="H51" i="18"/>
  <c r="G51" i="18"/>
  <c r="F51" i="18"/>
  <c r="E51" i="18"/>
  <c r="D51" i="18"/>
  <c r="C51" i="18"/>
  <c r="L50" i="18"/>
  <c r="K50" i="18"/>
  <c r="J50" i="18"/>
  <c r="I50" i="18"/>
  <c r="H50" i="18"/>
  <c r="G50" i="18"/>
  <c r="F50" i="18"/>
  <c r="E50" i="18"/>
  <c r="D50" i="18"/>
  <c r="C50" i="18"/>
  <c r="L49" i="18"/>
  <c r="K49" i="18"/>
  <c r="J49" i="18"/>
  <c r="I49" i="18"/>
  <c r="H49" i="18"/>
  <c r="G49" i="18"/>
  <c r="F49" i="18"/>
  <c r="E49" i="18"/>
  <c r="D49" i="18"/>
  <c r="C49" i="18"/>
  <c r="L48" i="18"/>
  <c r="K48" i="18"/>
  <c r="J48" i="18"/>
  <c r="I48" i="18"/>
  <c r="H48" i="18"/>
  <c r="G48" i="18"/>
  <c r="F48" i="18"/>
  <c r="E48" i="18"/>
  <c r="D48" i="18"/>
  <c r="C48" i="18"/>
  <c r="L47" i="18"/>
  <c r="K47" i="18"/>
  <c r="J47" i="18"/>
  <c r="I47" i="18"/>
  <c r="H47" i="18"/>
  <c r="G47" i="18"/>
  <c r="F47" i="18"/>
  <c r="E47" i="18"/>
  <c r="D47" i="18"/>
  <c r="C47" i="18"/>
  <c r="L46" i="18"/>
  <c r="K46" i="18"/>
  <c r="J46" i="18"/>
  <c r="I46" i="18"/>
  <c r="H46" i="18"/>
  <c r="G46" i="18"/>
  <c r="F46" i="18"/>
  <c r="E46" i="18"/>
  <c r="D46" i="18"/>
  <c r="C46" i="18"/>
  <c r="L45" i="18"/>
  <c r="K45" i="18"/>
  <c r="J45" i="18"/>
  <c r="I45" i="18"/>
  <c r="H45" i="18"/>
  <c r="G45" i="18"/>
  <c r="F45" i="18"/>
  <c r="E45" i="18"/>
  <c r="D45" i="18"/>
  <c r="C45" i="18"/>
  <c r="L44" i="18"/>
  <c r="K44" i="18"/>
  <c r="J44" i="18"/>
  <c r="I44" i="18"/>
  <c r="H44" i="18"/>
  <c r="G44" i="18"/>
  <c r="F44" i="18"/>
  <c r="E44" i="18"/>
  <c r="D44" i="18"/>
  <c r="C44" i="18"/>
  <c r="L43" i="18"/>
  <c r="K43" i="18"/>
  <c r="J43" i="18"/>
  <c r="I43" i="18"/>
  <c r="H43" i="18"/>
  <c r="G43" i="18"/>
  <c r="F43" i="18"/>
  <c r="E43" i="18"/>
  <c r="D43" i="18"/>
  <c r="C43" i="18"/>
  <c r="L42" i="18"/>
  <c r="K42" i="18"/>
  <c r="J42" i="18"/>
  <c r="I42" i="18"/>
  <c r="H42" i="18"/>
  <c r="G42" i="18"/>
  <c r="F42" i="18"/>
  <c r="E42" i="18"/>
  <c r="D42" i="18"/>
  <c r="C42" i="18"/>
  <c r="L41" i="18"/>
  <c r="K41" i="18"/>
  <c r="J41" i="18"/>
  <c r="I41" i="18"/>
  <c r="H41" i="18"/>
  <c r="G41" i="18"/>
  <c r="F41" i="18"/>
  <c r="E41" i="18"/>
  <c r="D41" i="18"/>
  <c r="C41" i="18"/>
  <c r="L40" i="18"/>
  <c r="K40" i="18"/>
  <c r="J40" i="18"/>
  <c r="I40" i="18"/>
  <c r="H40" i="18"/>
  <c r="G40" i="18"/>
  <c r="F40" i="18"/>
  <c r="E40" i="18"/>
  <c r="D40" i="18"/>
  <c r="C40" i="18"/>
  <c r="L39" i="18"/>
  <c r="K39" i="18"/>
  <c r="J39" i="18"/>
  <c r="I39" i="18"/>
  <c r="H39" i="18"/>
  <c r="G39" i="18"/>
  <c r="F39" i="18"/>
  <c r="E39" i="18"/>
  <c r="D39" i="18"/>
  <c r="C39" i="18"/>
  <c r="L38" i="18"/>
  <c r="K38" i="18"/>
  <c r="J38" i="18"/>
  <c r="I38" i="18"/>
  <c r="H38" i="18"/>
  <c r="G38" i="18"/>
  <c r="F38" i="18"/>
  <c r="E38" i="18"/>
  <c r="D38" i="18"/>
  <c r="C38" i="18"/>
  <c r="L37" i="18"/>
  <c r="K37" i="18"/>
  <c r="J37" i="18"/>
  <c r="I37" i="18"/>
  <c r="H37" i="18"/>
  <c r="G37" i="18"/>
  <c r="F37" i="18"/>
  <c r="E37" i="18"/>
  <c r="D37" i="18"/>
  <c r="C37" i="18"/>
  <c r="L36" i="18"/>
  <c r="K36" i="18"/>
  <c r="J36" i="18"/>
  <c r="I36" i="18"/>
  <c r="H36" i="18"/>
  <c r="G36" i="18"/>
  <c r="F36" i="18"/>
  <c r="E36" i="18"/>
  <c r="D36" i="18"/>
  <c r="C36" i="18"/>
  <c r="L23" i="13"/>
  <c r="K23" i="13"/>
  <c r="J23" i="13"/>
  <c r="I23" i="13"/>
  <c r="H23" i="13"/>
  <c r="G23" i="13"/>
  <c r="F23" i="13"/>
  <c r="E23" i="13"/>
  <c r="D23" i="13"/>
  <c r="C23" i="13"/>
  <c r="L22" i="13"/>
  <c r="K22" i="13"/>
  <c r="J22" i="13"/>
  <c r="I22" i="13"/>
  <c r="H22" i="13"/>
  <c r="G22" i="13"/>
  <c r="F22" i="13"/>
  <c r="E22" i="13"/>
  <c r="D22" i="13"/>
  <c r="C22" i="13"/>
  <c r="E13" i="42" l="1"/>
  <c r="G21" i="76"/>
  <c r="F20" i="76" s="1"/>
  <c r="F13" i="42"/>
  <c r="F21" i="76"/>
  <c r="G20" i="76" s="1"/>
  <c r="G13" i="76"/>
  <c r="F12" i="76" s="1"/>
  <c r="F13" i="76"/>
  <c r="G12" i="76" s="1"/>
  <c r="F25" i="76"/>
  <c r="G25" i="76"/>
  <c r="F17" i="42"/>
  <c r="E17" i="42"/>
  <c r="G17" i="76"/>
  <c r="F17" i="76"/>
  <c r="J68" i="16"/>
  <c r="I68" i="16"/>
  <c r="H68" i="16"/>
  <c r="G68" i="16"/>
  <c r="F68" i="16"/>
  <c r="E68" i="16"/>
  <c r="D68" i="16"/>
  <c r="C68" i="16"/>
  <c r="J67" i="16"/>
  <c r="I67" i="16"/>
  <c r="H67" i="16"/>
  <c r="G67" i="16"/>
  <c r="F67" i="16"/>
  <c r="E67" i="16"/>
  <c r="D67" i="16"/>
  <c r="C67" i="16"/>
  <c r="J66" i="16"/>
  <c r="I66" i="16"/>
  <c r="H66" i="16"/>
  <c r="G66" i="16"/>
  <c r="F66" i="16"/>
  <c r="E66" i="16"/>
  <c r="D66" i="16"/>
  <c r="C66" i="16"/>
  <c r="J65" i="16"/>
  <c r="I65" i="16"/>
  <c r="H65" i="16"/>
  <c r="G65" i="16"/>
  <c r="F65" i="16"/>
  <c r="E65" i="16"/>
  <c r="D65" i="16"/>
  <c r="C65" i="16"/>
  <c r="J64" i="16"/>
  <c r="I64" i="16"/>
  <c r="H64" i="16"/>
  <c r="G64" i="16"/>
  <c r="F64" i="16"/>
  <c r="E64" i="16"/>
  <c r="D64" i="16"/>
  <c r="C64" i="16"/>
  <c r="J63" i="16"/>
  <c r="I63" i="16"/>
  <c r="H63" i="16"/>
  <c r="G63" i="16"/>
  <c r="F63" i="16"/>
  <c r="E63" i="16"/>
  <c r="D63" i="16"/>
  <c r="C63" i="16"/>
  <c r="J62" i="16"/>
  <c r="I62" i="16"/>
  <c r="H62" i="16"/>
  <c r="G62" i="16"/>
  <c r="F62" i="16"/>
  <c r="E62" i="16"/>
  <c r="D62" i="16"/>
  <c r="C62" i="16"/>
  <c r="J61" i="16"/>
  <c r="I61" i="16"/>
  <c r="H61" i="16"/>
  <c r="G61" i="16"/>
  <c r="F61" i="16"/>
  <c r="E61" i="16"/>
  <c r="D61" i="16"/>
  <c r="C61" i="16"/>
  <c r="J60" i="16"/>
  <c r="I60" i="16"/>
  <c r="H60" i="16"/>
  <c r="G60" i="16"/>
  <c r="F60" i="16"/>
  <c r="E60" i="16"/>
  <c r="D60" i="16"/>
  <c r="C60" i="16"/>
  <c r="J59" i="16"/>
  <c r="I59" i="16"/>
  <c r="H59" i="16"/>
  <c r="G59" i="16"/>
  <c r="F59" i="16"/>
  <c r="E59" i="16"/>
  <c r="D59" i="16"/>
  <c r="C59" i="16"/>
  <c r="J58" i="16"/>
  <c r="I58" i="16"/>
  <c r="H58" i="16"/>
  <c r="G58" i="16"/>
  <c r="F58" i="16"/>
  <c r="E58" i="16"/>
  <c r="D58" i="16"/>
  <c r="C58" i="16"/>
  <c r="J57" i="16"/>
  <c r="I57" i="16"/>
  <c r="H57" i="16"/>
  <c r="G57" i="16"/>
  <c r="F57" i="16"/>
  <c r="E57" i="16"/>
  <c r="D57" i="16"/>
  <c r="C57" i="16"/>
  <c r="J56" i="16"/>
  <c r="I56" i="16"/>
  <c r="H56" i="16"/>
  <c r="G56" i="16"/>
  <c r="F56" i="16"/>
  <c r="E56" i="16"/>
  <c r="D56" i="16"/>
  <c r="C56" i="16"/>
  <c r="J55" i="16"/>
  <c r="I55" i="16"/>
  <c r="H55" i="16"/>
  <c r="G55" i="16"/>
  <c r="F55" i="16"/>
  <c r="E55" i="16"/>
  <c r="D55" i="16"/>
  <c r="C55" i="16"/>
  <c r="J54" i="16"/>
  <c r="I54" i="16"/>
  <c r="H54" i="16"/>
  <c r="G54" i="16"/>
  <c r="F54" i="16"/>
  <c r="E54" i="16"/>
  <c r="D54" i="16"/>
  <c r="C54" i="16"/>
  <c r="J53" i="16"/>
  <c r="I53" i="16"/>
  <c r="H53" i="16"/>
  <c r="G53" i="16"/>
  <c r="F53" i="16"/>
  <c r="E53" i="16"/>
  <c r="D53" i="16"/>
  <c r="C53" i="16"/>
  <c r="J52" i="16"/>
  <c r="I52" i="16"/>
  <c r="H52" i="16"/>
  <c r="G52" i="16"/>
  <c r="F52" i="16"/>
  <c r="E52" i="16"/>
  <c r="D52" i="16"/>
  <c r="C52" i="16"/>
  <c r="J51" i="16"/>
  <c r="I51" i="16"/>
  <c r="H51" i="16"/>
  <c r="G51" i="16"/>
  <c r="F51" i="16"/>
  <c r="E51" i="16"/>
  <c r="D51" i="16"/>
  <c r="C51" i="16"/>
  <c r="J50" i="16"/>
  <c r="I50" i="16"/>
  <c r="H50" i="16"/>
  <c r="G50" i="16"/>
  <c r="F50" i="16"/>
  <c r="E50" i="16"/>
  <c r="D50" i="16"/>
  <c r="C50" i="16"/>
  <c r="J49" i="16"/>
  <c r="I49" i="16"/>
  <c r="H49" i="16"/>
  <c r="G49" i="16"/>
  <c r="F49" i="16"/>
  <c r="E49" i="16"/>
  <c r="D49" i="16"/>
  <c r="C49" i="16"/>
  <c r="C23" i="16"/>
  <c r="Y23" i="16" s="1"/>
  <c r="D23" i="16"/>
  <c r="Z23" i="16" s="1"/>
  <c r="E23" i="16"/>
  <c r="F23" i="16"/>
  <c r="AB23" i="16" s="1"/>
  <c r="G23" i="16"/>
  <c r="AC23" i="16" s="1"/>
  <c r="H23" i="16"/>
  <c r="AD23" i="16" s="1"/>
  <c r="I23" i="16"/>
  <c r="AE23" i="16" s="1"/>
  <c r="J23" i="16"/>
  <c r="AF23" i="16" s="1"/>
  <c r="V23" i="16"/>
  <c r="C24" i="16"/>
  <c r="Y24" i="16" s="1"/>
  <c r="D24" i="16"/>
  <c r="Z24" i="16" s="1"/>
  <c r="E24" i="16"/>
  <c r="F24" i="16"/>
  <c r="AB24" i="16" s="1"/>
  <c r="G24" i="16"/>
  <c r="AC24" i="16" s="1"/>
  <c r="H24" i="16"/>
  <c r="AD24" i="16" s="1"/>
  <c r="I24" i="16"/>
  <c r="AE24" i="16" s="1"/>
  <c r="J24" i="16"/>
  <c r="AF24" i="16" s="1"/>
  <c r="V24" i="16"/>
  <c r="C25" i="16"/>
  <c r="Y25" i="16" s="1"/>
  <c r="D25" i="16"/>
  <c r="Z25" i="16" s="1"/>
  <c r="E25" i="16"/>
  <c r="F25" i="16"/>
  <c r="AB25" i="16" s="1"/>
  <c r="G25" i="16"/>
  <c r="AC25" i="16" s="1"/>
  <c r="H25" i="16"/>
  <c r="AD25" i="16" s="1"/>
  <c r="I25" i="16"/>
  <c r="AE25" i="16" s="1"/>
  <c r="J25" i="16"/>
  <c r="AF25" i="16" s="1"/>
  <c r="V25" i="16"/>
  <c r="C26" i="16"/>
  <c r="Y26" i="16" s="1"/>
  <c r="D26" i="16"/>
  <c r="Z26" i="16" s="1"/>
  <c r="E26" i="16"/>
  <c r="F26" i="16"/>
  <c r="AB26" i="16" s="1"/>
  <c r="G26" i="16"/>
  <c r="AC26" i="16" s="1"/>
  <c r="H26" i="16"/>
  <c r="AD26" i="16" s="1"/>
  <c r="I26" i="16"/>
  <c r="AE26" i="16" s="1"/>
  <c r="J26" i="16"/>
  <c r="AF26" i="16" s="1"/>
  <c r="V26" i="16"/>
  <c r="C27" i="16"/>
  <c r="Y27" i="16" s="1"/>
  <c r="D27" i="16"/>
  <c r="Z27" i="16" s="1"/>
  <c r="E27" i="16"/>
  <c r="F27" i="16"/>
  <c r="AB27" i="16" s="1"/>
  <c r="G27" i="16"/>
  <c r="AC27" i="16" s="1"/>
  <c r="H27" i="16"/>
  <c r="AD27" i="16" s="1"/>
  <c r="I27" i="16"/>
  <c r="AE27" i="16" s="1"/>
  <c r="J27" i="16"/>
  <c r="AF27" i="16" s="1"/>
  <c r="V27" i="16"/>
  <c r="C28" i="16"/>
  <c r="Y28" i="16" s="1"/>
  <c r="D28" i="16"/>
  <c r="Z28" i="16" s="1"/>
  <c r="E28" i="16"/>
  <c r="F28" i="16"/>
  <c r="AB28" i="16" s="1"/>
  <c r="G28" i="16"/>
  <c r="AC28" i="16" s="1"/>
  <c r="H28" i="16"/>
  <c r="AD28" i="16" s="1"/>
  <c r="I28" i="16"/>
  <c r="AE28" i="16" s="1"/>
  <c r="J28" i="16"/>
  <c r="AF28" i="16" s="1"/>
  <c r="V28" i="16"/>
  <c r="C29" i="16"/>
  <c r="Y29" i="16" s="1"/>
  <c r="D29" i="16"/>
  <c r="Z29" i="16" s="1"/>
  <c r="E29" i="16"/>
  <c r="F29" i="16"/>
  <c r="AB29" i="16" s="1"/>
  <c r="G29" i="16"/>
  <c r="AC29" i="16" s="1"/>
  <c r="H29" i="16"/>
  <c r="AD29" i="16" s="1"/>
  <c r="I29" i="16"/>
  <c r="AE29" i="16" s="1"/>
  <c r="J29" i="16"/>
  <c r="AF29" i="16" s="1"/>
  <c r="V29" i="16"/>
  <c r="C30" i="16"/>
  <c r="Y30" i="16" s="1"/>
  <c r="D30" i="16"/>
  <c r="Z30" i="16" s="1"/>
  <c r="E30" i="16"/>
  <c r="F30" i="16"/>
  <c r="AB30" i="16" s="1"/>
  <c r="G30" i="16"/>
  <c r="AC30" i="16" s="1"/>
  <c r="H30" i="16"/>
  <c r="AD30" i="16" s="1"/>
  <c r="I30" i="16"/>
  <c r="AE30" i="16" s="1"/>
  <c r="J30" i="16"/>
  <c r="AF30" i="16" s="1"/>
  <c r="V30" i="16"/>
  <c r="C31" i="16"/>
  <c r="Y31" i="16" s="1"/>
  <c r="D31" i="16"/>
  <c r="Z31" i="16" s="1"/>
  <c r="E31" i="16"/>
  <c r="F31" i="16"/>
  <c r="AB31" i="16" s="1"/>
  <c r="G31" i="16"/>
  <c r="AC31" i="16" s="1"/>
  <c r="H31" i="16"/>
  <c r="AD31" i="16" s="1"/>
  <c r="I31" i="16"/>
  <c r="AE31" i="16" s="1"/>
  <c r="J31" i="16"/>
  <c r="AF31" i="16" s="1"/>
  <c r="V31" i="16"/>
  <c r="C32" i="16"/>
  <c r="Y32" i="16" s="1"/>
  <c r="D32" i="16"/>
  <c r="Z32" i="16" s="1"/>
  <c r="E32" i="16"/>
  <c r="F32" i="16"/>
  <c r="AB32" i="16" s="1"/>
  <c r="G32" i="16"/>
  <c r="AC32" i="16" s="1"/>
  <c r="H32" i="16"/>
  <c r="AD32" i="16" s="1"/>
  <c r="I32" i="16"/>
  <c r="AE32" i="16" s="1"/>
  <c r="J32" i="16"/>
  <c r="AF32" i="16" s="1"/>
  <c r="V32" i="16"/>
  <c r="C33" i="16"/>
  <c r="Y33" i="16" s="1"/>
  <c r="D33" i="16"/>
  <c r="Z33" i="16" s="1"/>
  <c r="E33" i="16"/>
  <c r="F33" i="16"/>
  <c r="AB33" i="16" s="1"/>
  <c r="G33" i="16"/>
  <c r="AC33" i="16" s="1"/>
  <c r="H33" i="16"/>
  <c r="AD33" i="16" s="1"/>
  <c r="I33" i="16"/>
  <c r="AE33" i="16" s="1"/>
  <c r="J33" i="16"/>
  <c r="AF33" i="16" s="1"/>
  <c r="V33" i="16"/>
  <c r="C34" i="16"/>
  <c r="Y34" i="16" s="1"/>
  <c r="D34" i="16"/>
  <c r="E34" i="16"/>
  <c r="AA34" i="16" s="1"/>
  <c r="F34" i="16"/>
  <c r="AB34" i="16" s="1"/>
  <c r="G34" i="16"/>
  <c r="AC34" i="16" s="1"/>
  <c r="H34" i="16"/>
  <c r="AD34" i="16" s="1"/>
  <c r="I34" i="16"/>
  <c r="AE34" i="16" s="1"/>
  <c r="J34" i="16"/>
  <c r="AF34" i="16" s="1"/>
  <c r="V34" i="16"/>
  <c r="C35" i="16"/>
  <c r="Y35" i="16" s="1"/>
  <c r="D35" i="16"/>
  <c r="E35" i="16"/>
  <c r="AA35" i="16" s="1"/>
  <c r="F35" i="16"/>
  <c r="AB35" i="16" s="1"/>
  <c r="G35" i="16"/>
  <c r="AC35" i="16" s="1"/>
  <c r="H35" i="16"/>
  <c r="AD35" i="16" s="1"/>
  <c r="I35" i="16"/>
  <c r="AE35" i="16" s="1"/>
  <c r="J35" i="16"/>
  <c r="AF35" i="16" s="1"/>
  <c r="V35" i="16"/>
  <c r="C36" i="16"/>
  <c r="Y36" i="16" s="1"/>
  <c r="D36" i="16"/>
  <c r="E36" i="16"/>
  <c r="AA36" i="16" s="1"/>
  <c r="F36" i="16"/>
  <c r="AB36" i="16" s="1"/>
  <c r="G36" i="16"/>
  <c r="AC36" i="16" s="1"/>
  <c r="H36" i="16"/>
  <c r="AD36" i="16" s="1"/>
  <c r="I36" i="16"/>
  <c r="AE36" i="16" s="1"/>
  <c r="J36" i="16"/>
  <c r="AF36" i="16" s="1"/>
  <c r="V36" i="16"/>
  <c r="C37" i="16"/>
  <c r="Y37" i="16" s="1"/>
  <c r="D37" i="16"/>
  <c r="E37" i="16"/>
  <c r="AA37" i="16" s="1"/>
  <c r="F37" i="16"/>
  <c r="AB37" i="16" s="1"/>
  <c r="G37" i="16"/>
  <c r="AC37" i="16" s="1"/>
  <c r="H37" i="16"/>
  <c r="AD37" i="16" s="1"/>
  <c r="I37" i="16"/>
  <c r="AE37" i="16" s="1"/>
  <c r="J37" i="16"/>
  <c r="AF37" i="16" s="1"/>
  <c r="V37" i="16"/>
  <c r="C38" i="16"/>
  <c r="Y38" i="16" s="1"/>
  <c r="D38" i="16"/>
  <c r="E38" i="16"/>
  <c r="AA38" i="16" s="1"/>
  <c r="F38" i="16"/>
  <c r="AB38" i="16" s="1"/>
  <c r="G38" i="16"/>
  <c r="AC38" i="16" s="1"/>
  <c r="H38" i="16"/>
  <c r="AD38" i="16" s="1"/>
  <c r="I38" i="16"/>
  <c r="AE38" i="16" s="1"/>
  <c r="J38" i="16"/>
  <c r="AF38" i="16" s="1"/>
  <c r="V38" i="16"/>
  <c r="C39" i="16"/>
  <c r="Y39" i="16" s="1"/>
  <c r="D39" i="16"/>
  <c r="E39" i="16"/>
  <c r="AA39" i="16" s="1"/>
  <c r="F39" i="16"/>
  <c r="AB39" i="16" s="1"/>
  <c r="G39" i="16"/>
  <c r="AC39" i="16" s="1"/>
  <c r="H39" i="16"/>
  <c r="AD39" i="16" s="1"/>
  <c r="I39" i="16"/>
  <c r="AE39" i="16" s="1"/>
  <c r="J39" i="16"/>
  <c r="AF39" i="16" s="1"/>
  <c r="V39" i="16"/>
  <c r="C40" i="16"/>
  <c r="Y40" i="16" s="1"/>
  <c r="D40" i="16"/>
  <c r="E40" i="16"/>
  <c r="AA40" i="16" s="1"/>
  <c r="F40" i="16"/>
  <c r="AB40" i="16" s="1"/>
  <c r="G40" i="16"/>
  <c r="AC40" i="16" s="1"/>
  <c r="H40" i="16"/>
  <c r="AD40" i="16" s="1"/>
  <c r="I40" i="16"/>
  <c r="AE40" i="16" s="1"/>
  <c r="J40" i="16"/>
  <c r="AF40" i="16" s="1"/>
  <c r="V40" i="16"/>
  <c r="C41" i="16"/>
  <c r="Y41" i="16" s="1"/>
  <c r="D41" i="16"/>
  <c r="E41" i="16"/>
  <c r="AA41" i="16" s="1"/>
  <c r="F41" i="16"/>
  <c r="AB41" i="16" s="1"/>
  <c r="G41" i="16"/>
  <c r="AC41" i="16" s="1"/>
  <c r="H41" i="16"/>
  <c r="AD41" i="16" s="1"/>
  <c r="I41" i="16"/>
  <c r="AE41" i="16" s="1"/>
  <c r="J41" i="16"/>
  <c r="AF41" i="16" s="1"/>
  <c r="V41" i="16"/>
  <c r="C42" i="16"/>
  <c r="Y42" i="16" s="1"/>
  <c r="D42" i="16"/>
  <c r="E42" i="16"/>
  <c r="AA42" i="16" s="1"/>
  <c r="F42" i="16"/>
  <c r="AB42" i="16" s="1"/>
  <c r="G42" i="16"/>
  <c r="AC42" i="16" s="1"/>
  <c r="H42" i="16"/>
  <c r="AD42" i="16" s="1"/>
  <c r="I42" i="16"/>
  <c r="AE42" i="16" s="1"/>
  <c r="J42" i="16"/>
  <c r="AF42" i="16" s="1"/>
  <c r="V42" i="16"/>
  <c r="B2" i="16"/>
  <c r="K40" i="16" l="1"/>
  <c r="K35" i="16"/>
  <c r="K24" i="16"/>
  <c r="K41" i="16"/>
  <c r="K34" i="16"/>
  <c r="K27" i="16"/>
  <c r="K23" i="16"/>
  <c r="K42" i="16"/>
  <c r="K38" i="16"/>
  <c r="K33" i="16"/>
  <c r="K31" i="16"/>
  <c r="K30" i="16"/>
  <c r="K26" i="16"/>
  <c r="K32" i="16"/>
  <c r="K28" i="16"/>
  <c r="K37" i="16"/>
  <c r="K39" i="16"/>
  <c r="K36" i="16"/>
  <c r="K29" i="16"/>
  <c r="K25" i="16"/>
  <c r="AA33" i="16"/>
  <c r="AG33" i="16" s="1"/>
  <c r="AA32" i="16"/>
  <c r="AG32" i="16" s="1"/>
  <c r="AA31" i="16"/>
  <c r="AG31" i="16" s="1"/>
  <c r="AA30" i="16"/>
  <c r="AG30" i="16" s="1"/>
  <c r="AA29" i="16"/>
  <c r="AG29" i="16" s="1"/>
  <c r="AA28" i="16"/>
  <c r="AG28" i="16" s="1"/>
  <c r="AA27" i="16"/>
  <c r="AG27" i="16" s="1"/>
  <c r="AA26" i="16"/>
  <c r="AG26" i="16" s="1"/>
  <c r="AA25" i="16"/>
  <c r="AG25" i="16" s="1"/>
  <c r="AA24" i="16"/>
  <c r="AG24" i="16" s="1"/>
  <c r="AA23" i="16"/>
  <c r="AG23" i="16" s="1"/>
  <c r="Z42" i="16"/>
  <c r="AG42" i="16" s="1"/>
  <c r="Z41" i="16"/>
  <c r="AG41" i="16" s="1"/>
  <c r="Z40" i="16"/>
  <c r="AG40" i="16" s="1"/>
  <c r="Z39" i="16"/>
  <c r="AG39" i="16" s="1"/>
  <c r="Z38" i="16"/>
  <c r="AG38" i="16" s="1"/>
  <c r="Z37" i="16"/>
  <c r="AG37" i="16" s="1"/>
  <c r="Z36" i="16"/>
  <c r="AG36" i="16" s="1"/>
  <c r="Z35" i="16"/>
  <c r="AG35" i="16" s="1"/>
  <c r="Z34" i="16"/>
  <c r="AG34" i="16" s="1"/>
  <c r="D14" i="72" l="1"/>
  <c r="D13" i="72"/>
  <c r="E12" i="72" s="1"/>
  <c r="R56" i="19"/>
  <c r="F17" i="9" l="1"/>
  <c r="E17" i="9"/>
  <c r="F13" i="9"/>
  <c r="E13" i="9"/>
  <c r="E14" i="72"/>
  <c r="E13" i="72"/>
  <c r="D12" i="72" l="1"/>
  <c r="R68" i="19"/>
  <c r="R67" i="19"/>
  <c r="R66" i="19"/>
  <c r="R65" i="19"/>
  <c r="R64" i="19"/>
  <c r="R63" i="19"/>
  <c r="R62" i="19"/>
  <c r="R61" i="19"/>
  <c r="R60" i="19"/>
  <c r="R59" i="19"/>
  <c r="R58" i="19"/>
  <c r="R57" i="19"/>
  <c r="R55" i="19"/>
  <c r="R54" i="19"/>
  <c r="R53" i="19"/>
  <c r="R52" i="19"/>
  <c r="R51" i="19"/>
  <c r="R50" i="19"/>
  <c r="R49" i="19"/>
  <c r="R48" i="19"/>
  <c r="R47" i="19"/>
  <c r="R46" i="19"/>
  <c r="R45" i="19"/>
  <c r="R44" i="19"/>
  <c r="R43" i="19"/>
  <c r="R42" i="19"/>
  <c r="R41" i="19"/>
  <c r="R40" i="19"/>
  <c r="R39" i="19"/>
  <c r="R38" i="19"/>
  <c r="D18" i="72" l="1"/>
  <c r="E18" i="72"/>
  <c r="L21" i="42"/>
  <c r="K21" i="42"/>
  <c r="L21" i="9"/>
  <c r="K21" i="9"/>
  <c r="L16" i="23"/>
  <c r="K16" i="23"/>
  <c r="L32" i="28" l="1"/>
  <c r="C19" i="9" l="1"/>
  <c r="C14" i="9"/>
  <c r="D69" i="19" l="1"/>
  <c r="F19" i="76" s="1"/>
  <c r="C69" i="19"/>
  <c r="E19" i="42" l="1"/>
  <c r="F27" i="76"/>
  <c r="E69" i="19"/>
  <c r="F69" i="19"/>
  <c r="G69" i="19"/>
  <c r="H69" i="19"/>
  <c r="I69" i="19"/>
  <c r="J69" i="19"/>
  <c r="K69" i="19"/>
  <c r="L69" i="19"/>
  <c r="M69" i="19"/>
  <c r="N69" i="19"/>
  <c r="O69" i="19"/>
  <c r="P69" i="19"/>
  <c r="Q69" i="19"/>
  <c r="B50" i="1" l="1"/>
  <c r="C50" i="1"/>
  <c r="D50" i="1"/>
  <c r="E50" i="1"/>
  <c r="F50" i="1"/>
  <c r="G50" i="1"/>
  <c r="H50" i="1"/>
  <c r="I50" i="1"/>
  <c r="B51" i="1"/>
  <c r="C51" i="1"/>
  <c r="D51" i="1"/>
  <c r="E51" i="1"/>
  <c r="F51" i="1"/>
  <c r="G51" i="1"/>
  <c r="H51" i="1"/>
  <c r="I51" i="1"/>
  <c r="B52" i="1"/>
  <c r="C52" i="1"/>
  <c r="D52" i="1"/>
  <c r="E52" i="1"/>
  <c r="F52" i="1"/>
  <c r="G52" i="1"/>
  <c r="H52" i="1"/>
  <c r="I52" i="1"/>
  <c r="B53" i="1"/>
  <c r="C53" i="1"/>
  <c r="D53" i="1"/>
  <c r="E53" i="1"/>
  <c r="F53" i="1"/>
  <c r="G53" i="1"/>
  <c r="H53" i="1"/>
  <c r="B54" i="1"/>
  <c r="C54" i="1"/>
  <c r="D54" i="1"/>
  <c r="E54" i="1"/>
  <c r="F54" i="1"/>
  <c r="G54" i="1"/>
  <c r="H54" i="1"/>
  <c r="I54" i="1"/>
  <c r="B55" i="1"/>
  <c r="C55" i="1"/>
  <c r="D55" i="1"/>
  <c r="E55" i="1"/>
  <c r="F55" i="1"/>
  <c r="G55" i="1"/>
  <c r="H55" i="1"/>
  <c r="I55" i="1"/>
  <c r="B56" i="1"/>
  <c r="C56" i="1"/>
  <c r="D56" i="1"/>
  <c r="E56" i="1"/>
  <c r="F56" i="1"/>
  <c r="G56" i="1"/>
  <c r="H56" i="1"/>
  <c r="I56" i="1"/>
  <c r="B57" i="1"/>
  <c r="C57" i="1"/>
  <c r="D57" i="1"/>
  <c r="E57" i="1"/>
  <c r="F57" i="1"/>
  <c r="G57" i="1"/>
  <c r="H57" i="1"/>
  <c r="I57" i="1"/>
  <c r="B58" i="1"/>
  <c r="C58" i="1"/>
  <c r="D58" i="1"/>
  <c r="E58" i="1"/>
  <c r="F58" i="1"/>
  <c r="G58" i="1"/>
  <c r="H58" i="1"/>
  <c r="I58" i="1"/>
  <c r="B59" i="1"/>
  <c r="C59" i="1"/>
  <c r="D59" i="1"/>
  <c r="E59" i="1"/>
  <c r="F59" i="1"/>
  <c r="G59" i="1"/>
  <c r="H59" i="1"/>
  <c r="I59" i="1"/>
  <c r="B60" i="1"/>
  <c r="C60" i="1"/>
  <c r="D60" i="1"/>
  <c r="E60" i="1"/>
  <c r="F60" i="1"/>
  <c r="G60" i="1"/>
  <c r="H60" i="1"/>
  <c r="I60" i="1"/>
  <c r="B61" i="1"/>
  <c r="C61" i="1"/>
  <c r="D61" i="1"/>
  <c r="E61" i="1"/>
  <c r="F61" i="1"/>
  <c r="G61" i="1"/>
  <c r="H61" i="1"/>
  <c r="I61" i="1"/>
  <c r="B62" i="1"/>
  <c r="C62" i="1"/>
  <c r="D62" i="1"/>
  <c r="E62" i="1"/>
  <c r="F62" i="1"/>
  <c r="G62" i="1"/>
  <c r="H62" i="1"/>
  <c r="I62" i="1"/>
  <c r="B63" i="1"/>
  <c r="C63" i="1"/>
  <c r="D63" i="1"/>
  <c r="E63" i="1"/>
  <c r="F63" i="1"/>
  <c r="G63" i="1"/>
  <c r="H63" i="1"/>
  <c r="I63" i="1"/>
  <c r="B64" i="1"/>
  <c r="C64" i="1"/>
  <c r="D64" i="1"/>
  <c r="E64" i="1"/>
  <c r="F64" i="1"/>
  <c r="G64" i="1"/>
  <c r="H64" i="1"/>
  <c r="I64" i="1"/>
  <c r="B65" i="1"/>
  <c r="C65" i="1"/>
  <c r="D65" i="1"/>
  <c r="E65" i="1"/>
  <c r="F65" i="1"/>
  <c r="G65" i="1"/>
  <c r="H65" i="1"/>
  <c r="I65" i="1"/>
  <c r="C49" i="1"/>
  <c r="D49" i="1"/>
  <c r="E49" i="1"/>
  <c r="F49" i="1"/>
  <c r="G49" i="1"/>
  <c r="H49" i="1"/>
  <c r="I49" i="1"/>
  <c r="B49" i="1"/>
  <c r="L44" i="28"/>
  <c r="L43" i="28"/>
  <c r="L42" i="28"/>
  <c r="L41" i="28"/>
  <c r="L40" i="28"/>
  <c r="L39" i="28"/>
  <c r="L38" i="28"/>
  <c r="L37" i="28"/>
  <c r="L36" i="28"/>
  <c r="L35" i="28"/>
  <c r="L34" i="28"/>
  <c r="L33" i="28"/>
  <c r="L31" i="28"/>
  <c r="L30" i="28"/>
  <c r="L29" i="28"/>
  <c r="K45" i="28"/>
  <c r="J45" i="28"/>
  <c r="I45" i="28"/>
  <c r="H45" i="28"/>
  <c r="G45" i="28"/>
  <c r="F45" i="28"/>
  <c r="E45" i="28"/>
  <c r="J52" i="1" l="1"/>
  <c r="J57" i="1"/>
  <c r="I53" i="1"/>
  <c r="J53" i="1" s="1"/>
  <c r="E66" i="1"/>
  <c r="H66" i="1"/>
  <c r="J64" i="1"/>
  <c r="J61" i="1"/>
  <c r="J51" i="1"/>
  <c r="J63" i="1"/>
  <c r="J56" i="1"/>
  <c r="F66" i="1"/>
  <c r="J55" i="1"/>
  <c r="B66" i="1"/>
  <c r="J59" i="1"/>
  <c r="J60" i="1"/>
  <c r="D66" i="1"/>
  <c r="J65" i="1"/>
  <c r="J62" i="1"/>
  <c r="J58" i="1"/>
  <c r="J54" i="1"/>
  <c r="J50" i="1"/>
  <c r="G66" i="1"/>
  <c r="C66" i="1"/>
  <c r="J49" i="1"/>
  <c r="L28" i="28"/>
  <c r="L45" i="28" s="1"/>
  <c r="D13" i="23" s="1"/>
  <c r="E14" i="23" s="1"/>
  <c r="I66" i="1" l="1"/>
  <c r="J66" i="1"/>
  <c r="F14" i="23" s="1"/>
  <c r="D70" i="28" l="1"/>
  <c r="C12" i="42" l="1"/>
  <c r="C18" i="9"/>
  <c r="C17" i="9"/>
  <c r="C16" i="9"/>
  <c r="C15" i="9"/>
  <c r="C13" i="9"/>
  <c r="C17" i="42" l="1"/>
  <c r="C19" i="42"/>
  <c r="C14" i="42"/>
  <c r="C15" i="42"/>
  <c r="C18" i="42"/>
  <c r="C16" i="42"/>
  <c r="C13" i="42"/>
  <c r="D37" i="13"/>
  <c r="C7" i="8" l="1"/>
  <c r="T7" i="8" s="1"/>
  <c r="B7" i="8"/>
  <c r="S7" i="8" s="1"/>
  <c r="C8" i="40" l="1"/>
  <c r="C49" i="40" s="1"/>
  <c r="D8" i="40"/>
  <c r="D49" i="40" s="1"/>
  <c r="E8" i="40"/>
  <c r="E49" i="40" s="1"/>
  <c r="F8" i="40"/>
  <c r="G8" i="40"/>
  <c r="H8" i="40"/>
  <c r="I8" i="40"/>
  <c r="C9" i="40"/>
  <c r="C50" i="40" s="1"/>
  <c r="D9" i="40"/>
  <c r="E9" i="40"/>
  <c r="F9" i="40"/>
  <c r="F50" i="40" s="1"/>
  <c r="G9" i="40"/>
  <c r="G50" i="40" s="1"/>
  <c r="H9" i="40"/>
  <c r="I9" i="40"/>
  <c r="C10" i="40"/>
  <c r="C51" i="40" s="1"/>
  <c r="D10" i="40"/>
  <c r="D51" i="40" s="1"/>
  <c r="E10" i="40"/>
  <c r="F10" i="40"/>
  <c r="F51" i="40" s="1"/>
  <c r="G10" i="40"/>
  <c r="G51" i="40" s="1"/>
  <c r="H10" i="40"/>
  <c r="I10" i="40"/>
  <c r="C11" i="40"/>
  <c r="D11" i="40"/>
  <c r="D52" i="40" s="1"/>
  <c r="E11" i="40"/>
  <c r="E52" i="40" s="1"/>
  <c r="F11" i="40"/>
  <c r="G11" i="40"/>
  <c r="H11" i="40"/>
  <c r="H52" i="40" s="1"/>
  <c r="I11" i="40"/>
  <c r="I52" i="40" s="1"/>
  <c r="C12" i="40"/>
  <c r="D12" i="40"/>
  <c r="E12" i="40"/>
  <c r="F12" i="40"/>
  <c r="G12" i="40"/>
  <c r="H12" i="40"/>
  <c r="I12" i="40"/>
  <c r="C13" i="40"/>
  <c r="D13" i="40"/>
  <c r="E13" i="40"/>
  <c r="F13" i="40"/>
  <c r="G13" i="40"/>
  <c r="H13" i="40"/>
  <c r="I13" i="40"/>
  <c r="C14" i="40"/>
  <c r="D14" i="40"/>
  <c r="E14" i="40"/>
  <c r="F14" i="40"/>
  <c r="G14" i="40"/>
  <c r="H14" i="40"/>
  <c r="I14" i="40"/>
  <c r="C15" i="40"/>
  <c r="D15" i="40"/>
  <c r="E15" i="40"/>
  <c r="F15" i="40"/>
  <c r="G15" i="40"/>
  <c r="H15" i="40"/>
  <c r="I15" i="40"/>
  <c r="C16" i="40"/>
  <c r="D16" i="40"/>
  <c r="E16" i="40"/>
  <c r="F16" i="40"/>
  <c r="G16" i="40"/>
  <c r="H16" i="40"/>
  <c r="I16" i="40"/>
  <c r="C17" i="40"/>
  <c r="D17" i="40"/>
  <c r="E17" i="40"/>
  <c r="F17" i="40"/>
  <c r="G17" i="40"/>
  <c r="H17" i="40"/>
  <c r="I17" i="40"/>
  <c r="C18" i="40"/>
  <c r="D18" i="40"/>
  <c r="E18" i="40"/>
  <c r="F18" i="40"/>
  <c r="G18" i="40"/>
  <c r="H18" i="40"/>
  <c r="I18" i="40"/>
  <c r="C19" i="40"/>
  <c r="D19" i="40"/>
  <c r="E19" i="40"/>
  <c r="F19" i="40"/>
  <c r="G19" i="40"/>
  <c r="H19" i="40"/>
  <c r="I19" i="40"/>
  <c r="C20" i="40"/>
  <c r="D20" i="40"/>
  <c r="E20" i="40"/>
  <c r="F20" i="40"/>
  <c r="G20" i="40"/>
  <c r="H20" i="40"/>
  <c r="I20" i="40"/>
  <c r="C21" i="40"/>
  <c r="D21" i="40"/>
  <c r="E21" i="40"/>
  <c r="F21" i="40"/>
  <c r="G21" i="40"/>
  <c r="H21" i="40"/>
  <c r="I21" i="40"/>
  <c r="C22" i="40"/>
  <c r="D22" i="40"/>
  <c r="E22" i="40"/>
  <c r="F22" i="40"/>
  <c r="G22" i="40"/>
  <c r="H22" i="40"/>
  <c r="I22" i="40"/>
  <c r="C23" i="40"/>
  <c r="D23" i="40"/>
  <c r="E23" i="40"/>
  <c r="F23" i="40"/>
  <c r="G23" i="40"/>
  <c r="H23" i="40"/>
  <c r="I23" i="40"/>
  <c r="C24" i="40"/>
  <c r="D24" i="40"/>
  <c r="E24" i="40"/>
  <c r="F24" i="40"/>
  <c r="G24" i="40"/>
  <c r="H24" i="40"/>
  <c r="I24" i="40"/>
  <c r="C8" i="35"/>
  <c r="D8" i="35"/>
  <c r="D49" i="35" s="1"/>
  <c r="D70" i="35" s="1"/>
  <c r="E8" i="35"/>
  <c r="F8" i="35"/>
  <c r="G8" i="35"/>
  <c r="G49" i="35" s="1"/>
  <c r="H8" i="35"/>
  <c r="H49" i="35" s="1"/>
  <c r="H70" i="35" s="1"/>
  <c r="I8" i="35"/>
  <c r="C9" i="35"/>
  <c r="D9" i="35"/>
  <c r="E9" i="35"/>
  <c r="E50" i="35" s="1"/>
  <c r="E71" i="35" s="1"/>
  <c r="F9" i="35"/>
  <c r="G9" i="35"/>
  <c r="H9" i="35"/>
  <c r="H50" i="35" s="1"/>
  <c r="I9" i="35"/>
  <c r="I50" i="35" s="1"/>
  <c r="I71" i="35" s="1"/>
  <c r="C10" i="35"/>
  <c r="D10" i="35"/>
  <c r="E10" i="35"/>
  <c r="F10" i="35"/>
  <c r="F51" i="35" s="1"/>
  <c r="F72" i="35" s="1"/>
  <c r="G10" i="35"/>
  <c r="H10" i="35"/>
  <c r="I10" i="35"/>
  <c r="I51" i="35" s="1"/>
  <c r="C11" i="35"/>
  <c r="C52" i="35" s="1"/>
  <c r="C73" i="35" s="1"/>
  <c r="D11" i="35"/>
  <c r="E11" i="35"/>
  <c r="F11" i="35"/>
  <c r="G11" i="35"/>
  <c r="G52" i="35" s="1"/>
  <c r="G73" i="35" s="1"/>
  <c r="H11" i="35"/>
  <c r="I11" i="35"/>
  <c r="C12" i="35"/>
  <c r="C53" i="35" s="1"/>
  <c r="D12" i="35"/>
  <c r="D53" i="35" s="1"/>
  <c r="D74" i="35" s="1"/>
  <c r="E12" i="35"/>
  <c r="F12" i="35"/>
  <c r="F53" i="35" s="1"/>
  <c r="G12" i="35"/>
  <c r="G53" i="35" s="1"/>
  <c r="H12" i="35"/>
  <c r="H53" i="35" s="1"/>
  <c r="H74" i="35" s="1"/>
  <c r="I12" i="35"/>
  <c r="C13" i="35"/>
  <c r="D13" i="35"/>
  <c r="E13" i="35"/>
  <c r="E54" i="35" s="1"/>
  <c r="E75" i="35" s="1"/>
  <c r="F13" i="35"/>
  <c r="G13" i="35"/>
  <c r="G54" i="35" s="1"/>
  <c r="H13" i="35"/>
  <c r="I13" i="35"/>
  <c r="I54" i="35" s="1"/>
  <c r="I75" i="35" s="1"/>
  <c r="C14" i="35"/>
  <c r="D14" i="35"/>
  <c r="D55" i="35" s="1"/>
  <c r="E14" i="35"/>
  <c r="E55" i="35" s="1"/>
  <c r="F14" i="35"/>
  <c r="F55" i="35" s="1"/>
  <c r="F76" i="35" s="1"/>
  <c r="G14" i="35"/>
  <c r="H14" i="35"/>
  <c r="H55" i="35" s="1"/>
  <c r="I14" i="35"/>
  <c r="I55" i="35" s="1"/>
  <c r="C15" i="35"/>
  <c r="C56" i="35" s="1"/>
  <c r="C77" i="35" s="1"/>
  <c r="D15" i="35"/>
  <c r="E15" i="35"/>
  <c r="F15" i="35"/>
  <c r="G15" i="35"/>
  <c r="G56" i="35" s="1"/>
  <c r="G77" i="35" s="1"/>
  <c r="H15" i="35"/>
  <c r="I15" i="35"/>
  <c r="I56" i="35" s="1"/>
  <c r="C16" i="35"/>
  <c r="D16" i="35"/>
  <c r="D57" i="35" s="1"/>
  <c r="D78" i="35" s="1"/>
  <c r="E16" i="35"/>
  <c r="F16" i="35"/>
  <c r="F57" i="35" s="1"/>
  <c r="G16" i="35"/>
  <c r="H16" i="35"/>
  <c r="H57" i="35" s="1"/>
  <c r="H78" i="35" s="1"/>
  <c r="I16" i="35"/>
  <c r="C17" i="35"/>
  <c r="C58" i="35" s="1"/>
  <c r="D17" i="35"/>
  <c r="E17" i="35"/>
  <c r="E58" i="35" s="1"/>
  <c r="E79" i="35" s="1"/>
  <c r="F17" i="35"/>
  <c r="G17" i="35"/>
  <c r="H17" i="35"/>
  <c r="H58" i="35" s="1"/>
  <c r="I17" i="35"/>
  <c r="I58" i="35" s="1"/>
  <c r="I79" i="35" s="1"/>
  <c r="C18" i="35"/>
  <c r="D18" i="35"/>
  <c r="D59" i="35" s="1"/>
  <c r="E18" i="35"/>
  <c r="E59" i="35" s="1"/>
  <c r="F18" i="35"/>
  <c r="F59" i="35" s="1"/>
  <c r="F80" i="35" s="1"/>
  <c r="G18" i="35"/>
  <c r="H18" i="35"/>
  <c r="H59" i="35" s="1"/>
  <c r="I18" i="35"/>
  <c r="C19" i="35"/>
  <c r="C60" i="35" s="1"/>
  <c r="C81" i="35" s="1"/>
  <c r="D19" i="35"/>
  <c r="E19" i="35"/>
  <c r="E60" i="35" s="1"/>
  <c r="F19" i="35"/>
  <c r="G19" i="35"/>
  <c r="H19" i="35"/>
  <c r="I19" i="35"/>
  <c r="C20" i="35"/>
  <c r="C61" i="35" s="1"/>
  <c r="D20" i="35"/>
  <c r="D61" i="35" s="1"/>
  <c r="D82" i="35" s="1"/>
  <c r="E20" i="35"/>
  <c r="F20" i="35"/>
  <c r="F61" i="35" s="1"/>
  <c r="G20" i="35"/>
  <c r="G61" i="35" s="1"/>
  <c r="H20" i="35"/>
  <c r="H61" i="35" s="1"/>
  <c r="H82" i="35" s="1"/>
  <c r="I20" i="35"/>
  <c r="C21" i="35"/>
  <c r="C62" i="35" s="1"/>
  <c r="D21" i="35"/>
  <c r="E21" i="35"/>
  <c r="E62" i="35" s="1"/>
  <c r="E83" i="35" s="1"/>
  <c r="F21" i="35"/>
  <c r="G21" i="35"/>
  <c r="G62" i="35" s="1"/>
  <c r="H21" i="35"/>
  <c r="I21" i="35"/>
  <c r="I62" i="35" s="1"/>
  <c r="I83" i="35" s="1"/>
  <c r="C22" i="35"/>
  <c r="D22" i="35"/>
  <c r="E22" i="35"/>
  <c r="E63" i="35" s="1"/>
  <c r="F22" i="35"/>
  <c r="F63" i="35" s="1"/>
  <c r="F84" i="35" s="1"/>
  <c r="G22" i="35"/>
  <c r="H22" i="35"/>
  <c r="H63" i="35" s="1"/>
  <c r="I22" i="35"/>
  <c r="I63" i="35" s="1"/>
  <c r="C23" i="35"/>
  <c r="C64" i="35" s="1"/>
  <c r="C85" i="35" s="1"/>
  <c r="D23" i="35"/>
  <c r="E23" i="35"/>
  <c r="E64" i="35" s="1"/>
  <c r="F23" i="35"/>
  <c r="G23" i="35"/>
  <c r="G64" i="35" s="1"/>
  <c r="G85" i="35" s="1"/>
  <c r="H23" i="35"/>
  <c r="I23" i="35"/>
  <c r="I64" i="35" s="1"/>
  <c r="C24" i="35"/>
  <c r="D24" i="35"/>
  <c r="E24" i="35"/>
  <c r="F24" i="35"/>
  <c r="G24" i="35"/>
  <c r="G65" i="35" s="1"/>
  <c r="H24" i="35"/>
  <c r="H65" i="35" s="1"/>
  <c r="H86" i="35" s="1"/>
  <c r="I24" i="35"/>
  <c r="C8" i="37"/>
  <c r="D8" i="37"/>
  <c r="D49" i="37" s="1"/>
  <c r="D70" i="37" s="1"/>
  <c r="E8" i="37"/>
  <c r="F8" i="37"/>
  <c r="G8" i="37"/>
  <c r="G49" i="37" s="1"/>
  <c r="G70" i="37" s="1"/>
  <c r="H8" i="37"/>
  <c r="H49" i="37" s="1"/>
  <c r="H70" i="37" s="1"/>
  <c r="I8" i="37"/>
  <c r="C9" i="37"/>
  <c r="C50" i="37" s="1"/>
  <c r="D9" i="37"/>
  <c r="D50" i="37" s="1"/>
  <c r="E9" i="37"/>
  <c r="E50" i="37" s="1"/>
  <c r="E71" i="37" s="1"/>
  <c r="F9" i="37"/>
  <c r="G9" i="37"/>
  <c r="H9" i="37"/>
  <c r="H50" i="37" s="1"/>
  <c r="H71" i="37" s="1"/>
  <c r="I9" i="37"/>
  <c r="I50" i="37" s="1"/>
  <c r="I71" i="37" s="1"/>
  <c r="C10" i="37"/>
  <c r="D10" i="37"/>
  <c r="E10" i="37"/>
  <c r="E51" i="37" s="1"/>
  <c r="F10" i="37"/>
  <c r="F51" i="37" s="1"/>
  <c r="F72" i="37" s="1"/>
  <c r="G10" i="37"/>
  <c r="H10" i="37"/>
  <c r="I10" i="37"/>
  <c r="I51" i="37" s="1"/>
  <c r="I72" i="37" s="1"/>
  <c r="C11" i="37"/>
  <c r="C52" i="37" s="1"/>
  <c r="C73" i="37" s="1"/>
  <c r="D11" i="37"/>
  <c r="E11" i="37"/>
  <c r="E52" i="37" s="1"/>
  <c r="F11" i="37"/>
  <c r="F52" i="37" s="1"/>
  <c r="G11" i="37"/>
  <c r="G52" i="37" s="1"/>
  <c r="G73" i="37" s="1"/>
  <c r="H11" i="37"/>
  <c r="I11" i="37"/>
  <c r="C12" i="37"/>
  <c r="C53" i="37" s="1"/>
  <c r="C74" i="37" s="1"/>
  <c r="D12" i="37"/>
  <c r="D53" i="37" s="1"/>
  <c r="D74" i="37" s="1"/>
  <c r="E12" i="37"/>
  <c r="F12" i="37"/>
  <c r="G12" i="37"/>
  <c r="G53" i="37" s="1"/>
  <c r="H12" i="37"/>
  <c r="H53" i="37" s="1"/>
  <c r="H74" i="37" s="1"/>
  <c r="I12" i="37"/>
  <c r="C13" i="37"/>
  <c r="D13" i="37"/>
  <c r="D54" i="37" s="1"/>
  <c r="D75" i="37" s="1"/>
  <c r="E13" i="37"/>
  <c r="E54" i="37" s="1"/>
  <c r="E75" i="37" s="1"/>
  <c r="F13" i="37"/>
  <c r="G13" i="37"/>
  <c r="G54" i="37" s="1"/>
  <c r="H13" i="37"/>
  <c r="H54" i="37" s="1"/>
  <c r="H75" i="37" s="1"/>
  <c r="I13" i="37"/>
  <c r="C14" i="37"/>
  <c r="D14" i="37"/>
  <c r="D55" i="37" s="1"/>
  <c r="E14" i="37"/>
  <c r="E55" i="37" s="1"/>
  <c r="F14" i="37"/>
  <c r="F55" i="37" s="1"/>
  <c r="F76" i="37" s="1"/>
  <c r="G14" i="37"/>
  <c r="H14" i="37"/>
  <c r="I14" i="37"/>
  <c r="I55" i="37" s="1"/>
  <c r="I76" i="37" s="1"/>
  <c r="C15" i="37"/>
  <c r="C56" i="37" s="1"/>
  <c r="C77" i="37" s="1"/>
  <c r="D15" i="37"/>
  <c r="E15" i="37"/>
  <c r="F15" i="37"/>
  <c r="F56" i="37" s="1"/>
  <c r="F77" i="37" s="1"/>
  <c r="G15" i="37"/>
  <c r="G56" i="37" s="1"/>
  <c r="G77" i="37" s="1"/>
  <c r="H15" i="37"/>
  <c r="I15" i="37"/>
  <c r="C16" i="37"/>
  <c r="C57" i="37" s="1"/>
  <c r="C78" i="37" s="1"/>
  <c r="D16" i="37"/>
  <c r="D57" i="37" s="1"/>
  <c r="D78" i="37" s="1"/>
  <c r="E16" i="37"/>
  <c r="F16" i="37"/>
  <c r="G16" i="37"/>
  <c r="G57" i="37" s="1"/>
  <c r="H16" i="37"/>
  <c r="H57" i="37" s="1"/>
  <c r="H78" i="37" s="1"/>
  <c r="I16" i="37"/>
  <c r="C17" i="37"/>
  <c r="D17" i="37"/>
  <c r="D58" i="37" s="1"/>
  <c r="E17" i="37"/>
  <c r="E58" i="37" s="1"/>
  <c r="E79" i="37" s="1"/>
  <c r="F17" i="37"/>
  <c r="G17" i="37"/>
  <c r="H17" i="37"/>
  <c r="H58" i="37" s="1"/>
  <c r="H79" i="37" s="1"/>
  <c r="I17" i="37"/>
  <c r="I58" i="37" s="1"/>
  <c r="I79" i="37" s="1"/>
  <c r="C18" i="37"/>
  <c r="D18" i="37"/>
  <c r="E18" i="37"/>
  <c r="E59" i="37" s="1"/>
  <c r="E80" i="37" s="1"/>
  <c r="F18" i="37"/>
  <c r="F59" i="37" s="1"/>
  <c r="G18" i="37"/>
  <c r="H18" i="37"/>
  <c r="I18" i="37"/>
  <c r="I59" i="37" s="1"/>
  <c r="C19" i="37"/>
  <c r="C60" i="37" s="1"/>
  <c r="C81" i="37" s="1"/>
  <c r="D19" i="37"/>
  <c r="E19" i="37"/>
  <c r="F19" i="37"/>
  <c r="G19" i="37"/>
  <c r="G60" i="37" s="1"/>
  <c r="G81" i="37" s="1"/>
  <c r="H19" i="37"/>
  <c r="I19" i="37"/>
  <c r="C20" i="37"/>
  <c r="C61" i="37" s="1"/>
  <c r="C82" i="37" s="1"/>
  <c r="D20" i="37"/>
  <c r="D61" i="37" s="1"/>
  <c r="D82" i="37" s="1"/>
  <c r="E20" i="37"/>
  <c r="F20" i="37"/>
  <c r="G20" i="37"/>
  <c r="G61" i="37" s="1"/>
  <c r="G82" i="37" s="1"/>
  <c r="H20" i="37"/>
  <c r="H61" i="37" s="1"/>
  <c r="H82" i="37" s="1"/>
  <c r="I20" i="37"/>
  <c r="C21" i="37"/>
  <c r="D21" i="37"/>
  <c r="E21" i="37"/>
  <c r="E62" i="37" s="1"/>
  <c r="E83" i="37" s="1"/>
  <c r="F21" i="37"/>
  <c r="G21" i="37"/>
  <c r="H21" i="37"/>
  <c r="H62" i="37" s="1"/>
  <c r="H83" i="37" s="1"/>
  <c r="H124" i="37" s="1"/>
  <c r="I21" i="37"/>
  <c r="I62" i="37" s="1"/>
  <c r="I83" i="37" s="1"/>
  <c r="C22" i="37"/>
  <c r="D22" i="37"/>
  <c r="E22" i="37"/>
  <c r="E63" i="37" s="1"/>
  <c r="E84" i="37" s="1"/>
  <c r="F22" i="37"/>
  <c r="F63" i="37" s="1"/>
  <c r="F84" i="37" s="1"/>
  <c r="G22" i="37"/>
  <c r="H22" i="37"/>
  <c r="I22" i="37"/>
  <c r="I63" i="37" s="1"/>
  <c r="I84" i="37" s="1"/>
  <c r="C23" i="37"/>
  <c r="C64" i="37" s="1"/>
  <c r="C85" i="37" s="1"/>
  <c r="D23" i="37"/>
  <c r="E23" i="37"/>
  <c r="F23" i="37"/>
  <c r="F64" i="37" s="1"/>
  <c r="G23" i="37"/>
  <c r="G64" i="37" s="1"/>
  <c r="G85" i="37" s="1"/>
  <c r="H23" i="37"/>
  <c r="I23" i="37"/>
  <c r="C24" i="37"/>
  <c r="C65" i="37" s="1"/>
  <c r="C86" i="37" s="1"/>
  <c r="D24" i="37"/>
  <c r="D65" i="37" s="1"/>
  <c r="D86" i="37" s="1"/>
  <c r="E24" i="37"/>
  <c r="F24" i="37"/>
  <c r="G24" i="37"/>
  <c r="G65" i="37" s="1"/>
  <c r="G86" i="37" s="1"/>
  <c r="H24" i="37"/>
  <c r="H65" i="37" s="1"/>
  <c r="H86" i="37" s="1"/>
  <c r="I24" i="37"/>
  <c r="C8" i="41"/>
  <c r="D8" i="41"/>
  <c r="E8" i="41"/>
  <c r="F8" i="41"/>
  <c r="G8" i="41"/>
  <c r="H8" i="41"/>
  <c r="I8" i="41"/>
  <c r="C9" i="41"/>
  <c r="D9" i="41"/>
  <c r="E9" i="41"/>
  <c r="F9" i="41"/>
  <c r="G9" i="41"/>
  <c r="H9" i="41"/>
  <c r="I9" i="41"/>
  <c r="I50" i="41" s="1"/>
  <c r="C10" i="41"/>
  <c r="D10" i="41"/>
  <c r="E10" i="41"/>
  <c r="F10" i="41"/>
  <c r="G10" i="41"/>
  <c r="H10" i="41"/>
  <c r="I10" i="41"/>
  <c r="I51" i="41" s="1"/>
  <c r="I72" i="41" s="1"/>
  <c r="I113" i="41" s="1"/>
  <c r="C11" i="41"/>
  <c r="D11" i="41"/>
  <c r="E11" i="41"/>
  <c r="F11" i="41"/>
  <c r="G11" i="41"/>
  <c r="H11" i="41"/>
  <c r="I11" i="41"/>
  <c r="C12" i="41"/>
  <c r="D12" i="41"/>
  <c r="E12" i="41"/>
  <c r="F12" i="41"/>
  <c r="G12" i="41"/>
  <c r="H12" i="41"/>
  <c r="I12" i="41"/>
  <c r="C13" i="41"/>
  <c r="D13" i="41"/>
  <c r="E13" i="41"/>
  <c r="F13" i="41"/>
  <c r="G13" i="41"/>
  <c r="H13" i="41"/>
  <c r="I13" i="41"/>
  <c r="I54" i="41" s="1"/>
  <c r="C14" i="41"/>
  <c r="D14" i="41"/>
  <c r="E14" i="41"/>
  <c r="F14" i="41"/>
  <c r="G14" i="41"/>
  <c r="H14" i="41"/>
  <c r="I14" i="41"/>
  <c r="I55" i="41" s="1"/>
  <c r="C15" i="41"/>
  <c r="D15" i="41"/>
  <c r="E15" i="41"/>
  <c r="F15" i="41"/>
  <c r="G15" i="41"/>
  <c r="H15" i="41"/>
  <c r="I15" i="41"/>
  <c r="I56" i="41" s="1"/>
  <c r="I77" i="41" s="1"/>
  <c r="C16" i="41"/>
  <c r="D16" i="41"/>
  <c r="E16" i="41"/>
  <c r="F16" i="41"/>
  <c r="G16" i="41"/>
  <c r="H16" i="41"/>
  <c r="I16" i="41"/>
  <c r="I57" i="41" s="1"/>
  <c r="C17" i="41"/>
  <c r="D17" i="41"/>
  <c r="E17" i="41"/>
  <c r="F17" i="41"/>
  <c r="G17" i="41"/>
  <c r="H17" i="41"/>
  <c r="I17" i="41"/>
  <c r="C18" i="41"/>
  <c r="D18" i="41"/>
  <c r="E18" i="41"/>
  <c r="F18" i="41"/>
  <c r="G18" i="41"/>
  <c r="H18" i="41"/>
  <c r="I18" i="41"/>
  <c r="I59" i="41" s="1"/>
  <c r="C19" i="41"/>
  <c r="D19" i="41"/>
  <c r="E19" i="41"/>
  <c r="F19" i="41"/>
  <c r="G19" i="41"/>
  <c r="H19" i="41"/>
  <c r="I19" i="41"/>
  <c r="C20" i="41"/>
  <c r="D20" i="41"/>
  <c r="E20" i="41"/>
  <c r="F20" i="41"/>
  <c r="G20" i="41"/>
  <c r="H20" i="41"/>
  <c r="I20" i="41"/>
  <c r="I61" i="41" s="1"/>
  <c r="C21" i="41"/>
  <c r="D21" i="41"/>
  <c r="E21" i="41"/>
  <c r="F21" i="41"/>
  <c r="G21" i="41"/>
  <c r="H21" i="41"/>
  <c r="I21" i="41"/>
  <c r="I62" i="41" s="1"/>
  <c r="C22" i="41"/>
  <c r="D22" i="41"/>
  <c r="E22" i="41"/>
  <c r="F22" i="41"/>
  <c r="G22" i="41"/>
  <c r="H22" i="41"/>
  <c r="I22" i="41"/>
  <c r="I63" i="41" s="1"/>
  <c r="C23" i="41"/>
  <c r="D23" i="41"/>
  <c r="E23" i="41"/>
  <c r="F23" i="41"/>
  <c r="G23" i="41"/>
  <c r="H23" i="41"/>
  <c r="I23" i="41"/>
  <c r="I64" i="41" s="1"/>
  <c r="I85" i="41" s="1"/>
  <c r="C24" i="41"/>
  <c r="D24" i="41"/>
  <c r="E24" i="41"/>
  <c r="F24" i="41"/>
  <c r="G24" i="41"/>
  <c r="H24" i="41"/>
  <c r="I24" i="41"/>
  <c r="C8" i="39"/>
  <c r="D8" i="39"/>
  <c r="E8" i="39"/>
  <c r="F8" i="39"/>
  <c r="G8" i="39"/>
  <c r="H8" i="39"/>
  <c r="I8" i="39"/>
  <c r="I49" i="39" s="1"/>
  <c r="I70" i="39" s="1"/>
  <c r="C9" i="39"/>
  <c r="D9" i="39"/>
  <c r="E9" i="39"/>
  <c r="F9" i="39"/>
  <c r="G9" i="39"/>
  <c r="H9" i="39"/>
  <c r="I9" i="39"/>
  <c r="C10" i="39"/>
  <c r="D10" i="39"/>
  <c r="E10" i="39"/>
  <c r="F10" i="39"/>
  <c r="G10" i="39"/>
  <c r="H10" i="39"/>
  <c r="I10" i="39"/>
  <c r="C11" i="39"/>
  <c r="D11" i="39"/>
  <c r="E11" i="39"/>
  <c r="F11" i="39"/>
  <c r="G11" i="39"/>
  <c r="H11" i="39"/>
  <c r="I11" i="39"/>
  <c r="I52" i="39" s="1"/>
  <c r="I73" i="39" s="1"/>
  <c r="C12" i="39"/>
  <c r="D12" i="39"/>
  <c r="E12" i="39"/>
  <c r="F12" i="39"/>
  <c r="G12" i="39"/>
  <c r="H12" i="39"/>
  <c r="I12" i="39"/>
  <c r="I53" i="39" s="1"/>
  <c r="I74" i="39" s="1"/>
  <c r="C13" i="39"/>
  <c r="D13" i="39"/>
  <c r="E13" i="39"/>
  <c r="F13" i="39"/>
  <c r="G13" i="39"/>
  <c r="H13" i="39"/>
  <c r="I13" i="39"/>
  <c r="C14" i="39"/>
  <c r="D14" i="39"/>
  <c r="E14" i="39"/>
  <c r="F14" i="39"/>
  <c r="G14" i="39"/>
  <c r="H14" i="39"/>
  <c r="I14" i="39"/>
  <c r="C15" i="39"/>
  <c r="D15" i="39"/>
  <c r="E15" i="39"/>
  <c r="F15" i="39"/>
  <c r="G15" i="39"/>
  <c r="H15" i="39"/>
  <c r="I15" i="39"/>
  <c r="I56" i="39" s="1"/>
  <c r="I77" i="39" s="1"/>
  <c r="C16" i="39"/>
  <c r="D16" i="39"/>
  <c r="E16" i="39"/>
  <c r="F16" i="39"/>
  <c r="G16" i="39"/>
  <c r="H16" i="39"/>
  <c r="I16" i="39"/>
  <c r="I57" i="39" s="1"/>
  <c r="I78" i="39" s="1"/>
  <c r="C17" i="39"/>
  <c r="D17" i="39"/>
  <c r="E17" i="39"/>
  <c r="F17" i="39"/>
  <c r="G17" i="39"/>
  <c r="H17" i="39"/>
  <c r="I17" i="39"/>
  <c r="C18" i="39"/>
  <c r="D18" i="39"/>
  <c r="E18" i="39"/>
  <c r="F18" i="39"/>
  <c r="G18" i="39"/>
  <c r="H18" i="39"/>
  <c r="I18" i="39"/>
  <c r="C19" i="39"/>
  <c r="D19" i="39"/>
  <c r="E19" i="39"/>
  <c r="F19" i="39"/>
  <c r="G19" i="39"/>
  <c r="H19" i="39"/>
  <c r="I19" i="39"/>
  <c r="I60" i="39" s="1"/>
  <c r="I81" i="39" s="1"/>
  <c r="C20" i="39"/>
  <c r="D20" i="39"/>
  <c r="E20" i="39"/>
  <c r="F20" i="39"/>
  <c r="G20" i="39"/>
  <c r="H20" i="39"/>
  <c r="I20" i="39"/>
  <c r="I61" i="39" s="1"/>
  <c r="I82" i="39" s="1"/>
  <c r="C21" i="39"/>
  <c r="D21" i="39"/>
  <c r="E21" i="39"/>
  <c r="F21" i="39"/>
  <c r="G21" i="39"/>
  <c r="H21" i="39"/>
  <c r="I21" i="39"/>
  <c r="C22" i="39"/>
  <c r="D22" i="39"/>
  <c r="E22" i="39"/>
  <c r="F22" i="39"/>
  <c r="G22" i="39"/>
  <c r="H22" i="39"/>
  <c r="I22" i="39"/>
  <c r="C23" i="39"/>
  <c r="D23" i="39"/>
  <c r="E23" i="39"/>
  <c r="F23" i="39"/>
  <c r="G23" i="39"/>
  <c r="H23" i="39"/>
  <c r="I23" i="39"/>
  <c r="I64" i="39" s="1"/>
  <c r="I85" i="39" s="1"/>
  <c r="C24" i="39"/>
  <c r="D24" i="39"/>
  <c r="E24" i="39"/>
  <c r="F24" i="39"/>
  <c r="G24" i="39"/>
  <c r="H24" i="39"/>
  <c r="I24" i="39"/>
  <c r="I65" i="39" s="1"/>
  <c r="I86" i="39" s="1"/>
  <c r="C8" i="38"/>
  <c r="C49" i="38" s="1"/>
  <c r="D8" i="38"/>
  <c r="D49" i="38" s="1"/>
  <c r="D70" i="38" s="1"/>
  <c r="E8" i="38"/>
  <c r="F8" i="38"/>
  <c r="F49" i="38" s="1"/>
  <c r="F70" i="38" s="1"/>
  <c r="G8" i="38"/>
  <c r="G49" i="38" s="1"/>
  <c r="H8" i="38"/>
  <c r="H49" i="38" s="1"/>
  <c r="H70" i="38" s="1"/>
  <c r="I8" i="38"/>
  <c r="C9" i="38"/>
  <c r="C50" i="38" s="1"/>
  <c r="C71" i="38" s="1"/>
  <c r="D9" i="38"/>
  <c r="E9" i="38"/>
  <c r="E50" i="38" s="1"/>
  <c r="E71" i="38" s="1"/>
  <c r="F9" i="38"/>
  <c r="G9" i="38"/>
  <c r="G50" i="38" s="1"/>
  <c r="H9" i="38"/>
  <c r="I9" i="38"/>
  <c r="I50" i="38" s="1"/>
  <c r="I71" i="38" s="1"/>
  <c r="C10" i="38"/>
  <c r="D10" i="38"/>
  <c r="D51" i="38" s="1"/>
  <c r="D72" i="38" s="1"/>
  <c r="E10" i="38"/>
  <c r="E51" i="38" s="1"/>
  <c r="F10" i="38"/>
  <c r="F51" i="38" s="1"/>
  <c r="F72" i="38" s="1"/>
  <c r="G10" i="38"/>
  <c r="H10" i="38"/>
  <c r="H51" i="38" s="1"/>
  <c r="H72" i="38" s="1"/>
  <c r="I10" i="38"/>
  <c r="I51" i="38" s="1"/>
  <c r="C11" i="38"/>
  <c r="C52" i="38" s="1"/>
  <c r="C73" i="38" s="1"/>
  <c r="D11" i="38"/>
  <c r="E11" i="38"/>
  <c r="F11" i="38"/>
  <c r="G11" i="38"/>
  <c r="G52" i="38" s="1"/>
  <c r="G73" i="38" s="1"/>
  <c r="H11" i="38"/>
  <c r="I11" i="38"/>
  <c r="C12" i="38"/>
  <c r="D12" i="38"/>
  <c r="D53" i="38" s="1"/>
  <c r="D74" i="38" s="1"/>
  <c r="E12" i="38"/>
  <c r="F12" i="38"/>
  <c r="F53" i="38" s="1"/>
  <c r="F74" i="38" s="1"/>
  <c r="G12" i="38"/>
  <c r="G53" i="38" s="1"/>
  <c r="H12" i="38"/>
  <c r="H53" i="38" s="1"/>
  <c r="H74" i="38" s="1"/>
  <c r="I12" i="38"/>
  <c r="C13" i="38"/>
  <c r="C54" i="38" s="1"/>
  <c r="C75" i="38" s="1"/>
  <c r="D13" i="38"/>
  <c r="D54" i="38" s="1"/>
  <c r="E13" i="38"/>
  <c r="E54" i="38" s="1"/>
  <c r="F13" i="38"/>
  <c r="G13" i="38"/>
  <c r="G54" i="38" s="1"/>
  <c r="G75" i="38" s="1"/>
  <c r="H13" i="38"/>
  <c r="I13" i="38"/>
  <c r="C14" i="38"/>
  <c r="D14" i="38"/>
  <c r="D55" i="38" s="1"/>
  <c r="E14" i="38"/>
  <c r="F14" i="38"/>
  <c r="G14" i="38"/>
  <c r="H14" i="38"/>
  <c r="H55" i="38" s="1"/>
  <c r="H76" i="38" s="1"/>
  <c r="I14" i="38"/>
  <c r="I55" i="38" s="1"/>
  <c r="C15" i="38"/>
  <c r="D15" i="38"/>
  <c r="E15" i="38"/>
  <c r="E56" i="38" s="1"/>
  <c r="E77" i="38" s="1"/>
  <c r="F15" i="38"/>
  <c r="F56" i="38" s="1"/>
  <c r="G15" i="38"/>
  <c r="G56" i="38" s="1"/>
  <c r="H15" i="38"/>
  <c r="I15" i="38"/>
  <c r="I56" i="38" s="1"/>
  <c r="C16" i="38"/>
  <c r="D16" i="38"/>
  <c r="E16" i="38"/>
  <c r="F16" i="38"/>
  <c r="F57" i="38" s="1"/>
  <c r="G16" i="38"/>
  <c r="H16" i="38"/>
  <c r="I16" i="38"/>
  <c r="C17" i="38"/>
  <c r="C58" i="38" s="1"/>
  <c r="C79" i="38" s="1"/>
  <c r="D17" i="38"/>
  <c r="D58" i="38" s="1"/>
  <c r="E17" i="38"/>
  <c r="F17" i="38"/>
  <c r="G17" i="38"/>
  <c r="G58" i="38" s="1"/>
  <c r="G79" i="38" s="1"/>
  <c r="H17" i="38"/>
  <c r="H58" i="38" s="1"/>
  <c r="I17" i="38"/>
  <c r="I58" i="38" s="1"/>
  <c r="C18" i="38"/>
  <c r="D18" i="38"/>
  <c r="E18" i="38"/>
  <c r="F18" i="38"/>
  <c r="G18" i="38"/>
  <c r="H18" i="38"/>
  <c r="H59" i="38" s="1"/>
  <c r="I18" i="38"/>
  <c r="C19" i="38"/>
  <c r="D19" i="38"/>
  <c r="E19" i="38"/>
  <c r="E60" i="38" s="1"/>
  <c r="E81" i="38" s="1"/>
  <c r="F19" i="38"/>
  <c r="F60" i="38" s="1"/>
  <c r="G19" i="38"/>
  <c r="H19" i="38"/>
  <c r="I19" i="38"/>
  <c r="I60" i="38" s="1"/>
  <c r="I81" i="38" s="1"/>
  <c r="C20" i="38"/>
  <c r="C61" i="38" s="1"/>
  <c r="D20" i="38"/>
  <c r="D61" i="38" s="1"/>
  <c r="E20" i="38"/>
  <c r="F20" i="38"/>
  <c r="F61" i="38" s="1"/>
  <c r="F82" i="38" s="1"/>
  <c r="F123" i="38" s="1"/>
  <c r="G20" i="38"/>
  <c r="H20" i="38"/>
  <c r="H61" i="38" s="1"/>
  <c r="I20" i="38"/>
  <c r="C21" i="38"/>
  <c r="C62" i="38" s="1"/>
  <c r="D21" i="38"/>
  <c r="E21" i="38"/>
  <c r="F21" i="38"/>
  <c r="G21" i="38"/>
  <c r="G62" i="38" s="1"/>
  <c r="G83" i="38" s="1"/>
  <c r="H21" i="38"/>
  <c r="H62" i="38" s="1"/>
  <c r="I21" i="38"/>
  <c r="C22" i="38"/>
  <c r="D22" i="38"/>
  <c r="D63" i="38" s="1"/>
  <c r="D84" i="38" s="1"/>
  <c r="E22" i="38"/>
  <c r="E63" i="38" s="1"/>
  <c r="F22" i="38"/>
  <c r="F63" i="38" s="1"/>
  <c r="G22" i="38"/>
  <c r="H22" i="38"/>
  <c r="H63" i="38" s="1"/>
  <c r="H84" i="38" s="1"/>
  <c r="H125" i="38" s="1"/>
  <c r="I22" i="38"/>
  <c r="C23" i="38"/>
  <c r="C64" i="38" s="1"/>
  <c r="D23" i="38"/>
  <c r="E23" i="38"/>
  <c r="E64" i="38" s="1"/>
  <c r="F23" i="38"/>
  <c r="G23" i="38"/>
  <c r="H23" i="38"/>
  <c r="I23" i="38"/>
  <c r="I64" i="38" s="1"/>
  <c r="I85" i="38" s="1"/>
  <c r="C24" i="38"/>
  <c r="C65" i="38" s="1"/>
  <c r="D24" i="38"/>
  <c r="E24" i="38"/>
  <c r="F24" i="38"/>
  <c r="F65" i="38" s="1"/>
  <c r="F86" i="38" s="1"/>
  <c r="G24" i="38"/>
  <c r="G65" i="38" s="1"/>
  <c r="H24" i="38"/>
  <c r="H65" i="38" s="1"/>
  <c r="I24" i="38"/>
  <c r="C8" i="36"/>
  <c r="D8" i="36"/>
  <c r="E8" i="36"/>
  <c r="E49" i="36" s="1"/>
  <c r="E70" i="36" s="1"/>
  <c r="F8" i="36"/>
  <c r="G8" i="36"/>
  <c r="H8" i="36"/>
  <c r="I8" i="36"/>
  <c r="I49" i="36" s="1"/>
  <c r="C9" i="36"/>
  <c r="D9" i="36"/>
  <c r="E9" i="36"/>
  <c r="F9" i="36"/>
  <c r="F50" i="36" s="1"/>
  <c r="F71" i="36" s="1"/>
  <c r="G9" i="36"/>
  <c r="H9" i="36"/>
  <c r="H50" i="36" s="1"/>
  <c r="I9" i="36"/>
  <c r="C10" i="36"/>
  <c r="C51" i="36" s="1"/>
  <c r="C72" i="36" s="1"/>
  <c r="D10" i="36"/>
  <c r="E10" i="36"/>
  <c r="F10" i="36"/>
  <c r="G10" i="36"/>
  <c r="G51" i="36" s="1"/>
  <c r="G72" i="36" s="1"/>
  <c r="H10" i="36"/>
  <c r="I10" i="36"/>
  <c r="I51" i="36" s="1"/>
  <c r="C11" i="36"/>
  <c r="D11" i="36"/>
  <c r="E11" i="36"/>
  <c r="F11" i="36"/>
  <c r="G11" i="36"/>
  <c r="H11" i="36"/>
  <c r="H52" i="36" s="1"/>
  <c r="H73" i="36" s="1"/>
  <c r="I11" i="36"/>
  <c r="C12" i="36"/>
  <c r="C53" i="36" s="1"/>
  <c r="D12" i="36"/>
  <c r="E12" i="36"/>
  <c r="E53" i="36" s="1"/>
  <c r="E74" i="36" s="1"/>
  <c r="F12" i="36"/>
  <c r="G12" i="36"/>
  <c r="H12" i="36"/>
  <c r="I12" i="36"/>
  <c r="I53" i="36" s="1"/>
  <c r="I74" i="36" s="1"/>
  <c r="C13" i="36"/>
  <c r="D13" i="36"/>
  <c r="D54" i="36" s="1"/>
  <c r="E13" i="36"/>
  <c r="F13" i="36"/>
  <c r="F54" i="36" s="1"/>
  <c r="F75" i="36" s="1"/>
  <c r="G13" i="36"/>
  <c r="H13" i="36"/>
  <c r="I13" i="36"/>
  <c r="C14" i="36"/>
  <c r="C55" i="36" s="1"/>
  <c r="C76" i="36" s="1"/>
  <c r="D14" i="36"/>
  <c r="E14" i="36"/>
  <c r="E55" i="36" s="1"/>
  <c r="F14" i="36"/>
  <c r="G14" i="36"/>
  <c r="G55" i="36" s="1"/>
  <c r="G76" i="36" s="1"/>
  <c r="H14" i="36"/>
  <c r="I14" i="36"/>
  <c r="C15" i="36"/>
  <c r="D15" i="36"/>
  <c r="D56" i="36" s="1"/>
  <c r="D77" i="36" s="1"/>
  <c r="E15" i="36"/>
  <c r="F15" i="36"/>
  <c r="G15" i="36"/>
  <c r="H15" i="36"/>
  <c r="H56" i="36" s="1"/>
  <c r="H77" i="36" s="1"/>
  <c r="I15" i="36"/>
  <c r="C16" i="36"/>
  <c r="C57" i="36" s="1"/>
  <c r="D16" i="36"/>
  <c r="E16" i="36"/>
  <c r="E57" i="36" s="1"/>
  <c r="E78" i="36" s="1"/>
  <c r="F16" i="36"/>
  <c r="G16" i="36"/>
  <c r="G57" i="36" s="1"/>
  <c r="H16" i="36"/>
  <c r="H57" i="36" s="1"/>
  <c r="I16" i="36"/>
  <c r="I57" i="36" s="1"/>
  <c r="I78" i="36" s="1"/>
  <c r="C17" i="36"/>
  <c r="D17" i="36"/>
  <c r="E17" i="36"/>
  <c r="F17" i="36"/>
  <c r="F58" i="36" s="1"/>
  <c r="F79" i="36" s="1"/>
  <c r="G17" i="36"/>
  <c r="H17" i="36"/>
  <c r="I17" i="36"/>
  <c r="C18" i="36"/>
  <c r="C59" i="36" s="1"/>
  <c r="C80" i="36" s="1"/>
  <c r="D18" i="36"/>
  <c r="E18" i="36"/>
  <c r="E59" i="36" s="1"/>
  <c r="F18" i="36"/>
  <c r="G18" i="36"/>
  <c r="G59" i="36" s="1"/>
  <c r="G80" i="36" s="1"/>
  <c r="H18" i="36"/>
  <c r="I18" i="36"/>
  <c r="I59" i="36" s="1"/>
  <c r="C19" i="36"/>
  <c r="C60" i="36" s="1"/>
  <c r="D19" i="36"/>
  <c r="D60" i="36" s="1"/>
  <c r="D81" i="36" s="1"/>
  <c r="E19" i="36"/>
  <c r="F19" i="36"/>
  <c r="G19" i="36"/>
  <c r="H19" i="36"/>
  <c r="I19" i="36"/>
  <c r="C20" i="36"/>
  <c r="D20" i="36"/>
  <c r="E20" i="36"/>
  <c r="E61" i="36" s="1"/>
  <c r="E82" i="36" s="1"/>
  <c r="F20" i="36"/>
  <c r="G20" i="36"/>
  <c r="G61" i="36" s="1"/>
  <c r="H20" i="36"/>
  <c r="I20" i="36"/>
  <c r="I61" i="36" s="1"/>
  <c r="I82" i="36" s="1"/>
  <c r="C21" i="36"/>
  <c r="D21" i="36"/>
  <c r="D62" i="36" s="1"/>
  <c r="E21" i="36"/>
  <c r="E62" i="36" s="1"/>
  <c r="F21" i="36"/>
  <c r="F62" i="36" s="1"/>
  <c r="F83" i="36" s="1"/>
  <c r="G21" i="36"/>
  <c r="H21" i="36"/>
  <c r="I21" i="36"/>
  <c r="C22" i="36"/>
  <c r="C63" i="36" s="1"/>
  <c r="C84" i="36" s="1"/>
  <c r="D22" i="36"/>
  <c r="E22" i="36"/>
  <c r="F22" i="36"/>
  <c r="G22" i="36"/>
  <c r="G63" i="36" s="1"/>
  <c r="G84" i="36" s="1"/>
  <c r="H22" i="36"/>
  <c r="I22" i="36"/>
  <c r="I63" i="36" s="1"/>
  <c r="C23" i="36"/>
  <c r="D23" i="36"/>
  <c r="D64" i="36" s="1"/>
  <c r="D85" i="36" s="1"/>
  <c r="E23" i="36"/>
  <c r="F23" i="36"/>
  <c r="F64" i="36" s="1"/>
  <c r="G23" i="36"/>
  <c r="G64" i="36" s="1"/>
  <c r="H23" i="36"/>
  <c r="H64" i="36" s="1"/>
  <c r="H85" i="36" s="1"/>
  <c r="I23" i="36"/>
  <c r="C24" i="36"/>
  <c r="D24" i="36"/>
  <c r="E24" i="36"/>
  <c r="E65" i="36" s="1"/>
  <c r="E86" i="36" s="1"/>
  <c r="F24" i="36"/>
  <c r="G24" i="36"/>
  <c r="H24" i="36"/>
  <c r="I24" i="36"/>
  <c r="I65" i="36" s="1"/>
  <c r="I86" i="36" s="1"/>
  <c r="C8" i="34"/>
  <c r="D8" i="34"/>
  <c r="D49" i="34" s="1"/>
  <c r="D70" i="34" s="1"/>
  <c r="E8" i="34"/>
  <c r="F8" i="34"/>
  <c r="G8" i="34"/>
  <c r="H8" i="34"/>
  <c r="H49" i="34" s="1"/>
  <c r="H70" i="34" s="1"/>
  <c r="I8" i="34"/>
  <c r="C9" i="34"/>
  <c r="D9" i="34"/>
  <c r="E9" i="34"/>
  <c r="E50" i="34" s="1"/>
  <c r="E71" i="34" s="1"/>
  <c r="F9" i="34"/>
  <c r="G9" i="34"/>
  <c r="H9" i="34"/>
  <c r="I9" i="34"/>
  <c r="I50" i="34" s="1"/>
  <c r="I71" i="34" s="1"/>
  <c r="C10" i="34"/>
  <c r="D10" i="34"/>
  <c r="E10" i="34"/>
  <c r="F10" i="34"/>
  <c r="F51" i="34" s="1"/>
  <c r="F72" i="34" s="1"/>
  <c r="G10" i="34"/>
  <c r="H10" i="34"/>
  <c r="I10" i="34"/>
  <c r="C11" i="34"/>
  <c r="C52" i="34" s="1"/>
  <c r="C73" i="34" s="1"/>
  <c r="D11" i="34"/>
  <c r="E11" i="34"/>
  <c r="F11" i="34"/>
  <c r="G11" i="34"/>
  <c r="G52" i="34" s="1"/>
  <c r="G73" i="34" s="1"/>
  <c r="H11" i="34"/>
  <c r="I11" i="34"/>
  <c r="C12" i="34"/>
  <c r="D12" i="34"/>
  <c r="D53" i="34" s="1"/>
  <c r="D74" i="34" s="1"/>
  <c r="E12" i="34"/>
  <c r="F12" i="34"/>
  <c r="G12" i="34"/>
  <c r="H12" i="34"/>
  <c r="H53" i="34" s="1"/>
  <c r="H74" i="34" s="1"/>
  <c r="I12" i="34"/>
  <c r="C13" i="34"/>
  <c r="D13" i="34"/>
  <c r="E13" i="34"/>
  <c r="E54" i="34" s="1"/>
  <c r="E75" i="34" s="1"/>
  <c r="F13" i="34"/>
  <c r="G13" i="34"/>
  <c r="H13" i="34"/>
  <c r="I13" i="34"/>
  <c r="I54" i="34" s="1"/>
  <c r="I75" i="34" s="1"/>
  <c r="C14" i="34"/>
  <c r="D14" i="34"/>
  <c r="E14" i="34"/>
  <c r="F14" i="34"/>
  <c r="F55" i="34" s="1"/>
  <c r="F76" i="34" s="1"/>
  <c r="G14" i="34"/>
  <c r="H14" i="34"/>
  <c r="I14" i="34"/>
  <c r="C15" i="34"/>
  <c r="C56" i="34" s="1"/>
  <c r="C77" i="34" s="1"/>
  <c r="D15" i="34"/>
  <c r="E15" i="34"/>
  <c r="F15" i="34"/>
  <c r="G15" i="34"/>
  <c r="G56" i="34" s="1"/>
  <c r="G77" i="34" s="1"/>
  <c r="H15" i="34"/>
  <c r="I15" i="34"/>
  <c r="C16" i="34"/>
  <c r="D16" i="34"/>
  <c r="D57" i="34" s="1"/>
  <c r="D78" i="34" s="1"/>
  <c r="E16" i="34"/>
  <c r="F16" i="34"/>
  <c r="G16" i="34"/>
  <c r="H16" i="34"/>
  <c r="H57" i="34" s="1"/>
  <c r="H78" i="34" s="1"/>
  <c r="I16" i="34"/>
  <c r="C17" i="34"/>
  <c r="D17" i="34"/>
  <c r="E17" i="34"/>
  <c r="E58" i="34" s="1"/>
  <c r="E79" i="34" s="1"/>
  <c r="F17" i="34"/>
  <c r="G17" i="34"/>
  <c r="H17" i="34"/>
  <c r="I17" i="34"/>
  <c r="I58" i="34" s="1"/>
  <c r="I79" i="34" s="1"/>
  <c r="C18" i="34"/>
  <c r="D18" i="34"/>
  <c r="E18" i="34"/>
  <c r="F18" i="34"/>
  <c r="F59" i="34" s="1"/>
  <c r="F80" i="34" s="1"/>
  <c r="G18" i="34"/>
  <c r="H18" i="34"/>
  <c r="I18" i="34"/>
  <c r="C19" i="34"/>
  <c r="C60" i="34" s="1"/>
  <c r="C81" i="34" s="1"/>
  <c r="D19" i="34"/>
  <c r="E19" i="34"/>
  <c r="F19" i="34"/>
  <c r="G19" i="34"/>
  <c r="G60" i="34" s="1"/>
  <c r="G81" i="34" s="1"/>
  <c r="H19" i="34"/>
  <c r="I19" i="34"/>
  <c r="C20" i="34"/>
  <c r="D20" i="34"/>
  <c r="D61" i="34" s="1"/>
  <c r="D82" i="34" s="1"/>
  <c r="E20" i="34"/>
  <c r="F20" i="34"/>
  <c r="G20" i="34"/>
  <c r="H20" i="34"/>
  <c r="H61" i="34" s="1"/>
  <c r="H82" i="34" s="1"/>
  <c r="I20" i="34"/>
  <c r="C21" i="34"/>
  <c r="D21" i="34"/>
  <c r="E21" i="34"/>
  <c r="E62" i="34" s="1"/>
  <c r="E83" i="34" s="1"/>
  <c r="F21" i="34"/>
  <c r="G21" i="34"/>
  <c r="H21" i="34"/>
  <c r="I21" i="34"/>
  <c r="I62" i="34" s="1"/>
  <c r="I83" i="34" s="1"/>
  <c r="C22" i="34"/>
  <c r="D22" i="34"/>
  <c r="E22" i="34"/>
  <c r="F22" i="34"/>
  <c r="F63" i="34" s="1"/>
  <c r="F84" i="34" s="1"/>
  <c r="G22" i="34"/>
  <c r="H22" i="34"/>
  <c r="I22" i="34"/>
  <c r="C23" i="34"/>
  <c r="C64" i="34" s="1"/>
  <c r="C85" i="34" s="1"/>
  <c r="D23" i="34"/>
  <c r="E23" i="34"/>
  <c r="F23" i="34"/>
  <c r="G23" i="34"/>
  <c r="G64" i="34" s="1"/>
  <c r="G85" i="34" s="1"/>
  <c r="H23" i="34"/>
  <c r="I23" i="34"/>
  <c r="C24" i="34"/>
  <c r="D24" i="34"/>
  <c r="D65" i="34" s="1"/>
  <c r="D86" i="34" s="1"/>
  <c r="E24" i="34"/>
  <c r="F24" i="34"/>
  <c r="G24" i="34"/>
  <c r="H24" i="34"/>
  <c r="H65" i="34" s="1"/>
  <c r="H86" i="34" s="1"/>
  <c r="I24" i="34"/>
  <c r="C8" i="33"/>
  <c r="C49" i="33" s="1"/>
  <c r="C70" i="33" s="1"/>
  <c r="D8" i="33"/>
  <c r="E8" i="33"/>
  <c r="F8" i="33"/>
  <c r="G8" i="33"/>
  <c r="G49" i="33" s="1"/>
  <c r="G70" i="33" s="1"/>
  <c r="H8" i="33"/>
  <c r="I8" i="33"/>
  <c r="C9" i="33"/>
  <c r="D9" i="33"/>
  <c r="D50" i="33" s="1"/>
  <c r="D71" i="33" s="1"/>
  <c r="E9" i="33"/>
  <c r="F9" i="33"/>
  <c r="G9" i="33"/>
  <c r="H9" i="33"/>
  <c r="H50" i="33" s="1"/>
  <c r="H71" i="33" s="1"/>
  <c r="I9" i="33"/>
  <c r="C10" i="33"/>
  <c r="D10" i="33"/>
  <c r="E10" i="33"/>
  <c r="E51" i="33" s="1"/>
  <c r="E72" i="33" s="1"/>
  <c r="F10" i="33"/>
  <c r="G10" i="33"/>
  <c r="H10" i="33"/>
  <c r="I10" i="33"/>
  <c r="I51" i="33" s="1"/>
  <c r="I72" i="33" s="1"/>
  <c r="C11" i="33"/>
  <c r="D11" i="33"/>
  <c r="E11" i="33"/>
  <c r="F11" i="33"/>
  <c r="F52" i="33" s="1"/>
  <c r="F73" i="33" s="1"/>
  <c r="G11" i="33"/>
  <c r="H11" i="33"/>
  <c r="I11" i="33"/>
  <c r="C12" i="33"/>
  <c r="C53" i="33" s="1"/>
  <c r="C74" i="33" s="1"/>
  <c r="D12" i="33"/>
  <c r="E12" i="33"/>
  <c r="F12" i="33"/>
  <c r="G12" i="33"/>
  <c r="G53" i="33" s="1"/>
  <c r="G74" i="33" s="1"/>
  <c r="H12" i="33"/>
  <c r="I12" i="33"/>
  <c r="C13" i="33"/>
  <c r="D13" i="33"/>
  <c r="D54" i="33" s="1"/>
  <c r="D75" i="33" s="1"/>
  <c r="E13" i="33"/>
  <c r="F13" i="33"/>
  <c r="G13" i="33"/>
  <c r="H13" i="33"/>
  <c r="H54" i="33" s="1"/>
  <c r="H75" i="33" s="1"/>
  <c r="I13" i="33"/>
  <c r="C14" i="33"/>
  <c r="D14" i="33"/>
  <c r="E14" i="33"/>
  <c r="E55" i="33" s="1"/>
  <c r="E76" i="33" s="1"/>
  <c r="F14" i="33"/>
  <c r="G14" i="33"/>
  <c r="H14" i="33"/>
  <c r="I14" i="33"/>
  <c r="I55" i="33" s="1"/>
  <c r="I76" i="33" s="1"/>
  <c r="C15" i="33"/>
  <c r="D15" i="33"/>
  <c r="E15" i="33"/>
  <c r="F15" i="33"/>
  <c r="F56" i="33" s="1"/>
  <c r="F77" i="33" s="1"/>
  <c r="G15" i="33"/>
  <c r="H15" i="33"/>
  <c r="I15" i="33"/>
  <c r="C16" i="33"/>
  <c r="C57" i="33" s="1"/>
  <c r="C78" i="33" s="1"/>
  <c r="D16" i="33"/>
  <c r="E16" i="33"/>
  <c r="F16" i="33"/>
  <c r="G16" i="33"/>
  <c r="G57" i="33" s="1"/>
  <c r="G78" i="33" s="1"/>
  <c r="H16" i="33"/>
  <c r="I16" i="33"/>
  <c r="C17" i="33"/>
  <c r="D17" i="33"/>
  <c r="D58" i="33" s="1"/>
  <c r="D79" i="33" s="1"/>
  <c r="E17" i="33"/>
  <c r="F17" i="33"/>
  <c r="G17" i="33"/>
  <c r="H17" i="33"/>
  <c r="H58" i="33" s="1"/>
  <c r="H79" i="33" s="1"/>
  <c r="I17" i="33"/>
  <c r="C18" i="33"/>
  <c r="D18" i="33"/>
  <c r="E18" i="33"/>
  <c r="E59" i="33" s="1"/>
  <c r="E80" i="33" s="1"/>
  <c r="F18" i="33"/>
  <c r="G18" i="33"/>
  <c r="H18" i="33"/>
  <c r="I18" i="33"/>
  <c r="I59" i="33" s="1"/>
  <c r="I80" i="33" s="1"/>
  <c r="C19" i="33"/>
  <c r="D19" i="33"/>
  <c r="E19" i="33"/>
  <c r="F19" i="33"/>
  <c r="F60" i="33" s="1"/>
  <c r="F81" i="33" s="1"/>
  <c r="G19" i="33"/>
  <c r="H19" i="33"/>
  <c r="I19" i="33"/>
  <c r="C20" i="33"/>
  <c r="C61" i="33" s="1"/>
  <c r="C82" i="33" s="1"/>
  <c r="D20" i="33"/>
  <c r="E20" i="33"/>
  <c r="F20" i="33"/>
  <c r="G20" i="33"/>
  <c r="G61" i="33" s="1"/>
  <c r="G82" i="33" s="1"/>
  <c r="H20" i="33"/>
  <c r="I20" i="33"/>
  <c r="C21" i="33"/>
  <c r="D21" i="33"/>
  <c r="D62" i="33" s="1"/>
  <c r="D83" i="33" s="1"/>
  <c r="E21" i="33"/>
  <c r="F21" i="33"/>
  <c r="G21" i="33"/>
  <c r="H21" i="33"/>
  <c r="H62" i="33" s="1"/>
  <c r="H83" i="33" s="1"/>
  <c r="I21" i="33"/>
  <c r="C22" i="33"/>
  <c r="D22" i="33"/>
  <c r="E22" i="33"/>
  <c r="E63" i="33" s="1"/>
  <c r="E84" i="33" s="1"/>
  <c r="F22" i="33"/>
  <c r="G22" i="33"/>
  <c r="H22" i="33"/>
  <c r="I22" i="33"/>
  <c r="I63" i="33" s="1"/>
  <c r="I84" i="33" s="1"/>
  <c r="C23" i="33"/>
  <c r="D23" i="33"/>
  <c r="E23" i="33"/>
  <c r="F23" i="33"/>
  <c r="F64" i="33" s="1"/>
  <c r="F85" i="33" s="1"/>
  <c r="G23" i="33"/>
  <c r="H23" i="33"/>
  <c r="I23" i="33"/>
  <c r="C24" i="33"/>
  <c r="C65" i="33" s="1"/>
  <c r="C86" i="33" s="1"/>
  <c r="D24" i="33"/>
  <c r="E24" i="33"/>
  <c r="F24" i="33"/>
  <c r="G24" i="33"/>
  <c r="G65" i="33" s="1"/>
  <c r="G86" i="33" s="1"/>
  <c r="H24" i="33"/>
  <c r="I24" i="33"/>
  <c r="C8" i="32"/>
  <c r="C49" i="32" s="1"/>
  <c r="D8" i="32"/>
  <c r="D49" i="32" s="1"/>
  <c r="D70" i="32" s="1"/>
  <c r="E8" i="32"/>
  <c r="E49" i="32" s="1"/>
  <c r="F8" i="32"/>
  <c r="F49" i="32" s="1"/>
  <c r="G8" i="32"/>
  <c r="G49" i="32" s="1"/>
  <c r="H8" i="32"/>
  <c r="I8" i="32"/>
  <c r="I49" i="32" s="1"/>
  <c r="C9" i="32"/>
  <c r="C50" i="32" s="1"/>
  <c r="D9" i="32"/>
  <c r="D50" i="32" s="1"/>
  <c r="E9" i="32"/>
  <c r="F9" i="32"/>
  <c r="G9" i="32"/>
  <c r="H9" i="32"/>
  <c r="H50" i="32" s="1"/>
  <c r="I9" i="32"/>
  <c r="C10" i="32"/>
  <c r="C51" i="32" s="1"/>
  <c r="D10" i="32"/>
  <c r="E10" i="32"/>
  <c r="E51" i="32" s="1"/>
  <c r="F10" i="32"/>
  <c r="F51" i="32" s="1"/>
  <c r="F72" i="32" s="1"/>
  <c r="G10" i="32"/>
  <c r="G51" i="32" s="1"/>
  <c r="H10" i="32"/>
  <c r="H51" i="32" s="1"/>
  <c r="I10" i="32"/>
  <c r="I51" i="32" s="1"/>
  <c r="C11" i="32"/>
  <c r="D11" i="32"/>
  <c r="D52" i="32" s="1"/>
  <c r="E11" i="32"/>
  <c r="E52" i="32" s="1"/>
  <c r="F11" i="32"/>
  <c r="F52" i="32" s="1"/>
  <c r="G11" i="32"/>
  <c r="H11" i="32"/>
  <c r="I11" i="32"/>
  <c r="C12" i="32"/>
  <c r="C53" i="32" s="1"/>
  <c r="C74" i="32" s="1"/>
  <c r="D12" i="32"/>
  <c r="E12" i="32"/>
  <c r="F12" i="32"/>
  <c r="G12" i="32"/>
  <c r="G53" i="32" s="1"/>
  <c r="G74" i="32" s="1"/>
  <c r="H12" i="32"/>
  <c r="I12" i="32"/>
  <c r="C13" i="32"/>
  <c r="D13" i="32"/>
  <c r="D54" i="32" s="1"/>
  <c r="D75" i="32" s="1"/>
  <c r="E13" i="32"/>
  <c r="F13" i="32"/>
  <c r="G13" i="32"/>
  <c r="H13" i="32"/>
  <c r="H54" i="32" s="1"/>
  <c r="H75" i="32" s="1"/>
  <c r="I13" i="32"/>
  <c r="C14" i="32"/>
  <c r="D14" i="32"/>
  <c r="E14" i="32"/>
  <c r="E55" i="32" s="1"/>
  <c r="E76" i="32" s="1"/>
  <c r="F14" i="32"/>
  <c r="G14" i="32"/>
  <c r="H14" i="32"/>
  <c r="I14" i="32"/>
  <c r="I55" i="32" s="1"/>
  <c r="I76" i="32" s="1"/>
  <c r="C15" i="32"/>
  <c r="D15" i="32"/>
  <c r="E15" i="32"/>
  <c r="F15" i="32"/>
  <c r="F56" i="32" s="1"/>
  <c r="F77" i="32" s="1"/>
  <c r="G15" i="32"/>
  <c r="H15" i="32"/>
  <c r="I15" i="32"/>
  <c r="C16" i="32"/>
  <c r="C57" i="32" s="1"/>
  <c r="C78" i="32" s="1"/>
  <c r="D16" i="32"/>
  <c r="E16" i="32"/>
  <c r="F16" i="32"/>
  <c r="G16" i="32"/>
  <c r="G57" i="32" s="1"/>
  <c r="G78" i="32" s="1"/>
  <c r="H16" i="32"/>
  <c r="I16" i="32"/>
  <c r="C17" i="32"/>
  <c r="D17" i="32"/>
  <c r="D58" i="32" s="1"/>
  <c r="D79" i="32" s="1"/>
  <c r="E17" i="32"/>
  <c r="F17" i="32"/>
  <c r="G17" i="32"/>
  <c r="H17" i="32"/>
  <c r="H58" i="32" s="1"/>
  <c r="H79" i="32" s="1"/>
  <c r="I17" i="32"/>
  <c r="C18" i="32"/>
  <c r="D18" i="32"/>
  <c r="E18" i="32"/>
  <c r="E59" i="32" s="1"/>
  <c r="E80" i="32" s="1"/>
  <c r="F18" i="32"/>
  <c r="G18" i="32"/>
  <c r="H18" i="32"/>
  <c r="I18" i="32"/>
  <c r="I59" i="32" s="1"/>
  <c r="I80" i="32" s="1"/>
  <c r="C19" i="32"/>
  <c r="D19" i="32"/>
  <c r="E19" i="32"/>
  <c r="F19" i="32"/>
  <c r="F60" i="32" s="1"/>
  <c r="F81" i="32" s="1"/>
  <c r="G19" i="32"/>
  <c r="H19" i="32"/>
  <c r="I19" i="32"/>
  <c r="C20" i="32"/>
  <c r="C61" i="32" s="1"/>
  <c r="C82" i="32" s="1"/>
  <c r="D20" i="32"/>
  <c r="E20" i="32"/>
  <c r="F20" i="32"/>
  <c r="G20" i="32"/>
  <c r="G61" i="32" s="1"/>
  <c r="G82" i="32" s="1"/>
  <c r="H20" i="32"/>
  <c r="I20" i="32"/>
  <c r="C21" i="32"/>
  <c r="D21" i="32"/>
  <c r="D62" i="32" s="1"/>
  <c r="D83" i="32" s="1"/>
  <c r="E21" i="32"/>
  <c r="F21" i="32"/>
  <c r="G21" i="32"/>
  <c r="H21" i="32"/>
  <c r="H62" i="32" s="1"/>
  <c r="H83" i="32" s="1"/>
  <c r="I21" i="32"/>
  <c r="C22" i="32"/>
  <c r="D22" i="32"/>
  <c r="E22" i="32"/>
  <c r="E63" i="32" s="1"/>
  <c r="E84" i="32" s="1"/>
  <c r="F22" i="32"/>
  <c r="G22" i="32"/>
  <c r="H22" i="32"/>
  <c r="I22" i="32"/>
  <c r="I63" i="32" s="1"/>
  <c r="I84" i="32" s="1"/>
  <c r="C23" i="32"/>
  <c r="D23" i="32"/>
  <c r="E23" i="32"/>
  <c r="F23" i="32"/>
  <c r="F64" i="32" s="1"/>
  <c r="F85" i="32" s="1"/>
  <c r="G23" i="32"/>
  <c r="H23" i="32"/>
  <c r="I23" i="32"/>
  <c r="C24" i="32"/>
  <c r="C65" i="32" s="1"/>
  <c r="C86" i="32" s="1"/>
  <c r="D24" i="32"/>
  <c r="E24" i="32"/>
  <c r="F24" i="32"/>
  <c r="G24" i="32"/>
  <c r="G65" i="32" s="1"/>
  <c r="G86" i="32" s="1"/>
  <c r="H24" i="32"/>
  <c r="I24" i="32"/>
  <c r="C8" i="31"/>
  <c r="D8" i="31"/>
  <c r="E8" i="31"/>
  <c r="F8" i="31"/>
  <c r="F49" i="31" s="1"/>
  <c r="F70" i="31" s="1"/>
  <c r="G8" i="31"/>
  <c r="H8" i="31"/>
  <c r="I8" i="31"/>
  <c r="C9" i="31"/>
  <c r="C50" i="31" s="1"/>
  <c r="C71" i="31" s="1"/>
  <c r="D9" i="31"/>
  <c r="E9" i="31"/>
  <c r="F9" i="31"/>
  <c r="G9" i="31"/>
  <c r="G50" i="31" s="1"/>
  <c r="G71" i="31" s="1"/>
  <c r="H9" i="31"/>
  <c r="I9" i="31"/>
  <c r="C10" i="31"/>
  <c r="D10" i="31"/>
  <c r="D51" i="31" s="1"/>
  <c r="D72" i="31" s="1"/>
  <c r="E10" i="31"/>
  <c r="F10" i="31"/>
  <c r="G10" i="31"/>
  <c r="H10" i="31"/>
  <c r="H51" i="31" s="1"/>
  <c r="H72" i="31" s="1"/>
  <c r="I10" i="31"/>
  <c r="C11" i="31"/>
  <c r="D11" i="31"/>
  <c r="E11" i="31"/>
  <c r="E52" i="31" s="1"/>
  <c r="E73" i="31" s="1"/>
  <c r="F11" i="31"/>
  <c r="G11" i="31"/>
  <c r="H11" i="31"/>
  <c r="I11" i="31"/>
  <c r="I52" i="31" s="1"/>
  <c r="I73" i="31" s="1"/>
  <c r="C12" i="31"/>
  <c r="D12" i="31"/>
  <c r="E12" i="31"/>
  <c r="F12" i="31"/>
  <c r="F53" i="31" s="1"/>
  <c r="F74" i="31" s="1"/>
  <c r="G12" i="31"/>
  <c r="H12" i="31"/>
  <c r="I12" i="31"/>
  <c r="C13" i="31"/>
  <c r="C54" i="31" s="1"/>
  <c r="C75" i="31" s="1"/>
  <c r="D13" i="31"/>
  <c r="E13" i="31"/>
  <c r="F13" i="31"/>
  <c r="G13" i="31"/>
  <c r="H13" i="31"/>
  <c r="I13" i="31"/>
  <c r="C14" i="31"/>
  <c r="D14" i="31"/>
  <c r="E14" i="31"/>
  <c r="F14" i="31"/>
  <c r="G14" i="31"/>
  <c r="H14" i="31"/>
  <c r="I14" i="31"/>
  <c r="C15" i="31"/>
  <c r="D15" i="31"/>
  <c r="E15" i="31"/>
  <c r="F15" i="31"/>
  <c r="G15" i="31"/>
  <c r="H15" i="31"/>
  <c r="I15" i="31"/>
  <c r="C16" i="31"/>
  <c r="D16" i="31"/>
  <c r="E16" i="31"/>
  <c r="F16" i="31"/>
  <c r="G16" i="31"/>
  <c r="H16" i="31"/>
  <c r="I16" i="31"/>
  <c r="C17" i="31"/>
  <c r="D17" i="31"/>
  <c r="E17" i="31"/>
  <c r="F17" i="31"/>
  <c r="G17" i="31"/>
  <c r="H17" i="31"/>
  <c r="I17" i="31"/>
  <c r="C18" i="31"/>
  <c r="D18" i="31"/>
  <c r="E18" i="31"/>
  <c r="F18" i="31"/>
  <c r="G18" i="31"/>
  <c r="H18" i="31"/>
  <c r="I18" i="31"/>
  <c r="C19" i="31"/>
  <c r="D19" i="31"/>
  <c r="E19" i="31"/>
  <c r="F19" i="31"/>
  <c r="G19" i="31"/>
  <c r="H19" i="31"/>
  <c r="I19" i="31"/>
  <c r="C20" i="31"/>
  <c r="D20" i="31"/>
  <c r="E20" i="31"/>
  <c r="F20" i="31"/>
  <c r="G20" i="31"/>
  <c r="H20" i="31"/>
  <c r="I20" i="31"/>
  <c r="C21" i="31"/>
  <c r="D21" i="31"/>
  <c r="E21" i="31"/>
  <c r="F21" i="31"/>
  <c r="G21" i="31"/>
  <c r="H21" i="31"/>
  <c r="I21" i="31"/>
  <c r="C22" i="31"/>
  <c r="D22" i="31"/>
  <c r="E22" i="31"/>
  <c r="F22" i="31"/>
  <c r="G22" i="31"/>
  <c r="H22" i="31"/>
  <c r="I22" i="31"/>
  <c r="C23" i="31"/>
  <c r="D23" i="31"/>
  <c r="E23" i="31"/>
  <c r="F23" i="31"/>
  <c r="G23" i="31"/>
  <c r="H23" i="31"/>
  <c r="I23" i="31"/>
  <c r="C24" i="31"/>
  <c r="D24" i="31"/>
  <c r="E24" i="31"/>
  <c r="F24" i="31"/>
  <c r="G24" i="31"/>
  <c r="H24" i="31"/>
  <c r="I24" i="31"/>
  <c r="C8" i="30"/>
  <c r="D8" i="30"/>
  <c r="E8" i="30"/>
  <c r="E49" i="30" s="1"/>
  <c r="E70" i="30" s="1"/>
  <c r="F8" i="30"/>
  <c r="G8" i="30"/>
  <c r="H8" i="30"/>
  <c r="I8" i="30"/>
  <c r="I49" i="30" s="1"/>
  <c r="I70" i="30" s="1"/>
  <c r="C9" i="30"/>
  <c r="D9" i="30"/>
  <c r="E9" i="30"/>
  <c r="F9" i="30"/>
  <c r="F50" i="30" s="1"/>
  <c r="F71" i="30" s="1"/>
  <c r="G9" i="30"/>
  <c r="H9" i="30"/>
  <c r="I9" i="30"/>
  <c r="C10" i="30"/>
  <c r="C51" i="30" s="1"/>
  <c r="C72" i="30" s="1"/>
  <c r="D10" i="30"/>
  <c r="E10" i="30"/>
  <c r="F10" i="30"/>
  <c r="G10" i="30"/>
  <c r="G51" i="30" s="1"/>
  <c r="G72" i="30" s="1"/>
  <c r="H10" i="30"/>
  <c r="I10" i="30"/>
  <c r="C11" i="30"/>
  <c r="D11" i="30"/>
  <c r="D52" i="30" s="1"/>
  <c r="D73" i="30" s="1"/>
  <c r="E11" i="30"/>
  <c r="F11" i="30"/>
  <c r="G11" i="30"/>
  <c r="H11" i="30"/>
  <c r="H52" i="30" s="1"/>
  <c r="H73" i="30" s="1"/>
  <c r="I11" i="30"/>
  <c r="C12" i="30"/>
  <c r="D12" i="30"/>
  <c r="E12" i="30"/>
  <c r="E53" i="30" s="1"/>
  <c r="E74" i="30" s="1"/>
  <c r="F12" i="30"/>
  <c r="G12" i="30"/>
  <c r="H12" i="30"/>
  <c r="I12" i="30"/>
  <c r="I53" i="30" s="1"/>
  <c r="I74" i="30" s="1"/>
  <c r="C13" i="30"/>
  <c r="D13" i="30"/>
  <c r="E13" i="30"/>
  <c r="F13" i="30"/>
  <c r="F54" i="30" s="1"/>
  <c r="F75" i="30" s="1"/>
  <c r="G13" i="30"/>
  <c r="H13" i="30"/>
  <c r="I13" i="30"/>
  <c r="C14" i="30"/>
  <c r="C55" i="30" s="1"/>
  <c r="C76" i="30" s="1"/>
  <c r="D14" i="30"/>
  <c r="E14" i="30"/>
  <c r="F14" i="30"/>
  <c r="G14" i="30"/>
  <c r="G55" i="30" s="1"/>
  <c r="G76" i="30" s="1"/>
  <c r="H14" i="30"/>
  <c r="I14" i="30"/>
  <c r="C15" i="30"/>
  <c r="D15" i="30"/>
  <c r="D56" i="30" s="1"/>
  <c r="D77" i="30" s="1"/>
  <c r="E15" i="30"/>
  <c r="F15" i="30"/>
  <c r="G15" i="30"/>
  <c r="H15" i="30"/>
  <c r="H56" i="30" s="1"/>
  <c r="H77" i="30" s="1"/>
  <c r="I15" i="30"/>
  <c r="C16" i="30"/>
  <c r="D16" i="30"/>
  <c r="E16" i="30"/>
  <c r="E57" i="30" s="1"/>
  <c r="E78" i="30" s="1"/>
  <c r="F16" i="30"/>
  <c r="G16" i="30"/>
  <c r="H16" i="30"/>
  <c r="I16" i="30"/>
  <c r="I57" i="30" s="1"/>
  <c r="I78" i="30" s="1"/>
  <c r="C17" i="30"/>
  <c r="D17" i="30"/>
  <c r="E17" i="30"/>
  <c r="F17" i="30"/>
  <c r="F58" i="30" s="1"/>
  <c r="F79" i="30" s="1"/>
  <c r="G17" i="30"/>
  <c r="H17" i="30"/>
  <c r="I17" i="30"/>
  <c r="C18" i="30"/>
  <c r="C59" i="30" s="1"/>
  <c r="C80" i="30" s="1"/>
  <c r="D18" i="30"/>
  <c r="E18" i="30"/>
  <c r="F18" i="30"/>
  <c r="G18" i="30"/>
  <c r="G59" i="30" s="1"/>
  <c r="G80" i="30" s="1"/>
  <c r="H18" i="30"/>
  <c r="I18" i="30"/>
  <c r="C19" i="30"/>
  <c r="D19" i="30"/>
  <c r="D60" i="30" s="1"/>
  <c r="D81" i="30" s="1"/>
  <c r="E19" i="30"/>
  <c r="F19" i="30"/>
  <c r="G19" i="30"/>
  <c r="H19" i="30"/>
  <c r="H60" i="30" s="1"/>
  <c r="H81" i="30" s="1"/>
  <c r="I19" i="30"/>
  <c r="C20" i="30"/>
  <c r="D20" i="30"/>
  <c r="E20" i="30"/>
  <c r="E61" i="30" s="1"/>
  <c r="E82" i="30" s="1"/>
  <c r="F20" i="30"/>
  <c r="G20" i="30"/>
  <c r="H20" i="30"/>
  <c r="I20" i="30"/>
  <c r="I61" i="30" s="1"/>
  <c r="I82" i="30" s="1"/>
  <c r="C21" i="30"/>
  <c r="D21" i="30"/>
  <c r="E21" i="30"/>
  <c r="F21" i="30"/>
  <c r="F62" i="30" s="1"/>
  <c r="F83" i="30" s="1"/>
  <c r="G21" i="30"/>
  <c r="H21" i="30"/>
  <c r="I21" i="30"/>
  <c r="C22" i="30"/>
  <c r="D22" i="30"/>
  <c r="E22" i="30"/>
  <c r="F22" i="30"/>
  <c r="G22" i="30"/>
  <c r="H22" i="30"/>
  <c r="I22" i="30"/>
  <c r="C23" i="30"/>
  <c r="D23" i="30"/>
  <c r="E23" i="30"/>
  <c r="F23" i="30"/>
  <c r="G23" i="30"/>
  <c r="H23" i="30"/>
  <c r="I23" i="30"/>
  <c r="C24" i="30"/>
  <c r="D24" i="30"/>
  <c r="E24" i="30"/>
  <c r="F24" i="30"/>
  <c r="G24" i="30"/>
  <c r="H24" i="30"/>
  <c r="I24" i="30"/>
  <c r="C8" i="29"/>
  <c r="C49" i="29" s="1"/>
  <c r="D8" i="29"/>
  <c r="D49" i="29" s="1"/>
  <c r="E8" i="29"/>
  <c r="E49" i="29" s="1"/>
  <c r="F8" i="29"/>
  <c r="F49" i="29" s="1"/>
  <c r="G8" i="29"/>
  <c r="G49" i="29" s="1"/>
  <c r="H8" i="29"/>
  <c r="H49" i="29" s="1"/>
  <c r="I8" i="29"/>
  <c r="C9" i="29"/>
  <c r="C50" i="29" s="1"/>
  <c r="D9" i="29"/>
  <c r="D50" i="29" s="1"/>
  <c r="E9" i="29"/>
  <c r="E50" i="29" s="1"/>
  <c r="F9" i="29"/>
  <c r="F50" i="29" s="1"/>
  <c r="G9" i="29"/>
  <c r="G50" i="29" s="1"/>
  <c r="H9" i="29"/>
  <c r="H50" i="29" s="1"/>
  <c r="I9" i="29"/>
  <c r="I50" i="29" s="1"/>
  <c r="C10" i="29"/>
  <c r="C51" i="29" s="1"/>
  <c r="D10" i="29"/>
  <c r="D51" i="29" s="1"/>
  <c r="E10" i="29"/>
  <c r="E51" i="29" s="1"/>
  <c r="F10" i="29"/>
  <c r="F51" i="29" s="1"/>
  <c r="G10" i="29"/>
  <c r="G51" i="29" s="1"/>
  <c r="H10" i="29"/>
  <c r="H51" i="29" s="1"/>
  <c r="I10" i="29"/>
  <c r="I51" i="29" s="1"/>
  <c r="I72" i="29" s="1"/>
  <c r="I113" i="29" s="1"/>
  <c r="C11" i="29"/>
  <c r="C52" i="29" s="1"/>
  <c r="D11" i="29"/>
  <c r="D52" i="29" s="1"/>
  <c r="E11" i="29"/>
  <c r="E52" i="29" s="1"/>
  <c r="F11" i="29"/>
  <c r="F52" i="29" s="1"/>
  <c r="G11" i="29"/>
  <c r="G52" i="29" s="1"/>
  <c r="H11" i="29"/>
  <c r="H52" i="29" s="1"/>
  <c r="I11" i="29"/>
  <c r="C12" i="29"/>
  <c r="C53" i="29" s="1"/>
  <c r="D12" i="29"/>
  <c r="D53" i="29" s="1"/>
  <c r="E12" i="29"/>
  <c r="E53" i="29" s="1"/>
  <c r="F12" i="29"/>
  <c r="F53" i="29" s="1"/>
  <c r="G12" i="29"/>
  <c r="G53" i="29" s="1"/>
  <c r="H12" i="29"/>
  <c r="H53" i="29" s="1"/>
  <c r="I12" i="29"/>
  <c r="C13" i="29"/>
  <c r="C54" i="29" s="1"/>
  <c r="D13" i="29"/>
  <c r="D54" i="29" s="1"/>
  <c r="E13" i="29"/>
  <c r="E54" i="29" s="1"/>
  <c r="F13" i="29"/>
  <c r="F54" i="29" s="1"/>
  <c r="G13" i="29"/>
  <c r="G54" i="29" s="1"/>
  <c r="H13" i="29"/>
  <c r="H54" i="29" s="1"/>
  <c r="I13" i="29"/>
  <c r="I54" i="29" s="1"/>
  <c r="C14" i="29"/>
  <c r="C55" i="29" s="1"/>
  <c r="D14" i="29"/>
  <c r="D55" i="29" s="1"/>
  <c r="E14" i="29"/>
  <c r="E55" i="29" s="1"/>
  <c r="F14" i="29"/>
  <c r="F55" i="29" s="1"/>
  <c r="G14" i="29"/>
  <c r="G55" i="29" s="1"/>
  <c r="H14" i="29"/>
  <c r="H55" i="29" s="1"/>
  <c r="I14" i="29"/>
  <c r="I55" i="29" s="1"/>
  <c r="C15" i="29"/>
  <c r="C56" i="29" s="1"/>
  <c r="D15" i="29"/>
  <c r="D56" i="29" s="1"/>
  <c r="E15" i="29"/>
  <c r="E56" i="29" s="1"/>
  <c r="F15" i="29"/>
  <c r="F56" i="29" s="1"/>
  <c r="G15" i="29"/>
  <c r="G56" i="29" s="1"/>
  <c r="H15" i="29"/>
  <c r="H56" i="29" s="1"/>
  <c r="I15" i="29"/>
  <c r="I56" i="29" s="1"/>
  <c r="C16" i="29"/>
  <c r="C57" i="29" s="1"/>
  <c r="D16" i="29"/>
  <c r="D57" i="29" s="1"/>
  <c r="E16" i="29"/>
  <c r="E57" i="29" s="1"/>
  <c r="F16" i="29"/>
  <c r="F57" i="29" s="1"/>
  <c r="G16" i="29"/>
  <c r="G57" i="29" s="1"/>
  <c r="H16" i="29"/>
  <c r="H57" i="29" s="1"/>
  <c r="I16" i="29"/>
  <c r="C17" i="29"/>
  <c r="C58" i="29" s="1"/>
  <c r="D17" i="29"/>
  <c r="D58" i="29" s="1"/>
  <c r="E17" i="29"/>
  <c r="E58" i="29" s="1"/>
  <c r="F17" i="29"/>
  <c r="F58" i="29" s="1"/>
  <c r="G17" i="29"/>
  <c r="G58" i="29" s="1"/>
  <c r="H17" i="29"/>
  <c r="H58" i="29" s="1"/>
  <c r="I17" i="29"/>
  <c r="I58" i="29" s="1"/>
  <c r="C18" i="29"/>
  <c r="C59" i="29" s="1"/>
  <c r="D18" i="29"/>
  <c r="D59" i="29" s="1"/>
  <c r="E18" i="29"/>
  <c r="E59" i="29" s="1"/>
  <c r="F18" i="29"/>
  <c r="F59" i="29" s="1"/>
  <c r="G18" i="29"/>
  <c r="G59" i="29" s="1"/>
  <c r="H18" i="29"/>
  <c r="H59" i="29" s="1"/>
  <c r="I18" i="29"/>
  <c r="I59" i="29" s="1"/>
  <c r="I80" i="29" s="1"/>
  <c r="I121" i="29" s="1"/>
  <c r="C19" i="29"/>
  <c r="C60" i="29" s="1"/>
  <c r="D19" i="29"/>
  <c r="D60" i="29" s="1"/>
  <c r="E19" i="29"/>
  <c r="E60" i="29" s="1"/>
  <c r="F19" i="29"/>
  <c r="F60" i="29" s="1"/>
  <c r="G19" i="29"/>
  <c r="G60" i="29" s="1"/>
  <c r="H19" i="29"/>
  <c r="H60" i="29" s="1"/>
  <c r="I19" i="29"/>
  <c r="C20" i="29"/>
  <c r="C61" i="29" s="1"/>
  <c r="D20" i="29"/>
  <c r="D61" i="29" s="1"/>
  <c r="E20" i="29"/>
  <c r="E61" i="29" s="1"/>
  <c r="F20" i="29"/>
  <c r="F61" i="29" s="1"/>
  <c r="G20" i="29"/>
  <c r="G61" i="29" s="1"/>
  <c r="H20" i="29"/>
  <c r="H61" i="29" s="1"/>
  <c r="I20" i="29"/>
  <c r="C21" i="29"/>
  <c r="C62" i="29" s="1"/>
  <c r="D21" i="29"/>
  <c r="D62" i="29" s="1"/>
  <c r="E21" i="29"/>
  <c r="E62" i="29" s="1"/>
  <c r="F21" i="29"/>
  <c r="F62" i="29" s="1"/>
  <c r="G21" i="29"/>
  <c r="G62" i="29" s="1"/>
  <c r="H21" i="29"/>
  <c r="H62" i="29" s="1"/>
  <c r="I21" i="29"/>
  <c r="I62" i="29" s="1"/>
  <c r="C22" i="29"/>
  <c r="C63" i="29" s="1"/>
  <c r="D22" i="29"/>
  <c r="D63" i="29" s="1"/>
  <c r="E22" i="29"/>
  <c r="E63" i="29" s="1"/>
  <c r="F22" i="29"/>
  <c r="F63" i="29" s="1"/>
  <c r="G22" i="29"/>
  <c r="G63" i="29" s="1"/>
  <c r="H22" i="29"/>
  <c r="H63" i="29" s="1"/>
  <c r="I22" i="29"/>
  <c r="I63" i="29" s="1"/>
  <c r="I84" i="29" s="1"/>
  <c r="I125" i="29" s="1"/>
  <c r="C23" i="29"/>
  <c r="C64" i="29" s="1"/>
  <c r="D23" i="29"/>
  <c r="D64" i="29" s="1"/>
  <c r="E23" i="29"/>
  <c r="E64" i="29" s="1"/>
  <c r="F23" i="29"/>
  <c r="F64" i="29" s="1"/>
  <c r="G23" i="29"/>
  <c r="G64" i="29" s="1"/>
  <c r="H23" i="29"/>
  <c r="H64" i="29" s="1"/>
  <c r="I23" i="29"/>
  <c r="C24" i="29"/>
  <c r="C65" i="29" s="1"/>
  <c r="D24" i="29"/>
  <c r="D65" i="29" s="1"/>
  <c r="E24" i="29"/>
  <c r="E65" i="29" s="1"/>
  <c r="F24" i="29"/>
  <c r="F65" i="29" s="1"/>
  <c r="G24" i="29"/>
  <c r="G65" i="29" s="1"/>
  <c r="H24" i="29"/>
  <c r="H65" i="29" s="1"/>
  <c r="I24" i="29"/>
  <c r="E8" i="28"/>
  <c r="E50" i="28" s="1"/>
  <c r="F8" i="28"/>
  <c r="F50" i="28" s="1"/>
  <c r="G8" i="28"/>
  <c r="G50" i="28" s="1"/>
  <c r="H8" i="28"/>
  <c r="H50" i="28" s="1"/>
  <c r="I8" i="28"/>
  <c r="I50" i="28" s="1"/>
  <c r="J8" i="28"/>
  <c r="J50" i="28" s="1"/>
  <c r="K8" i="28"/>
  <c r="K50" i="28" s="1"/>
  <c r="E9" i="28"/>
  <c r="E51" i="28" s="1"/>
  <c r="F9" i="28"/>
  <c r="F51" i="28" s="1"/>
  <c r="G9" i="28"/>
  <c r="G51" i="28" s="1"/>
  <c r="H9" i="28"/>
  <c r="H51" i="28" s="1"/>
  <c r="I9" i="28"/>
  <c r="I51" i="28" s="1"/>
  <c r="J9" i="28"/>
  <c r="J51" i="28" s="1"/>
  <c r="K9" i="28"/>
  <c r="K51" i="28" s="1"/>
  <c r="E10" i="28"/>
  <c r="E52" i="28" s="1"/>
  <c r="F10" i="28"/>
  <c r="F52" i="28" s="1"/>
  <c r="G10" i="28"/>
  <c r="G52" i="28" s="1"/>
  <c r="H10" i="28"/>
  <c r="H52" i="28" s="1"/>
  <c r="I10" i="28"/>
  <c r="I52" i="28" s="1"/>
  <c r="J10" i="28"/>
  <c r="J52" i="28" s="1"/>
  <c r="K10" i="28"/>
  <c r="K52" i="28" s="1"/>
  <c r="E11" i="28"/>
  <c r="E53" i="28" s="1"/>
  <c r="F11" i="28"/>
  <c r="F53" i="28" s="1"/>
  <c r="G11" i="28"/>
  <c r="G53" i="28" s="1"/>
  <c r="H11" i="28"/>
  <c r="H53" i="28" s="1"/>
  <c r="I11" i="28"/>
  <c r="I53" i="28" s="1"/>
  <c r="J11" i="28"/>
  <c r="J53" i="28" s="1"/>
  <c r="K11" i="28"/>
  <c r="K53" i="28" s="1"/>
  <c r="E12" i="28"/>
  <c r="E54" i="28" s="1"/>
  <c r="F12" i="28"/>
  <c r="F54" i="28" s="1"/>
  <c r="G12" i="28"/>
  <c r="G54" i="28" s="1"/>
  <c r="H12" i="28"/>
  <c r="H54" i="28" s="1"/>
  <c r="I12" i="28"/>
  <c r="I54" i="28" s="1"/>
  <c r="J12" i="28"/>
  <c r="J54" i="28" s="1"/>
  <c r="K12" i="28"/>
  <c r="K54" i="28" s="1"/>
  <c r="E13" i="28"/>
  <c r="E55" i="28" s="1"/>
  <c r="F13" i="28"/>
  <c r="F55" i="28" s="1"/>
  <c r="G13" i="28"/>
  <c r="G55" i="28" s="1"/>
  <c r="H13" i="28"/>
  <c r="H55" i="28" s="1"/>
  <c r="I13" i="28"/>
  <c r="I55" i="28" s="1"/>
  <c r="J13" i="28"/>
  <c r="J55" i="28" s="1"/>
  <c r="K13" i="28"/>
  <c r="K55" i="28" s="1"/>
  <c r="E14" i="28"/>
  <c r="E56" i="28" s="1"/>
  <c r="F14" i="28"/>
  <c r="F56" i="28" s="1"/>
  <c r="G14" i="28"/>
  <c r="G56" i="28" s="1"/>
  <c r="H14" i="28"/>
  <c r="H56" i="28" s="1"/>
  <c r="I14" i="28"/>
  <c r="I56" i="28" s="1"/>
  <c r="J14" i="28"/>
  <c r="J56" i="28" s="1"/>
  <c r="K14" i="28"/>
  <c r="K56" i="28" s="1"/>
  <c r="E15" i="28"/>
  <c r="E57" i="28" s="1"/>
  <c r="F15" i="28"/>
  <c r="F57" i="28" s="1"/>
  <c r="G15" i="28"/>
  <c r="G57" i="28" s="1"/>
  <c r="H15" i="28"/>
  <c r="H57" i="28" s="1"/>
  <c r="I15" i="28"/>
  <c r="I57" i="28" s="1"/>
  <c r="J15" i="28"/>
  <c r="J57" i="28" s="1"/>
  <c r="K15" i="28"/>
  <c r="K57" i="28" s="1"/>
  <c r="E16" i="28"/>
  <c r="E58" i="28" s="1"/>
  <c r="F16" i="28"/>
  <c r="F58" i="28" s="1"/>
  <c r="G16" i="28"/>
  <c r="G58" i="28" s="1"/>
  <c r="H16" i="28"/>
  <c r="H58" i="28" s="1"/>
  <c r="I16" i="28"/>
  <c r="I58" i="28" s="1"/>
  <c r="J16" i="28"/>
  <c r="J58" i="28" s="1"/>
  <c r="K16" i="28"/>
  <c r="K58" i="28" s="1"/>
  <c r="E17" i="28"/>
  <c r="E59" i="28" s="1"/>
  <c r="F17" i="28"/>
  <c r="F59" i="28" s="1"/>
  <c r="G17" i="28"/>
  <c r="G59" i="28" s="1"/>
  <c r="H17" i="28"/>
  <c r="H59" i="28" s="1"/>
  <c r="I17" i="28"/>
  <c r="I59" i="28" s="1"/>
  <c r="J17" i="28"/>
  <c r="J59" i="28" s="1"/>
  <c r="K17" i="28"/>
  <c r="K59" i="28" s="1"/>
  <c r="E18" i="28"/>
  <c r="E60" i="28" s="1"/>
  <c r="F18" i="28"/>
  <c r="F60" i="28" s="1"/>
  <c r="G18" i="28"/>
  <c r="G60" i="28" s="1"/>
  <c r="H18" i="28"/>
  <c r="H60" i="28" s="1"/>
  <c r="I18" i="28"/>
  <c r="I60" i="28" s="1"/>
  <c r="J18" i="28"/>
  <c r="J60" i="28" s="1"/>
  <c r="K18" i="28"/>
  <c r="K60" i="28" s="1"/>
  <c r="E19" i="28"/>
  <c r="E61" i="28" s="1"/>
  <c r="F19" i="28"/>
  <c r="F61" i="28" s="1"/>
  <c r="G19" i="28"/>
  <c r="G61" i="28" s="1"/>
  <c r="H19" i="28"/>
  <c r="H61" i="28" s="1"/>
  <c r="I19" i="28"/>
  <c r="I61" i="28" s="1"/>
  <c r="J19" i="28"/>
  <c r="J61" i="28" s="1"/>
  <c r="K19" i="28"/>
  <c r="K61" i="28" s="1"/>
  <c r="E20" i="28"/>
  <c r="E62" i="28" s="1"/>
  <c r="F20" i="28"/>
  <c r="F62" i="28" s="1"/>
  <c r="G20" i="28"/>
  <c r="G62" i="28" s="1"/>
  <c r="H20" i="28"/>
  <c r="H62" i="28" s="1"/>
  <c r="I20" i="28"/>
  <c r="I62" i="28" s="1"/>
  <c r="J20" i="28"/>
  <c r="J62" i="28" s="1"/>
  <c r="K20" i="28"/>
  <c r="K62" i="28" s="1"/>
  <c r="E21" i="28"/>
  <c r="E63" i="28" s="1"/>
  <c r="F21" i="28"/>
  <c r="F63" i="28" s="1"/>
  <c r="G21" i="28"/>
  <c r="G63" i="28" s="1"/>
  <c r="H21" i="28"/>
  <c r="H63" i="28" s="1"/>
  <c r="I21" i="28"/>
  <c r="I63" i="28" s="1"/>
  <c r="J21" i="28"/>
  <c r="J63" i="28" s="1"/>
  <c r="K21" i="28"/>
  <c r="K63" i="28" s="1"/>
  <c r="E22" i="28"/>
  <c r="E64" i="28" s="1"/>
  <c r="F22" i="28"/>
  <c r="F64" i="28" s="1"/>
  <c r="G22" i="28"/>
  <c r="G64" i="28" s="1"/>
  <c r="H22" i="28"/>
  <c r="H64" i="28" s="1"/>
  <c r="I22" i="28"/>
  <c r="I64" i="28" s="1"/>
  <c r="J22" i="28"/>
  <c r="J64" i="28" s="1"/>
  <c r="K22" i="28"/>
  <c r="K64" i="28" s="1"/>
  <c r="E23" i="28"/>
  <c r="E65" i="28" s="1"/>
  <c r="F23" i="28"/>
  <c r="F65" i="28" s="1"/>
  <c r="G23" i="28"/>
  <c r="G65" i="28" s="1"/>
  <c r="H23" i="28"/>
  <c r="H65" i="28" s="1"/>
  <c r="I23" i="28"/>
  <c r="I65" i="28" s="1"/>
  <c r="J23" i="28"/>
  <c r="J65" i="28" s="1"/>
  <c r="K23" i="28"/>
  <c r="K65" i="28" s="1"/>
  <c r="E7" i="28"/>
  <c r="E49" i="28" s="1"/>
  <c r="F7" i="28"/>
  <c r="F49" i="28" s="1"/>
  <c r="G7" i="28"/>
  <c r="G49" i="28" s="1"/>
  <c r="H7" i="28"/>
  <c r="H49" i="28" s="1"/>
  <c r="I7" i="28"/>
  <c r="I49" i="28" s="1"/>
  <c r="J7" i="28"/>
  <c r="J49" i="28" s="1"/>
  <c r="K7" i="28"/>
  <c r="K49" i="28" s="1"/>
  <c r="I66" i="28" l="1"/>
  <c r="E66" i="28"/>
  <c r="H66" i="28"/>
  <c r="K66" i="28"/>
  <c r="G66" i="28"/>
  <c r="J66" i="28"/>
  <c r="F66" i="28"/>
  <c r="I64" i="29"/>
  <c r="I85" i="29" s="1"/>
  <c r="I126" i="29" s="1"/>
  <c r="I147" i="29" s="1"/>
  <c r="I76" i="29"/>
  <c r="I117" i="29" s="1"/>
  <c r="I25" i="30"/>
  <c r="E25" i="30"/>
  <c r="I25" i="29"/>
  <c r="I60" i="29"/>
  <c r="I81" i="29" s="1"/>
  <c r="I122" i="29" s="1"/>
  <c r="I143" i="29" s="1"/>
  <c r="I52" i="29"/>
  <c r="I73" i="29" s="1"/>
  <c r="I114" i="29" s="1"/>
  <c r="I135" i="29" s="1"/>
  <c r="I25" i="33"/>
  <c r="D52" i="36"/>
  <c r="D73" i="36" s="1"/>
  <c r="D114" i="36" s="1"/>
  <c r="D135" i="36" s="1"/>
  <c r="I25" i="38"/>
  <c r="I77" i="38"/>
  <c r="I118" i="38" s="1"/>
  <c r="I139" i="38" s="1"/>
  <c r="I60" i="41"/>
  <c r="I81" i="41" s="1"/>
  <c r="I122" i="41" s="1"/>
  <c r="I143" i="41" s="1"/>
  <c r="F60" i="37"/>
  <c r="F81" i="37" s="1"/>
  <c r="H60" i="36"/>
  <c r="H81" i="36" s="1"/>
  <c r="H122" i="36" s="1"/>
  <c r="H143" i="36" s="1"/>
  <c r="E52" i="38"/>
  <c r="E73" i="38" s="1"/>
  <c r="E114" i="38" s="1"/>
  <c r="E135" i="38" s="1"/>
  <c r="I54" i="37"/>
  <c r="I75" i="37" s="1"/>
  <c r="I116" i="37" s="1"/>
  <c r="I137" i="37" s="1"/>
  <c r="F80" i="37"/>
  <c r="F121" i="37" s="1"/>
  <c r="F142" i="37" s="1"/>
  <c r="D65" i="35"/>
  <c r="D86" i="35" s="1"/>
  <c r="D127" i="35" s="1"/>
  <c r="D148" i="35" s="1"/>
  <c r="G60" i="35"/>
  <c r="G81" i="35" s="1"/>
  <c r="G122" i="35" s="1"/>
  <c r="G143" i="35" s="1"/>
  <c r="F59" i="38"/>
  <c r="F80" i="38" s="1"/>
  <c r="F121" i="38" s="1"/>
  <c r="F142" i="38" s="1"/>
  <c r="D57" i="38"/>
  <c r="D78" i="38" s="1"/>
  <c r="I54" i="38"/>
  <c r="I75" i="38" s="1"/>
  <c r="I80" i="41"/>
  <c r="I121" i="41" s="1"/>
  <c r="I142" i="41" s="1"/>
  <c r="F85" i="37"/>
  <c r="F126" i="37" s="1"/>
  <c r="F147" i="37" s="1"/>
  <c r="G78" i="37"/>
  <c r="G119" i="37" s="1"/>
  <c r="G140" i="37" s="1"/>
  <c r="E76" i="37"/>
  <c r="G74" i="37"/>
  <c r="G115" i="37" s="1"/>
  <c r="G136" i="37" s="1"/>
  <c r="F73" i="37"/>
  <c r="F114" i="37" s="1"/>
  <c r="F135" i="37" s="1"/>
  <c r="E72" i="37"/>
  <c r="E113" i="37" s="1"/>
  <c r="E134" i="37" s="1"/>
  <c r="D71" i="37"/>
  <c r="D112" i="37" s="1"/>
  <c r="D133" i="37" s="1"/>
  <c r="D79" i="37"/>
  <c r="D120" i="37" s="1"/>
  <c r="E85" i="38"/>
  <c r="E126" i="38" s="1"/>
  <c r="E147" i="38" s="1"/>
  <c r="C83" i="38"/>
  <c r="C124" i="38" s="1"/>
  <c r="C145" i="38" s="1"/>
  <c r="H80" i="38"/>
  <c r="H121" i="38" s="1"/>
  <c r="H142" i="38" s="1"/>
  <c r="F78" i="38"/>
  <c r="F119" i="38" s="1"/>
  <c r="F140" i="38" s="1"/>
  <c r="D76" i="38"/>
  <c r="D117" i="38" s="1"/>
  <c r="D138" i="38" s="1"/>
  <c r="G71" i="38"/>
  <c r="D59" i="38"/>
  <c r="D80" i="38" s="1"/>
  <c r="D121" i="38" s="1"/>
  <c r="D142" i="38" s="1"/>
  <c r="I52" i="38"/>
  <c r="I73" i="38" s="1"/>
  <c r="I114" i="38" s="1"/>
  <c r="I135" i="38" s="1"/>
  <c r="I52" i="41"/>
  <c r="I73" i="41" s="1"/>
  <c r="D62" i="37"/>
  <c r="D83" i="37" s="1"/>
  <c r="D124" i="37" s="1"/>
  <c r="D145" i="37" s="1"/>
  <c r="C49" i="37"/>
  <c r="C70" i="37" s="1"/>
  <c r="C111" i="37" s="1"/>
  <c r="C132" i="37" s="1"/>
  <c r="C85" i="38"/>
  <c r="C126" i="38" s="1"/>
  <c r="C147" i="38" s="1"/>
  <c r="H82" i="38"/>
  <c r="H123" i="38" s="1"/>
  <c r="H144" i="38" s="1"/>
  <c r="I77" i="29"/>
  <c r="I118" i="29" s="1"/>
  <c r="I139" i="29" s="1"/>
  <c r="I80" i="37"/>
  <c r="I121" i="37" s="1"/>
  <c r="I142" i="37" s="1"/>
  <c r="I119" i="30"/>
  <c r="I140" i="30" s="1"/>
  <c r="C116" i="31"/>
  <c r="C137" i="31" s="1"/>
  <c r="H66" i="29"/>
  <c r="H122" i="30"/>
  <c r="H143" i="30" s="1"/>
  <c r="F120" i="30"/>
  <c r="F141" i="30" s="1"/>
  <c r="D118" i="30"/>
  <c r="D139" i="30" s="1"/>
  <c r="I115" i="30"/>
  <c r="I136" i="30" s="1"/>
  <c r="G113" i="30"/>
  <c r="G134" i="30" s="1"/>
  <c r="E111" i="30"/>
  <c r="E132" i="30" s="1"/>
  <c r="E114" i="31"/>
  <c r="E135" i="31" s="1"/>
  <c r="C112" i="31"/>
  <c r="C133" i="31" s="1"/>
  <c r="E115" i="30"/>
  <c r="E136" i="30" s="1"/>
  <c r="F111" i="31"/>
  <c r="F132" i="31" s="1"/>
  <c r="F124" i="30"/>
  <c r="F145" i="30" s="1"/>
  <c r="G117" i="30"/>
  <c r="G138" i="30" s="1"/>
  <c r="I123" i="30"/>
  <c r="I144" i="30" s="1"/>
  <c r="G121" i="30"/>
  <c r="G142" i="30" s="1"/>
  <c r="E119" i="30"/>
  <c r="E140" i="30" s="1"/>
  <c r="C117" i="30"/>
  <c r="C138" i="30" s="1"/>
  <c r="H114" i="30"/>
  <c r="H135" i="30" s="1"/>
  <c r="F112" i="30"/>
  <c r="F133" i="30" s="1"/>
  <c r="F115" i="31"/>
  <c r="F136" i="31" s="1"/>
  <c r="D113" i="31"/>
  <c r="D134" i="31" s="1"/>
  <c r="D122" i="30"/>
  <c r="D143" i="30" s="1"/>
  <c r="C113" i="30"/>
  <c r="C134" i="30" s="1"/>
  <c r="H113" i="31"/>
  <c r="H134" i="31" s="1"/>
  <c r="E123" i="30"/>
  <c r="E144" i="30" s="1"/>
  <c r="C121" i="30"/>
  <c r="C142" i="30" s="1"/>
  <c r="H118" i="30"/>
  <c r="H139" i="30" s="1"/>
  <c r="F116" i="30"/>
  <c r="F137" i="30" s="1"/>
  <c r="D114" i="30"/>
  <c r="D135" i="30" s="1"/>
  <c r="I111" i="30"/>
  <c r="I132" i="30" s="1"/>
  <c r="I114" i="31"/>
  <c r="I135" i="31" s="1"/>
  <c r="G112" i="31"/>
  <c r="G133" i="31" s="1"/>
  <c r="H25" i="30"/>
  <c r="D25" i="30"/>
  <c r="H65" i="30"/>
  <c r="H86" i="30" s="1"/>
  <c r="D65" i="30"/>
  <c r="D86" i="30" s="1"/>
  <c r="G64" i="30"/>
  <c r="G85" i="30" s="1"/>
  <c r="C64" i="30"/>
  <c r="C85" i="30" s="1"/>
  <c r="F63" i="30"/>
  <c r="F84" i="30" s="1"/>
  <c r="I62" i="30"/>
  <c r="I83" i="30" s="1"/>
  <c r="E62" i="30"/>
  <c r="E83" i="30" s="1"/>
  <c r="H61" i="30"/>
  <c r="H82" i="30" s="1"/>
  <c r="D61" i="30"/>
  <c r="D82" i="30" s="1"/>
  <c r="G60" i="30"/>
  <c r="G81" i="30" s="1"/>
  <c r="C60" i="30"/>
  <c r="C81" i="30" s="1"/>
  <c r="F59" i="30"/>
  <c r="F80" i="30" s="1"/>
  <c r="I58" i="30"/>
  <c r="I79" i="30" s="1"/>
  <c r="E58" i="30"/>
  <c r="E79" i="30" s="1"/>
  <c r="H57" i="30"/>
  <c r="H78" i="30" s="1"/>
  <c r="D57" i="30"/>
  <c r="D78" i="30" s="1"/>
  <c r="G56" i="30"/>
  <c r="G77" i="30" s="1"/>
  <c r="C56" i="30"/>
  <c r="C77" i="30" s="1"/>
  <c r="F55" i="30"/>
  <c r="F76" i="30" s="1"/>
  <c r="I54" i="30"/>
  <c r="I75" i="30" s="1"/>
  <c r="E54" i="30"/>
  <c r="E75" i="30" s="1"/>
  <c r="H53" i="30"/>
  <c r="H74" i="30" s="1"/>
  <c r="D53" i="30"/>
  <c r="D74" i="30" s="1"/>
  <c r="G52" i="30"/>
  <c r="G73" i="30" s="1"/>
  <c r="C52" i="30"/>
  <c r="C73" i="30" s="1"/>
  <c r="F51" i="30"/>
  <c r="F72" i="30" s="1"/>
  <c r="I50" i="30"/>
  <c r="I71" i="30" s="1"/>
  <c r="E50" i="30"/>
  <c r="E71" i="30" s="1"/>
  <c r="H49" i="30"/>
  <c r="H70" i="30" s="1"/>
  <c r="D49" i="30"/>
  <c r="D70" i="30" s="1"/>
  <c r="H65" i="31"/>
  <c r="H86" i="31" s="1"/>
  <c r="D65" i="31"/>
  <c r="D86" i="31" s="1"/>
  <c r="G64" i="31"/>
  <c r="G85" i="31" s="1"/>
  <c r="C64" i="31"/>
  <c r="C85" i="31" s="1"/>
  <c r="F63" i="31"/>
  <c r="F84" i="31" s="1"/>
  <c r="I62" i="31"/>
  <c r="I83" i="31" s="1"/>
  <c r="E62" i="31"/>
  <c r="E83" i="31" s="1"/>
  <c r="H61" i="31"/>
  <c r="H82" i="31" s="1"/>
  <c r="D61" i="31"/>
  <c r="D82" i="31" s="1"/>
  <c r="G60" i="31"/>
  <c r="G81" i="31" s="1"/>
  <c r="C60" i="31"/>
  <c r="C81" i="31" s="1"/>
  <c r="F59" i="31"/>
  <c r="F80" i="31" s="1"/>
  <c r="I58" i="31"/>
  <c r="I79" i="31" s="1"/>
  <c r="E58" i="31"/>
  <c r="E79" i="31" s="1"/>
  <c r="H57" i="31"/>
  <c r="H78" i="31" s="1"/>
  <c r="D57" i="31"/>
  <c r="D78" i="31" s="1"/>
  <c r="G56" i="31"/>
  <c r="G77" i="31" s="1"/>
  <c r="C56" i="31"/>
  <c r="C77" i="31" s="1"/>
  <c r="F55" i="31"/>
  <c r="F76" i="31" s="1"/>
  <c r="I54" i="31"/>
  <c r="I75" i="31" s="1"/>
  <c r="E54" i="31"/>
  <c r="E75" i="31" s="1"/>
  <c r="H53" i="31"/>
  <c r="H74" i="31" s="1"/>
  <c r="D53" i="31"/>
  <c r="D74" i="31" s="1"/>
  <c r="G52" i="31"/>
  <c r="G73" i="31" s="1"/>
  <c r="C52" i="31"/>
  <c r="C73" i="31" s="1"/>
  <c r="F51" i="31"/>
  <c r="F72" i="31" s="1"/>
  <c r="I50" i="31"/>
  <c r="I71" i="31" s="1"/>
  <c r="E50" i="31"/>
  <c r="E71" i="31" s="1"/>
  <c r="H49" i="31"/>
  <c r="H70" i="31" s="1"/>
  <c r="D49" i="31"/>
  <c r="D70" i="31" s="1"/>
  <c r="F65" i="31"/>
  <c r="F86" i="31" s="1"/>
  <c r="E64" i="31"/>
  <c r="E85" i="31" s="1"/>
  <c r="D63" i="31"/>
  <c r="D84" i="31" s="1"/>
  <c r="C62" i="31"/>
  <c r="C83" i="31" s="1"/>
  <c r="I60" i="31"/>
  <c r="I81" i="31" s="1"/>
  <c r="H59" i="31"/>
  <c r="H80" i="31" s="1"/>
  <c r="G58" i="31"/>
  <c r="G79" i="31" s="1"/>
  <c r="F57" i="31"/>
  <c r="F78" i="31" s="1"/>
  <c r="E56" i="31"/>
  <c r="E77" i="31" s="1"/>
  <c r="D55" i="31"/>
  <c r="D76" i="31" s="1"/>
  <c r="F126" i="32"/>
  <c r="F147" i="32" s="1"/>
  <c r="D124" i="32"/>
  <c r="D145" i="32" s="1"/>
  <c r="I121" i="32"/>
  <c r="I142" i="32" s="1"/>
  <c r="G119" i="32"/>
  <c r="G140" i="32" s="1"/>
  <c r="E117" i="32"/>
  <c r="E138" i="32" s="1"/>
  <c r="C115" i="32"/>
  <c r="C136" i="32" s="1"/>
  <c r="G127" i="33"/>
  <c r="G148" i="33" s="1"/>
  <c r="E125" i="33"/>
  <c r="E146" i="33" s="1"/>
  <c r="C123" i="33"/>
  <c r="C144" i="33" s="1"/>
  <c r="H120" i="33"/>
  <c r="H141" i="33" s="1"/>
  <c r="F118" i="33"/>
  <c r="F139" i="33" s="1"/>
  <c r="D116" i="33"/>
  <c r="D137" i="33" s="1"/>
  <c r="I113" i="33"/>
  <c r="I134" i="33" s="1"/>
  <c r="G111" i="33"/>
  <c r="G132" i="33" s="1"/>
  <c r="I146" i="29"/>
  <c r="I65" i="29"/>
  <c r="I86" i="29" s="1"/>
  <c r="I61" i="29"/>
  <c r="I82" i="29" s="1"/>
  <c r="I57" i="29"/>
  <c r="I78" i="29" s="1"/>
  <c r="I53" i="29"/>
  <c r="I74" i="29" s="1"/>
  <c r="I49" i="29"/>
  <c r="I83" i="29"/>
  <c r="I79" i="29"/>
  <c r="I75" i="29"/>
  <c r="I71" i="29"/>
  <c r="G25" i="30"/>
  <c r="C25" i="30"/>
  <c r="G65" i="30"/>
  <c r="G86" i="30" s="1"/>
  <c r="C65" i="30"/>
  <c r="C86" i="30" s="1"/>
  <c r="F64" i="30"/>
  <c r="F85" i="30" s="1"/>
  <c r="I63" i="30"/>
  <c r="I84" i="30" s="1"/>
  <c r="E63" i="30"/>
  <c r="E84" i="30" s="1"/>
  <c r="H62" i="30"/>
  <c r="H83" i="30" s="1"/>
  <c r="D62" i="30"/>
  <c r="D83" i="30" s="1"/>
  <c r="G61" i="30"/>
  <c r="G82" i="30" s="1"/>
  <c r="C61" i="30"/>
  <c r="C82" i="30" s="1"/>
  <c r="F60" i="30"/>
  <c r="F81" i="30" s="1"/>
  <c r="I59" i="30"/>
  <c r="I80" i="30" s="1"/>
  <c r="E59" i="30"/>
  <c r="E80" i="30" s="1"/>
  <c r="H58" i="30"/>
  <c r="H79" i="30" s="1"/>
  <c r="D58" i="30"/>
  <c r="D79" i="30" s="1"/>
  <c r="G57" i="30"/>
  <c r="G78" i="30" s="1"/>
  <c r="C57" i="30"/>
  <c r="C78" i="30" s="1"/>
  <c r="F56" i="30"/>
  <c r="F77" i="30" s="1"/>
  <c r="I55" i="30"/>
  <c r="I76" i="30" s="1"/>
  <c r="E55" i="30"/>
  <c r="E76" i="30" s="1"/>
  <c r="H54" i="30"/>
  <c r="H75" i="30" s="1"/>
  <c r="D54" i="30"/>
  <c r="D75" i="30" s="1"/>
  <c r="G53" i="30"/>
  <c r="G74" i="30" s="1"/>
  <c r="C53" i="30"/>
  <c r="C74" i="30" s="1"/>
  <c r="F52" i="30"/>
  <c r="F73" i="30" s="1"/>
  <c r="I51" i="30"/>
  <c r="I72" i="30" s="1"/>
  <c r="E51" i="30"/>
  <c r="E72" i="30" s="1"/>
  <c r="H50" i="30"/>
  <c r="H71" i="30" s="1"/>
  <c r="D50" i="30"/>
  <c r="D71" i="30" s="1"/>
  <c r="G49" i="30"/>
  <c r="G70" i="30" s="1"/>
  <c r="C49" i="30"/>
  <c r="C70" i="30" s="1"/>
  <c r="G65" i="31"/>
  <c r="G86" i="31" s="1"/>
  <c r="C65" i="31"/>
  <c r="C86" i="31" s="1"/>
  <c r="F64" i="31"/>
  <c r="F85" i="31" s="1"/>
  <c r="I63" i="31"/>
  <c r="I84" i="31" s="1"/>
  <c r="E63" i="31"/>
  <c r="E84" i="31" s="1"/>
  <c r="H62" i="31"/>
  <c r="H83" i="31" s="1"/>
  <c r="D62" i="31"/>
  <c r="D83" i="31" s="1"/>
  <c r="G61" i="31"/>
  <c r="G82" i="31" s="1"/>
  <c r="C61" i="31"/>
  <c r="C82" i="31" s="1"/>
  <c r="F60" i="31"/>
  <c r="F81" i="31" s="1"/>
  <c r="I59" i="31"/>
  <c r="I80" i="31" s="1"/>
  <c r="E59" i="31"/>
  <c r="E80" i="31" s="1"/>
  <c r="H58" i="31"/>
  <c r="H79" i="31" s="1"/>
  <c r="D58" i="31"/>
  <c r="D79" i="31" s="1"/>
  <c r="E65" i="31"/>
  <c r="E86" i="31" s="1"/>
  <c r="D64" i="31"/>
  <c r="D85" i="31" s="1"/>
  <c r="C63" i="31"/>
  <c r="C84" i="31" s="1"/>
  <c r="I61" i="31"/>
  <c r="I82" i="31" s="1"/>
  <c r="H60" i="31"/>
  <c r="H81" i="31" s="1"/>
  <c r="G59" i="31"/>
  <c r="G80" i="31" s="1"/>
  <c r="F58" i="31"/>
  <c r="F79" i="31" s="1"/>
  <c r="E57" i="31"/>
  <c r="E78" i="31" s="1"/>
  <c r="D56" i="31"/>
  <c r="D77" i="31" s="1"/>
  <c r="C55" i="31"/>
  <c r="C76" i="31" s="1"/>
  <c r="I53" i="31"/>
  <c r="I74" i="31" s="1"/>
  <c r="H52" i="31"/>
  <c r="H73" i="31" s="1"/>
  <c r="G51" i="31"/>
  <c r="G72" i="31" s="1"/>
  <c r="F50" i="31"/>
  <c r="F71" i="31" s="1"/>
  <c r="E49" i="31"/>
  <c r="E70" i="31" s="1"/>
  <c r="I125" i="32"/>
  <c r="I146" i="32" s="1"/>
  <c r="G123" i="32"/>
  <c r="G144" i="32" s="1"/>
  <c r="E121" i="32"/>
  <c r="E142" i="32" s="1"/>
  <c r="C119" i="32"/>
  <c r="C140" i="32" s="1"/>
  <c r="H116" i="32"/>
  <c r="H137" i="32" s="1"/>
  <c r="C127" i="33"/>
  <c r="C148" i="33" s="1"/>
  <c r="H124" i="33"/>
  <c r="H145" i="33" s="1"/>
  <c r="F122" i="33"/>
  <c r="F143" i="33" s="1"/>
  <c r="D120" i="33"/>
  <c r="D141" i="33" s="1"/>
  <c r="I117" i="33"/>
  <c r="I138" i="33" s="1"/>
  <c r="G115" i="33"/>
  <c r="G136" i="33" s="1"/>
  <c r="E113" i="33"/>
  <c r="E134" i="33" s="1"/>
  <c r="C111" i="33"/>
  <c r="C132" i="33" s="1"/>
  <c r="I142" i="29"/>
  <c r="I134" i="29"/>
  <c r="F25" i="30"/>
  <c r="F65" i="30"/>
  <c r="F86" i="30" s="1"/>
  <c r="I64" i="30"/>
  <c r="I85" i="30" s="1"/>
  <c r="E64" i="30"/>
  <c r="E85" i="30" s="1"/>
  <c r="H63" i="30"/>
  <c r="H84" i="30" s="1"/>
  <c r="D63" i="30"/>
  <c r="D84" i="30" s="1"/>
  <c r="G62" i="30"/>
  <c r="G83" i="30" s="1"/>
  <c r="C62" i="30"/>
  <c r="C83" i="30" s="1"/>
  <c r="F61" i="30"/>
  <c r="F82" i="30" s="1"/>
  <c r="I60" i="30"/>
  <c r="I81" i="30" s="1"/>
  <c r="E60" i="30"/>
  <c r="E81" i="30" s="1"/>
  <c r="H59" i="30"/>
  <c r="H80" i="30" s="1"/>
  <c r="D59" i="30"/>
  <c r="D80" i="30" s="1"/>
  <c r="G58" i="30"/>
  <c r="G79" i="30" s="1"/>
  <c r="C58" i="30"/>
  <c r="C79" i="30" s="1"/>
  <c r="F57" i="30"/>
  <c r="F78" i="30" s="1"/>
  <c r="I56" i="30"/>
  <c r="I77" i="30" s="1"/>
  <c r="E56" i="30"/>
  <c r="E77" i="30" s="1"/>
  <c r="H55" i="30"/>
  <c r="H76" i="30" s="1"/>
  <c r="D55" i="30"/>
  <c r="D76" i="30" s="1"/>
  <c r="G54" i="30"/>
  <c r="G75" i="30" s="1"/>
  <c r="C54" i="30"/>
  <c r="C75" i="30" s="1"/>
  <c r="F53" i="30"/>
  <c r="F74" i="30" s="1"/>
  <c r="I52" i="30"/>
  <c r="I73" i="30" s="1"/>
  <c r="E52" i="30"/>
  <c r="E73" i="30" s="1"/>
  <c r="H51" i="30"/>
  <c r="H72" i="30" s="1"/>
  <c r="D51" i="30"/>
  <c r="D72" i="30" s="1"/>
  <c r="G50" i="30"/>
  <c r="G71" i="30" s="1"/>
  <c r="C50" i="30"/>
  <c r="C71" i="30" s="1"/>
  <c r="F49" i="30"/>
  <c r="F70" i="30" s="1"/>
  <c r="I64" i="31"/>
  <c r="I85" i="31" s="1"/>
  <c r="H63" i="31"/>
  <c r="H84" i="31" s="1"/>
  <c r="G62" i="31"/>
  <c r="G83" i="31" s="1"/>
  <c r="F61" i="31"/>
  <c r="F82" i="31" s="1"/>
  <c r="E60" i="31"/>
  <c r="E81" i="31" s="1"/>
  <c r="D59" i="31"/>
  <c r="D80" i="31" s="1"/>
  <c r="C58" i="31"/>
  <c r="C79" i="31" s="1"/>
  <c r="I56" i="31"/>
  <c r="I77" i="31" s="1"/>
  <c r="H55" i="31"/>
  <c r="H76" i="31" s="1"/>
  <c r="G54" i="31"/>
  <c r="G75" i="31" s="1"/>
  <c r="G127" i="32"/>
  <c r="G148" i="32" s="1"/>
  <c r="E125" i="32"/>
  <c r="E146" i="32" s="1"/>
  <c r="C123" i="32"/>
  <c r="C144" i="32" s="1"/>
  <c r="H120" i="32"/>
  <c r="H141" i="32" s="1"/>
  <c r="F118" i="32"/>
  <c r="F139" i="32" s="1"/>
  <c r="D116" i="32"/>
  <c r="D137" i="32" s="1"/>
  <c r="F126" i="33"/>
  <c r="F147" i="33" s="1"/>
  <c r="D124" i="33"/>
  <c r="D145" i="33" s="1"/>
  <c r="I121" i="33"/>
  <c r="I142" i="33" s="1"/>
  <c r="G119" i="33"/>
  <c r="G140" i="33" s="1"/>
  <c r="E117" i="33"/>
  <c r="E138" i="33" s="1"/>
  <c r="C115" i="33"/>
  <c r="C136" i="33" s="1"/>
  <c r="H112" i="33"/>
  <c r="H133" i="33" s="1"/>
  <c r="I65" i="30"/>
  <c r="I86" i="30" s="1"/>
  <c r="E65" i="30"/>
  <c r="E86" i="30" s="1"/>
  <c r="H64" i="30"/>
  <c r="H85" i="30" s="1"/>
  <c r="D64" i="30"/>
  <c r="D85" i="30" s="1"/>
  <c r="G63" i="30"/>
  <c r="G84" i="30" s="1"/>
  <c r="C63" i="30"/>
  <c r="C84" i="30" s="1"/>
  <c r="I25" i="31"/>
  <c r="I65" i="31"/>
  <c r="I86" i="31" s="1"/>
  <c r="H64" i="31"/>
  <c r="H85" i="31" s="1"/>
  <c r="G63" i="31"/>
  <c r="G84" i="31" s="1"/>
  <c r="F62" i="31"/>
  <c r="F83" i="31" s="1"/>
  <c r="E61" i="31"/>
  <c r="E82" i="31" s="1"/>
  <c r="D60" i="31"/>
  <c r="D81" i="31" s="1"/>
  <c r="C59" i="31"/>
  <c r="C80" i="31" s="1"/>
  <c r="I57" i="31"/>
  <c r="I78" i="31" s="1"/>
  <c r="H56" i="31"/>
  <c r="H77" i="31" s="1"/>
  <c r="G55" i="31"/>
  <c r="G76" i="31" s="1"/>
  <c r="F54" i="31"/>
  <c r="F75" i="31" s="1"/>
  <c r="E53" i="31"/>
  <c r="E74" i="31" s="1"/>
  <c r="D52" i="31"/>
  <c r="D73" i="31" s="1"/>
  <c r="C51" i="31"/>
  <c r="C72" i="31" s="1"/>
  <c r="I49" i="31"/>
  <c r="I70" i="31" s="1"/>
  <c r="F113" i="32"/>
  <c r="F134" i="32" s="1"/>
  <c r="D111" i="32"/>
  <c r="D132" i="32" s="1"/>
  <c r="C127" i="32"/>
  <c r="C148" i="32" s="1"/>
  <c r="H124" i="32"/>
  <c r="H145" i="32" s="1"/>
  <c r="F122" i="32"/>
  <c r="F143" i="32" s="1"/>
  <c r="D120" i="32"/>
  <c r="D141" i="32" s="1"/>
  <c r="I117" i="32"/>
  <c r="I138" i="32" s="1"/>
  <c r="G115" i="32"/>
  <c r="G136" i="32" s="1"/>
  <c r="I125" i="33"/>
  <c r="I146" i="33" s="1"/>
  <c r="G123" i="33"/>
  <c r="G144" i="33" s="1"/>
  <c r="E121" i="33"/>
  <c r="E142" i="33" s="1"/>
  <c r="C119" i="33"/>
  <c r="C140" i="33" s="1"/>
  <c r="H116" i="33"/>
  <c r="H137" i="33" s="1"/>
  <c r="F114" i="33"/>
  <c r="F135" i="33" s="1"/>
  <c r="D112" i="33"/>
  <c r="D133" i="33" s="1"/>
  <c r="G57" i="31"/>
  <c r="G78" i="31" s="1"/>
  <c r="C57" i="31"/>
  <c r="C78" i="31" s="1"/>
  <c r="F56" i="31"/>
  <c r="F77" i="31" s="1"/>
  <c r="I55" i="31"/>
  <c r="I76" i="31" s="1"/>
  <c r="E55" i="31"/>
  <c r="E76" i="31" s="1"/>
  <c r="H54" i="31"/>
  <c r="H75" i="31" s="1"/>
  <c r="D54" i="31"/>
  <c r="D75" i="31" s="1"/>
  <c r="G53" i="31"/>
  <c r="G74" i="31" s="1"/>
  <c r="C53" i="31"/>
  <c r="C74" i="31" s="1"/>
  <c r="F52" i="31"/>
  <c r="F73" i="31" s="1"/>
  <c r="I51" i="31"/>
  <c r="I72" i="31" s="1"/>
  <c r="E51" i="31"/>
  <c r="E72" i="31" s="1"/>
  <c r="H50" i="31"/>
  <c r="H71" i="31" s="1"/>
  <c r="D50" i="31"/>
  <c r="D71" i="31" s="1"/>
  <c r="G49" i="31"/>
  <c r="G70" i="31" s="1"/>
  <c r="C49" i="31"/>
  <c r="C70" i="31" s="1"/>
  <c r="F73" i="32"/>
  <c r="I72" i="32"/>
  <c r="E72" i="32"/>
  <c r="H71" i="32"/>
  <c r="D71" i="32"/>
  <c r="G70" i="32"/>
  <c r="C70" i="32"/>
  <c r="H65" i="32"/>
  <c r="H86" i="32" s="1"/>
  <c r="D65" i="32"/>
  <c r="D86" i="32" s="1"/>
  <c r="G64" i="32"/>
  <c r="G85" i="32" s="1"/>
  <c r="C64" i="32"/>
  <c r="C85" i="32" s="1"/>
  <c r="F63" i="32"/>
  <c r="F84" i="32" s="1"/>
  <c r="I62" i="32"/>
  <c r="I83" i="32" s="1"/>
  <c r="E62" i="32"/>
  <c r="E83" i="32" s="1"/>
  <c r="H61" i="32"/>
  <c r="H82" i="32" s="1"/>
  <c r="D61" i="32"/>
  <c r="D82" i="32" s="1"/>
  <c r="G60" i="32"/>
  <c r="G81" i="32" s="1"/>
  <c r="C60" i="32"/>
  <c r="C81" i="32" s="1"/>
  <c r="F59" i="32"/>
  <c r="F80" i="32" s="1"/>
  <c r="I58" i="32"/>
  <c r="I79" i="32" s="1"/>
  <c r="E58" i="32"/>
  <c r="E79" i="32" s="1"/>
  <c r="H57" i="32"/>
  <c r="H78" i="32" s="1"/>
  <c r="D57" i="32"/>
  <c r="D78" i="32" s="1"/>
  <c r="G56" i="32"/>
  <c r="G77" i="32" s="1"/>
  <c r="C56" i="32"/>
  <c r="C77" i="32" s="1"/>
  <c r="F55" i="32"/>
  <c r="F76" i="32" s="1"/>
  <c r="I54" i="32"/>
  <c r="I75" i="32" s="1"/>
  <c r="E54" i="32"/>
  <c r="E75" i="32" s="1"/>
  <c r="H53" i="32"/>
  <c r="H74" i="32" s="1"/>
  <c r="D53" i="32"/>
  <c r="D74" i="32" s="1"/>
  <c r="G52" i="32"/>
  <c r="G73" i="32" s="1"/>
  <c r="C52" i="32"/>
  <c r="C73" i="32" s="1"/>
  <c r="I50" i="32"/>
  <c r="E50" i="32"/>
  <c r="E71" i="32" s="1"/>
  <c r="H49" i="32"/>
  <c r="H70" i="32" s="1"/>
  <c r="H72" i="32"/>
  <c r="C72" i="32"/>
  <c r="F70" i="32"/>
  <c r="G65" i="34"/>
  <c r="G86" i="34" s="1"/>
  <c r="C65" i="34"/>
  <c r="C86" i="34" s="1"/>
  <c r="F64" i="34"/>
  <c r="F85" i="34" s="1"/>
  <c r="I63" i="34"/>
  <c r="I84" i="34" s="1"/>
  <c r="E63" i="34"/>
  <c r="E84" i="34" s="1"/>
  <c r="H62" i="34"/>
  <c r="H83" i="34" s="1"/>
  <c r="D62" i="34"/>
  <c r="D83" i="34" s="1"/>
  <c r="G61" i="34"/>
  <c r="G82" i="34" s="1"/>
  <c r="C61" i="34"/>
  <c r="C82" i="34" s="1"/>
  <c r="F60" i="34"/>
  <c r="F81" i="34" s="1"/>
  <c r="I59" i="34"/>
  <c r="I80" i="34" s="1"/>
  <c r="E59" i="34"/>
  <c r="E80" i="34" s="1"/>
  <c r="H58" i="34"/>
  <c r="H79" i="34" s="1"/>
  <c r="D58" i="34"/>
  <c r="D79" i="34" s="1"/>
  <c r="G57" i="34"/>
  <c r="G78" i="34" s="1"/>
  <c r="C57" i="34"/>
  <c r="C78" i="34" s="1"/>
  <c r="F56" i="34"/>
  <c r="F77" i="34" s="1"/>
  <c r="I55" i="34"/>
  <c r="I76" i="34" s="1"/>
  <c r="E55" i="34"/>
  <c r="E76" i="34" s="1"/>
  <c r="H54" i="34"/>
  <c r="H75" i="34" s="1"/>
  <c r="D54" i="34"/>
  <c r="D75" i="34" s="1"/>
  <c r="G53" i="34"/>
  <c r="G74" i="34" s="1"/>
  <c r="G126" i="34"/>
  <c r="G147" i="34" s="1"/>
  <c r="E124" i="34"/>
  <c r="E145" i="34" s="1"/>
  <c r="C122" i="34"/>
  <c r="C143" i="34" s="1"/>
  <c r="H119" i="34"/>
  <c r="H140" i="34" s="1"/>
  <c r="F117" i="34"/>
  <c r="F138" i="34" s="1"/>
  <c r="D115" i="34"/>
  <c r="D136" i="34" s="1"/>
  <c r="I112" i="34"/>
  <c r="I133" i="34" s="1"/>
  <c r="E127" i="36"/>
  <c r="E148" i="36" s="1"/>
  <c r="I127" i="36"/>
  <c r="I148" i="36" s="1"/>
  <c r="I115" i="36"/>
  <c r="I136" i="36" s="1"/>
  <c r="G113" i="36"/>
  <c r="G134" i="36" s="1"/>
  <c r="I25" i="32"/>
  <c r="E73" i="32"/>
  <c r="G72" i="32"/>
  <c r="C71" i="32"/>
  <c r="E70" i="32"/>
  <c r="F65" i="33"/>
  <c r="F86" i="33" s="1"/>
  <c r="E64" i="33"/>
  <c r="E85" i="33" s="1"/>
  <c r="D63" i="33"/>
  <c r="D84" i="33" s="1"/>
  <c r="C62" i="33"/>
  <c r="C83" i="33" s="1"/>
  <c r="I60" i="33"/>
  <c r="I81" i="33" s="1"/>
  <c r="H59" i="33"/>
  <c r="H80" i="33" s="1"/>
  <c r="G58" i="33"/>
  <c r="G79" i="33" s="1"/>
  <c r="F57" i="33"/>
  <c r="F78" i="33" s="1"/>
  <c r="E56" i="33"/>
  <c r="E77" i="33" s="1"/>
  <c r="D55" i="33"/>
  <c r="D76" i="33" s="1"/>
  <c r="C54" i="33"/>
  <c r="C75" i="33" s="1"/>
  <c r="I52" i="33"/>
  <c r="I73" i="33" s="1"/>
  <c r="H51" i="33"/>
  <c r="H72" i="33" s="1"/>
  <c r="G50" i="33"/>
  <c r="G71" i="33" s="1"/>
  <c r="F49" i="33"/>
  <c r="F70" i="33" s="1"/>
  <c r="C126" i="34"/>
  <c r="C147" i="34" s="1"/>
  <c r="H123" i="34"/>
  <c r="H144" i="34" s="1"/>
  <c r="F121" i="34"/>
  <c r="F142" i="34" s="1"/>
  <c r="D119" i="34"/>
  <c r="D140" i="34" s="1"/>
  <c r="I116" i="34"/>
  <c r="I137" i="34" s="1"/>
  <c r="G114" i="34"/>
  <c r="G135" i="34" s="1"/>
  <c r="E112" i="34"/>
  <c r="E133" i="34" s="1"/>
  <c r="H126" i="36"/>
  <c r="H147" i="36" s="1"/>
  <c r="F124" i="36"/>
  <c r="F145" i="36" s="1"/>
  <c r="D122" i="36"/>
  <c r="D143" i="36" s="1"/>
  <c r="I119" i="36"/>
  <c r="I140" i="36" s="1"/>
  <c r="G117" i="36"/>
  <c r="G138" i="36" s="1"/>
  <c r="E115" i="36"/>
  <c r="E136" i="36" s="1"/>
  <c r="F65" i="32"/>
  <c r="F86" i="32" s="1"/>
  <c r="I64" i="32"/>
  <c r="I85" i="32" s="1"/>
  <c r="E64" i="32"/>
  <c r="E85" i="32" s="1"/>
  <c r="H63" i="32"/>
  <c r="H84" i="32" s="1"/>
  <c r="D63" i="32"/>
  <c r="D84" i="32" s="1"/>
  <c r="G62" i="32"/>
  <c r="G83" i="32" s="1"/>
  <c r="C62" i="32"/>
  <c r="C83" i="32" s="1"/>
  <c r="F61" i="32"/>
  <c r="F82" i="32" s="1"/>
  <c r="I60" i="32"/>
  <c r="I81" i="32" s="1"/>
  <c r="E60" i="32"/>
  <c r="E81" i="32" s="1"/>
  <c r="H59" i="32"/>
  <c r="H80" i="32" s="1"/>
  <c r="D59" i="32"/>
  <c r="D80" i="32" s="1"/>
  <c r="G58" i="32"/>
  <c r="G79" i="32" s="1"/>
  <c r="C58" i="32"/>
  <c r="C79" i="32" s="1"/>
  <c r="F57" i="32"/>
  <c r="F78" i="32" s="1"/>
  <c r="I56" i="32"/>
  <c r="I77" i="32" s="1"/>
  <c r="E56" i="32"/>
  <c r="E77" i="32" s="1"/>
  <c r="H55" i="32"/>
  <c r="H76" i="32" s="1"/>
  <c r="D55" i="32"/>
  <c r="D76" i="32" s="1"/>
  <c r="G54" i="32"/>
  <c r="G75" i="32" s="1"/>
  <c r="C54" i="32"/>
  <c r="C75" i="32" s="1"/>
  <c r="F53" i="32"/>
  <c r="F74" i="32" s="1"/>
  <c r="I52" i="32"/>
  <c r="I73" i="32" s="1"/>
  <c r="D51" i="32"/>
  <c r="D72" i="32" s="1"/>
  <c r="G50" i="32"/>
  <c r="G71" i="32" s="1"/>
  <c r="D73" i="32"/>
  <c r="I70" i="32"/>
  <c r="H127" i="34"/>
  <c r="H148" i="34" s="1"/>
  <c r="F125" i="34"/>
  <c r="F146" i="34" s="1"/>
  <c r="D123" i="34"/>
  <c r="D144" i="34" s="1"/>
  <c r="I120" i="34"/>
  <c r="I141" i="34" s="1"/>
  <c r="G118" i="34"/>
  <c r="G139" i="34" s="1"/>
  <c r="E116" i="34"/>
  <c r="E137" i="34" s="1"/>
  <c r="C114" i="34"/>
  <c r="C135" i="34" s="1"/>
  <c r="H111" i="34"/>
  <c r="H132" i="34" s="1"/>
  <c r="D126" i="36"/>
  <c r="D147" i="36" s="1"/>
  <c r="I123" i="36"/>
  <c r="I144" i="36" s="1"/>
  <c r="G121" i="36"/>
  <c r="G142" i="36" s="1"/>
  <c r="E119" i="36"/>
  <c r="E140" i="36" s="1"/>
  <c r="C117" i="36"/>
  <c r="C138" i="36" s="1"/>
  <c r="H114" i="36"/>
  <c r="H135" i="36" s="1"/>
  <c r="I65" i="32"/>
  <c r="I86" i="32" s="1"/>
  <c r="E65" i="32"/>
  <c r="E86" i="32" s="1"/>
  <c r="H64" i="32"/>
  <c r="H85" i="32" s="1"/>
  <c r="D64" i="32"/>
  <c r="D85" i="32" s="1"/>
  <c r="G63" i="32"/>
  <c r="G84" i="32" s="1"/>
  <c r="C63" i="32"/>
  <c r="C84" i="32" s="1"/>
  <c r="F62" i="32"/>
  <c r="F83" i="32" s="1"/>
  <c r="I61" i="32"/>
  <c r="I82" i="32" s="1"/>
  <c r="E61" i="32"/>
  <c r="E82" i="32" s="1"/>
  <c r="H60" i="32"/>
  <c r="H81" i="32" s="1"/>
  <c r="D60" i="32"/>
  <c r="D81" i="32" s="1"/>
  <c r="G59" i="32"/>
  <c r="G80" i="32" s="1"/>
  <c r="C59" i="32"/>
  <c r="C80" i="32" s="1"/>
  <c r="F58" i="32"/>
  <c r="F79" i="32" s="1"/>
  <c r="I57" i="32"/>
  <c r="I78" i="32" s="1"/>
  <c r="E57" i="32"/>
  <c r="E78" i="32" s="1"/>
  <c r="H56" i="32"/>
  <c r="H77" i="32" s="1"/>
  <c r="D56" i="32"/>
  <c r="D77" i="32" s="1"/>
  <c r="G55" i="32"/>
  <c r="G76" i="32" s="1"/>
  <c r="C55" i="32"/>
  <c r="C76" i="32" s="1"/>
  <c r="F54" i="32"/>
  <c r="F75" i="32" s="1"/>
  <c r="I53" i="32"/>
  <c r="I74" i="32" s="1"/>
  <c r="E53" i="32"/>
  <c r="E74" i="32" s="1"/>
  <c r="H52" i="32"/>
  <c r="H73" i="32" s="1"/>
  <c r="F50" i="32"/>
  <c r="F71" i="32" s="1"/>
  <c r="I65" i="33"/>
  <c r="I86" i="33" s="1"/>
  <c r="E65" i="33"/>
  <c r="E86" i="33" s="1"/>
  <c r="H64" i="33"/>
  <c r="H85" i="33" s="1"/>
  <c r="D64" i="33"/>
  <c r="D85" i="33" s="1"/>
  <c r="G63" i="33"/>
  <c r="G84" i="33" s="1"/>
  <c r="C63" i="33"/>
  <c r="C84" i="33" s="1"/>
  <c r="F62" i="33"/>
  <c r="F83" i="33" s="1"/>
  <c r="I61" i="33"/>
  <c r="I82" i="33" s="1"/>
  <c r="E61" i="33"/>
  <c r="E82" i="33" s="1"/>
  <c r="H60" i="33"/>
  <c r="H81" i="33" s="1"/>
  <c r="D60" i="33"/>
  <c r="D81" i="33" s="1"/>
  <c r="G59" i="33"/>
  <c r="G80" i="33" s="1"/>
  <c r="C59" i="33"/>
  <c r="C80" i="33" s="1"/>
  <c r="F58" i="33"/>
  <c r="F79" i="33" s="1"/>
  <c r="I57" i="33"/>
  <c r="I78" i="33" s="1"/>
  <c r="E57" i="33"/>
  <c r="E78" i="33" s="1"/>
  <c r="H56" i="33"/>
  <c r="H77" i="33" s="1"/>
  <c r="D56" i="33"/>
  <c r="D77" i="33" s="1"/>
  <c r="G55" i="33"/>
  <c r="G76" i="33" s="1"/>
  <c r="C55" i="33"/>
  <c r="C76" i="33" s="1"/>
  <c r="F54" i="33"/>
  <c r="F75" i="33" s="1"/>
  <c r="I53" i="33"/>
  <c r="I74" i="33" s="1"/>
  <c r="E53" i="33"/>
  <c r="E74" i="33" s="1"/>
  <c r="H52" i="33"/>
  <c r="H73" i="33" s="1"/>
  <c r="D52" i="33"/>
  <c r="D73" i="33" s="1"/>
  <c r="G51" i="33"/>
  <c r="G72" i="33" s="1"/>
  <c r="C51" i="33"/>
  <c r="C72" i="33" s="1"/>
  <c r="F50" i="33"/>
  <c r="F71" i="33" s="1"/>
  <c r="I49" i="33"/>
  <c r="E49" i="33"/>
  <c r="E70" i="33" s="1"/>
  <c r="I64" i="33"/>
  <c r="I85" i="33" s="1"/>
  <c r="H63" i="33"/>
  <c r="H84" i="33" s="1"/>
  <c r="G62" i="33"/>
  <c r="G83" i="33" s="1"/>
  <c r="F61" i="33"/>
  <c r="F82" i="33" s="1"/>
  <c r="E60" i="33"/>
  <c r="E81" i="33" s="1"/>
  <c r="D59" i="33"/>
  <c r="D80" i="33" s="1"/>
  <c r="C58" i="33"/>
  <c r="C79" i="33" s="1"/>
  <c r="I56" i="33"/>
  <c r="I77" i="33" s="1"/>
  <c r="H55" i="33"/>
  <c r="H76" i="33" s="1"/>
  <c r="G54" i="33"/>
  <c r="G75" i="33" s="1"/>
  <c r="F53" i="33"/>
  <c r="F74" i="33" s="1"/>
  <c r="E52" i="33"/>
  <c r="E73" i="33" s="1"/>
  <c r="D51" i="33"/>
  <c r="D72" i="33" s="1"/>
  <c r="C50" i="33"/>
  <c r="C71" i="33" s="1"/>
  <c r="D127" i="34"/>
  <c r="D148" i="34" s="1"/>
  <c r="I124" i="34"/>
  <c r="I145" i="34" s="1"/>
  <c r="G122" i="34"/>
  <c r="G143" i="34" s="1"/>
  <c r="E120" i="34"/>
  <c r="E141" i="34" s="1"/>
  <c r="C118" i="34"/>
  <c r="C139" i="34" s="1"/>
  <c r="H115" i="34"/>
  <c r="H136" i="34" s="1"/>
  <c r="F113" i="34"/>
  <c r="F134" i="34" s="1"/>
  <c r="D111" i="34"/>
  <c r="D132" i="34" s="1"/>
  <c r="G125" i="36"/>
  <c r="G146" i="36" s="1"/>
  <c r="E123" i="36"/>
  <c r="E144" i="36" s="1"/>
  <c r="C121" i="36"/>
  <c r="C142" i="36" s="1"/>
  <c r="H118" i="36"/>
  <c r="H139" i="36" s="1"/>
  <c r="H65" i="33"/>
  <c r="H86" i="33" s="1"/>
  <c r="D65" i="33"/>
  <c r="D86" i="33" s="1"/>
  <c r="G64" i="33"/>
  <c r="G85" i="33" s="1"/>
  <c r="C64" i="33"/>
  <c r="C85" i="33" s="1"/>
  <c r="F63" i="33"/>
  <c r="F84" i="33" s="1"/>
  <c r="I62" i="33"/>
  <c r="I83" i="33" s="1"/>
  <c r="E62" i="33"/>
  <c r="E83" i="33" s="1"/>
  <c r="H61" i="33"/>
  <c r="H82" i="33" s="1"/>
  <c r="D61" i="33"/>
  <c r="D82" i="33" s="1"/>
  <c r="G60" i="33"/>
  <c r="G81" i="33" s="1"/>
  <c r="C60" i="33"/>
  <c r="C81" i="33" s="1"/>
  <c r="F59" i="33"/>
  <c r="F80" i="33" s="1"/>
  <c r="I58" i="33"/>
  <c r="I79" i="33" s="1"/>
  <c r="E58" i="33"/>
  <c r="E79" i="33" s="1"/>
  <c r="H57" i="33"/>
  <c r="H78" i="33" s="1"/>
  <c r="D57" i="33"/>
  <c r="D78" i="33" s="1"/>
  <c r="G56" i="33"/>
  <c r="G77" i="33" s="1"/>
  <c r="C56" i="33"/>
  <c r="C77" i="33" s="1"/>
  <c r="F55" i="33"/>
  <c r="F76" i="33" s="1"/>
  <c r="I54" i="33"/>
  <c r="I75" i="33" s="1"/>
  <c r="E54" i="33"/>
  <c r="E75" i="33" s="1"/>
  <c r="H53" i="33"/>
  <c r="H74" i="33" s="1"/>
  <c r="D53" i="33"/>
  <c r="D74" i="33" s="1"/>
  <c r="G52" i="33"/>
  <c r="G73" i="33" s="1"/>
  <c r="C52" i="33"/>
  <c r="C73" i="33" s="1"/>
  <c r="F51" i="33"/>
  <c r="F72" i="33" s="1"/>
  <c r="I50" i="33"/>
  <c r="I71" i="33" s="1"/>
  <c r="E50" i="33"/>
  <c r="E71" i="33" s="1"/>
  <c r="H49" i="33"/>
  <c r="H70" i="33" s="1"/>
  <c r="D49" i="33"/>
  <c r="D70" i="33" s="1"/>
  <c r="I65" i="34"/>
  <c r="I86" i="34" s="1"/>
  <c r="E65" i="34"/>
  <c r="E86" i="34" s="1"/>
  <c r="H64" i="34"/>
  <c r="H85" i="34" s="1"/>
  <c r="D64" i="34"/>
  <c r="D85" i="34" s="1"/>
  <c r="G63" i="34"/>
  <c r="G84" i="34" s="1"/>
  <c r="C63" i="34"/>
  <c r="C84" i="34" s="1"/>
  <c r="F62" i="34"/>
  <c r="F83" i="34" s="1"/>
  <c r="I61" i="34"/>
  <c r="I82" i="34" s="1"/>
  <c r="E61" i="34"/>
  <c r="E82" i="34" s="1"/>
  <c r="H60" i="34"/>
  <c r="H81" i="34" s="1"/>
  <c r="D60" i="34"/>
  <c r="D81" i="34" s="1"/>
  <c r="G59" i="34"/>
  <c r="G80" i="34" s="1"/>
  <c r="C59" i="34"/>
  <c r="C80" i="34" s="1"/>
  <c r="F58" i="34"/>
  <c r="F79" i="34" s="1"/>
  <c r="I57" i="34"/>
  <c r="I78" i="34" s="1"/>
  <c r="E57" i="34"/>
  <c r="E78" i="34" s="1"/>
  <c r="H56" i="34"/>
  <c r="H77" i="34" s="1"/>
  <c r="D56" i="34"/>
  <c r="D77" i="34" s="1"/>
  <c r="G55" i="34"/>
  <c r="G76" i="34" s="1"/>
  <c r="C55" i="34"/>
  <c r="C76" i="34" s="1"/>
  <c r="F54" i="34"/>
  <c r="F75" i="34" s="1"/>
  <c r="I53" i="34"/>
  <c r="I74" i="34" s="1"/>
  <c r="E53" i="34"/>
  <c r="E74" i="34" s="1"/>
  <c r="H52" i="34"/>
  <c r="H73" i="34" s="1"/>
  <c r="D52" i="34"/>
  <c r="D73" i="34" s="1"/>
  <c r="G51" i="34"/>
  <c r="G72" i="34" s="1"/>
  <c r="C51" i="34"/>
  <c r="C72" i="34" s="1"/>
  <c r="F50" i="34"/>
  <c r="F71" i="34" s="1"/>
  <c r="I49" i="34"/>
  <c r="I70" i="34" s="1"/>
  <c r="E49" i="34"/>
  <c r="E70" i="34" s="1"/>
  <c r="E111" i="36"/>
  <c r="E132" i="36" s="1"/>
  <c r="F115" i="38"/>
  <c r="F136" i="38" s="1"/>
  <c r="H111" i="38"/>
  <c r="H132" i="38" s="1"/>
  <c r="G85" i="36"/>
  <c r="E83" i="36"/>
  <c r="C81" i="36"/>
  <c r="H78" i="36"/>
  <c r="F55" i="36"/>
  <c r="F76" i="36" s="1"/>
  <c r="I54" i="36"/>
  <c r="I75" i="36" s="1"/>
  <c r="E54" i="36"/>
  <c r="E75" i="36" s="1"/>
  <c r="H53" i="36"/>
  <c r="H74" i="36" s="1"/>
  <c r="D53" i="36"/>
  <c r="D74" i="36" s="1"/>
  <c r="G52" i="36"/>
  <c r="G73" i="36" s="1"/>
  <c r="C52" i="36"/>
  <c r="C73" i="36" s="1"/>
  <c r="F51" i="36"/>
  <c r="F72" i="36" s="1"/>
  <c r="I50" i="36"/>
  <c r="I71" i="36" s="1"/>
  <c r="E50" i="36"/>
  <c r="E71" i="36" s="1"/>
  <c r="H49" i="36"/>
  <c r="H70" i="36" s="1"/>
  <c r="D49" i="36"/>
  <c r="D70" i="36" s="1"/>
  <c r="D65" i="36"/>
  <c r="D86" i="36" s="1"/>
  <c r="I62" i="36"/>
  <c r="I83" i="36" s="1"/>
  <c r="G60" i="36"/>
  <c r="G81" i="36" s="1"/>
  <c r="E58" i="36"/>
  <c r="E79" i="36" s="1"/>
  <c r="C56" i="36"/>
  <c r="C77" i="36" s="1"/>
  <c r="F112" i="36"/>
  <c r="F133" i="36" s="1"/>
  <c r="F116" i="36"/>
  <c r="F137" i="36" s="1"/>
  <c r="C114" i="38"/>
  <c r="C135" i="38" s="1"/>
  <c r="I25" i="34"/>
  <c r="C53" i="34"/>
  <c r="C74" i="34" s="1"/>
  <c r="F52" i="34"/>
  <c r="F73" i="34" s="1"/>
  <c r="I51" i="34"/>
  <c r="I72" i="34" s="1"/>
  <c r="E51" i="34"/>
  <c r="E72" i="34" s="1"/>
  <c r="H50" i="34"/>
  <c r="H71" i="34" s="1"/>
  <c r="D50" i="34"/>
  <c r="D71" i="34" s="1"/>
  <c r="G49" i="34"/>
  <c r="G70" i="34" s="1"/>
  <c r="C49" i="34"/>
  <c r="C70" i="34" s="1"/>
  <c r="F85" i="36"/>
  <c r="I84" i="36"/>
  <c r="D83" i="36"/>
  <c r="G82" i="36"/>
  <c r="I80" i="36"/>
  <c r="E80" i="36"/>
  <c r="G78" i="36"/>
  <c r="C78" i="36"/>
  <c r="E76" i="36"/>
  <c r="D75" i="36"/>
  <c r="C74" i="36"/>
  <c r="I72" i="36"/>
  <c r="H71" i="36"/>
  <c r="G49" i="36"/>
  <c r="G70" i="36" s="1"/>
  <c r="C49" i="36"/>
  <c r="C70" i="36" s="1"/>
  <c r="H65" i="36"/>
  <c r="H86" i="36" s="1"/>
  <c r="C65" i="36"/>
  <c r="C86" i="36" s="1"/>
  <c r="F63" i="36"/>
  <c r="F84" i="36" s="1"/>
  <c r="H62" i="36"/>
  <c r="H83" i="36" s="1"/>
  <c r="D61" i="36"/>
  <c r="D82" i="36" s="1"/>
  <c r="F60" i="36"/>
  <c r="F81" i="36" s="1"/>
  <c r="I58" i="36"/>
  <c r="I79" i="36" s="1"/>
  <c r="D58" i="36"/>
  <c r="D79" i="36" s="1"/>
  <c r="G56" i="36"/>
  <c r="G77" i="36" s="1"/>
  <c r="I55" i="36"/>
  <c r="I76" i="36" s="1"/>
  <c r="H54" i="36"/>
  <c r="H75" i="36" s="1"/>
  <c r="G53" i="36"/>
  <c r="G74" i="36" s="1"/>
  <c r="F52" i="36"/>
  <c r="F73" i="36" s="1"/>
  <c r="E51" i="36"/>
  <c r="E72" i="36" s="1"/>
  <c r="D50" i="36"/>
  <c r="D71" i="36" s="1"/>
  <c r="C125" i="36"/>
  <c r="C146" i="36" s="1"/>
  <c r="F120" i="36"/>
  <c r="F141" i="36" s="1"/>
  <c r="D118" i="36"/>
  <c r="D139" i="36" s="1"/>
  <c r="F127" i="38"/>
  <c r="F148" i="38" s="1"/>
  <c r="D125" i="38"/>
  <c r="D146" i="38" s="1"/>
  <c r="I122" i="38"/>
  <c r="I143" i="38" s="1"/>
  <c r="G120" i="38"/>
  <c r="G141" i="38" s="1"/>
  <c r="E118" i="38"/>
  <c r="E139" i="38" s="1"/>
  <c r="C116" i="38"/>
  <c r="C137" i="38" s="1"/>
  <c r="H113" i="38"/>
  <c r="H134" i="38" s="1"/>
  <c r="G112" i="38"/>
  <c r="G133" i="38" s="1"/>
  <c r="F111" i="38"/>
  <c r="F132" i="38" s="1"/>
  <c r="E112" i="38"/>
  <c r="E133" i="38" s="1"/>
  <c r="F65" i="34"/>
  <c r="F86" i="34" s="1"/>
  <c r="I64" i="34"/>
  <c r="I85" i="34" s="1"/>
  <c r="E64" i="34"/>
  <c r="E85" i="34" s="1"/>
  <c r="H63" i="34"/>
  <c r="H84" i="34" s="1"/>
  <c r="D63" i="34"/>
  <c r="D84" i="34" s="1"/>
  <c r="G62" i="34"/>
  <c r="G83" i="34" s="1"/>
  <c r="C62" i="34"/>
  <c r="C83" i="34" s="1"/>
  <c r="F61" i="34"/>
  <c r="F82" i="34" s="1"/>
  <c r="I60" i="34"/>
  <c r="I81" i="34" s="1"/>
  <c r="E60" i="34"/>
  <c r="E81" i="34" s="1"/>
  <c r="H59" i="34"/>
  <c r="H80" i="34" s="1"/>
  <c r="D59" i="34"/>
  <c r="D80" i="34" s="1"/>
  <c r="G58" i="34"/>
  <c r="G79" i="34" s="1"/>
  <c r="C58" i="34"/>
  <c r="C79" i="34" s="1"/>
  <c r="F57" i="34"/>
  <c r="F78" i="34" s="1"/>
  <c r="I56" i="34"/>
  <c r="I77" i="34" s="1"/>
  <c r="E56" i="34"/>
  <c r="E77" i="34" s="1"/>
  <c r="H55" i="34"/>
  <c r="H76" i="34" s="1"/>
  <c r="D55" i="34"/>
  <c r="D76" i="34" s="1"/>
  <c r="G54" i="34"/>
  <c r="G75" i="34" s="1"/>
  <c r="C54" i="34"/>
  <c r="C75" i="34" s="1"/>
  <c r="F53" i="34"/>
  <c r="F74" i="34" s="1"/>
  <c r="I52" i="34"/>
  <c r="I73" i="34" s="1"/>
  <c r="E52" i="34"/>
  <c r="E73" i="34" s="1"/>
  <c r="H51" i="34"/>
  <c r="H72" i="34" s="1"/>
  <c r="D51" i="34"/>
  <c r="D72" i="34" s="1"/>
  <c r="G50" i="34"/>
  <c r="G71" i="34" s="1"/>
  <c r="C50" i="34"/>
  <c r="C71" i="34" s="1"/>
  <c r="F49" i="34"/>
  <c r="F70" i="34" s="1"/>
  <c r="F65" i="36"/>
  <c r="F86" i="36" s="1"/>
  <c r="I64" i="36"/>
  <c r="I85" i="36" s="1"/>
  <c r="E64" i="36"/>
  <c r="E85" i="36" s="1"/>
  <c r="H63" i="36"/>
  <c r="H84" i="36" s="1"/>
  <c r="D63" i="36"/>
  <c r="D84" i="36" s="1"/>
  <c r="G62" i="36"/>
  <c r="G83" i="36" s="1"/>
  <c r="C62" i="36"/>
  <c r="C83" i="36" s="1"/>
  <c r="F61" i="36"/>
  <c r="F82" i="36" s="1"/>
  <c r="I60" i="36"/>
  <c r="I81" i="36" s="1"/>
  <c r="E60" i="36"/>
  <c r="E81" i="36" s="1"/>
  <c r="H59" i="36"/>
  <c r="H80" i="36" s="1"/>
  <c r="D59" i="36"/>
  <c r="D80" i="36" s="1"/>
  <c r="G58" i="36"/>
  <c r="G79" i="36" s="1"/>
  <c r="C58" i="36"/>
  <c r="C79" i="36" s="1"/>
  <c r="F57" i="36"/>
  <c r="F78" i="36" s="1"/>
  <c r="I56" i="36"/>
  <c r="I77" i="36" s="1"/>
  <c r="E56" i="36"/>
  <c r="E77" i="36" s="1"/>
  <c r="H55" i="36"/>
  <c r="H76" i="36" s="1"/>
  <c r="D55" i="36"/>
  <c r="D76" i="36" s="1"/>
  <c r="G54" i="36"/>
  <c r="G75" i="36" s="1"/>
  <c r="C54" i="36"/>
  <c r="C75" i="36" s="1"/>
  <c r="F53" i="36"/>
  <c r="F74" i="36" s="1"/>
  <c r="I52" i="36"/>
  <c r="E52" i="36"/>
  <c r="E73" i="36" s="1"/>
  <c r="H51" i="36"/>
  <c r="H72" i="36" s="1"/>
  <c r="D51" i="36"/>
  <c r="D72" i="36" s="1"/>
  <c r="G50" i="36"/>
  <c r="G71" i="36" s="1"/>
  <c r="C50" i="36"/>
  <c r="C71" i="36" s="1"/>
  <c r="F49" i="36"/>
  <c r="F70" i="36" s="1"/>
  <c r="I25" i="36"/>
  <c r="G65" i="36"/>
  <c r="G86" i="36" s="1"/>
  <c r="C64" i="36"/>
  <c r="C85" i="36" s="1"/>
  <c r="E63" i="36"/>
  <c r="E84" i="36" s="1"/>
  <c r="H61" i="36"/>
  <c r="H82" i="36" s="1"/>
  <c r="C61" i="36"/>
  <c r="C82" i="36" s="1"/>
  <c r="F59" i="36"/>
  <c r="F80" i="36" s="1"/>
  <c r="H58" i="36"/>
  <c r="H79" i="36" s="1"/>
  <c r="D57" i="36"/>
  <c r="D78" i="36" s="1"/>
  <c r="F56" i="36"/>
  <c r="F77" i="36" s="1"/>
  <c r="C113" i="36"/>
  <c r="C134" i="36" s="1"/>
  <c r="I70" i="36"/>
  <c r="I126" i="38"/>
  <c r="I147" i="38" s="1"/>
  <c r="G124" i="38"/>
  <c r="G145" i="38" s="1"/>
  <c r="E122" i="38"/>
  <c r="E143" i="38" s="1"/>
  <c r="C120" i="38"/>
  <c r="C141" i="38" s="1"/>
  <c r="H117" i="38"/>
  <c r="H138" i="38" s="1"/>
  <c r="G114" i="38"/>
  <c r="G135" i="38" s="1"/>
  <c r="D113" i="38"/>
  <c r="D134" i="38" s="1"/>
  <c r="G64" i="38"/>
  <c r="G85" i="38" s="1"/>
  <c r="I63" i="38"/>
  <c r="I84" i="38" s="1"/>
  <c r="E62" i="38"/>
  <c r="E83" i="38" s="1"/>
  <c r="G61" i="38"/>
  <c r="G82" i="38" s="1"/>
  <c r="C60" i="38"/>
  <c r="C81" i="38" s="1"/>
  <c r="E59" i="38"/>
  <c r="E80" i="38" s="1"/>
  <c r="H57" i="38"/>
  <c r="H78" i="38" s="1"/>
  <c r="C57" i="38"/>
  <c r="C78" i="38" s="1"/>
  <c r="F55" i="38"/>
  <c r="F76" i="38" s="1"/>
  <c r="H54" i="38"/>
  <c r="H75" i="38" s="1"/>
  <c r="F52" i="38"/>
  <c r="F73" i="38" s="1"/>
  <c r="D50" i="38"/>
  <c r="D71" i="38" s="1"/>
  <c r="H86" i="38"/>
  <c r="C86" i="38"/>
  <c r="F84" i="38"/>
  <c r="H83" i="38"/>
  <c r="D82" i="38"/>
  <c r="F81" i="38"/>
  <c r="I79" i="38"/>
  <c r="D79" i="38"/>
  <c r="G77" i="38"/>
  <c r="I76" i="38"/>
  <c r="E75" i="38"/>
  <c r="G74" i="38"/>
  <c r="E72" i="38"/>
  <c r="C70" i="38"/>
  <c r="H115" i="38"/>
  <c r="H136" i="38" s="1"/>
  <c r="F113" i="38"/>
  <c r="F134" i="38" s="1"/>
  <c r="D111" i="38"/>
  <c r="D132" i="38" s="1"/>
  <c r="I63" i="39"/>
  <c r="I84" i="39" s="1"/>
  <c r="I59" i="39"/>
  <c r="I80" i="39" s="1"/>
  <c r="I55" i="39"/>
  <c r="I76" i="39" s="1"/>
  <c r="I51" i="39"/>
  <c r="I72" i="39" s="1"/>
  <c r="I123" i="39"/>
  <c r="I144" i="39" s="1"/>
  <c r="I115" i="39"/>
  <c r="I136" i="39" s="1"/>
  <c r="I65" i="38"/>
  <c r="I86" i="38" s="1"/>
  <c r="E65" i="38"/>
  <c r="E86" i="38" s="1"/>
  <c r="H64" i="38"/>
  <c r="H85" i="38" s="1"/>
  <c r="D64" i="38"/>
  <c r="D85" i="38" s="1"/>
  <c r="G63" i="38"/>
  <c r="G84" i="38" s="1"/>
  <c r="C63" i="38"/>
  <c r="C84" i="38" s="1"/>
  <c r="F62" i="38"/>
  <c r="F83" i="38" s="1"/>
  <c r="I61" i="38"/>
  <c r="I82" i="38" s="1"/>
  <c r="E61" i="38"/>
  <c r="E82" i="38" s="1"/>
  <c r="H60" i="38"/>
  <c r="H81" i="38" s="1"/>
  <c r="D60" i="38"/>
  <c r="D81" i="38" s="1"/>
  <c r="G59" i="38"/>
  <c r="G80" i="38" s="1"/>
  <c r="C59" i="38"/>
  <c r="C80" i="38" s="1"/>
  <c r="F58" i="38"/>
  <c r="F79" i="38" s="1"/>
  <c r="I57" i="38"/>
  <c r="I78" i="38" s="1"/>
  <c r="E57" i="38"/>
  <c r="E78" i="38" s="1"/>
  <c r="H56" i="38"/>
  <c r="H77" i="38" s="1"/>
  <c r="D56" i="38"/>
  <c r="D77" i="38" s="1"/>
  <c r="G55" i="38"/>
  <c r="G76" i="38" s="1"/>
  <c r="C55" i="38"/>
  <c r="C76" i="38" s="1"/>
  <c r="F54" i="38"/>
  <c r="F75" i="38" s="1"/>
  <c r="I53" i="38"/>
  <c r="I74" i="38" s="1"/>
  <c r="E53" i="38"/>
  <c r="E74" i="38" s="1"/>
  <c r="H52" i="38"/>
  <c r="H73" i="38" s="1"/>
  <c r="D52" i="38"/>
  <c r="D73" i="38" s="1"/>
  <c r="G51" i="38"/>
  <c r="G72" i="38" s="1"/>
  <c r="C51" i="38"/>
  <c r="C72" i="38" s="1"/>
  <c r="F50" i="38"/>
  <c r="F71" i="38" s="1"/>
  <c r="I49" i="38"/>
  <c r="E49" i="38"/>
  <c r="E70" i="38" s="1"/>
  <c r="D65" i="38"/>
  <c r="D86" i="38" s="1"/>
  <c r="F64" i="38"/>
  <c r="F85" i="38" s="1"/>
  <c r="I62" i="38"/>
  <c r="I83" i="38" s="1"/>
  <c r="D62" i="38"/>
  <c r="D83" i="38" s="1"/>
  <c r="G60" i="38"/>
  <c r="G81" i="38" s="1"/>
  <c r="I59" i="38"/>
  <c r="I80" i="38" s="1"/>
  <c r="E58" i="38"/>
  <c r="E79" i="38" s="1"/>
  <c r="G57" i="38"/>
  <c r="G78" i="38" s="1"/>
  <c r="C56" i="38"/>
  <c r="C77" i="38" s="1"/>
  <c r="E55" i="38"/>
  <c r="E76" i="38" s="1"/>
  <c r="C53" i="38"/>
  <c r="C74" i="38" s="1"/>
  <c r="H50" i="38"/>
  <c r="H71" i="38" s="1"/>
  <c r="G86" i="38"/>
  <c r="E84" i="38"/>
  <c r="C82" i="38"/>
  <c r="H79" i="38"/>
  <c r="F77" i="38"/>
  <c r="D75" i="38"/>
  <c r="I72" i="38"/>
  <c r="G70" i="38"/>
  <c r="I122" i="39"/>
  <c r="I143" i="39" s="1"/>
  <c r="I114" i="39"/>
  <c r="I135" i="39" s="1"/>
  <c r="D115" i="38"/>
  <c r="D136" i="38" s="1"/>
  <c r="I112" i="38"/>
  <c r="I133" i="38" s="1"/>
  <c r="I127" i="39"/>
  <c r="I148" i="39" s="1"/>
  <c r="I119" i="39"/>
  <c r="I140" i="39" s="1"/>
  <c r="I111" i="39"/>
  <c r="I132" i="39" s="1"/>
  <c r="H146" i="38"/>
  <c r="F144" i="38"/>
  <c r="G116" i="38"/>
  <c r="G137" i="38" s="1"/>
  <c r="C112" i="38"/>
  <c r="C133" i="38" s="1"/>
  <c r="I62" i="39"/>
  <c r="I83" i="39" s="1"/>
  <c r="I58" i="39"/>
  <c r="I79" i="39" s="1"/>
  <c r="I25" i="39"/>
  <c r="I126" i="39"/>
  <c r="I147" i="39" s="1"/>
  <c r="I118" i="39"/>
  <c r="I139" i="39" s="1"/>
  <c r="I54" i="39"/>
  <c r="I75" i="39" s="1"/>
  <c r="I50" i="39"/>
  <c r="I71" i="39" s="1"/>
  <c r="I84" i="41"/>
  <c r="I76" i="41"/>
  <c r="D127" i="37"/>
  <c r="D148" i="37" s="1"/>
  <c r="G123" i="37"/>
  <c r="G144" i="37" s="1"/>
  <c r="C122" i="37"/>
  <c r="C143" i="37" s="1"/>
  <c r="C118" i="37"/>
  <c r="C139" i="37" s="1"/>
  <c r="G127" i="37"/>
  <c r="G148" i="37" s="1"/>
  <c r="E125" i="37"/>
  <c r="E146" i="37" s="1"/>
  <c r="C123" i="37"/>
  <c r="C144" i="37" s="1"/>
  <c r="H120" i="37"/>
  <c r="H141" i="37" s="1"/>
  <c r="F118" i="37"/>
  <c r="F139" i="37" s="1"/>
  <c r="E117" i="37"/>
  <c r="E138" i="37" s="1"/>
  <c r="D116" i="37"/>
  <c r="D137" i="37" s="1"/>
  <c r="I113" i="37"/>
  <c r="I134" i="37" s="1"/>
  <c r="G111" i="37"/>
  <c r="G132" i="37" s="1"/>
  <c r="I125" i="37"/>
  <c r="I146" i="37" s="1"/>
  <c r="E124" i="37"/>
  <c r="E145" i="37" s="1"/>
  <c r="E120" i="37"/>
  <c r="E141" i="37" s="1"/>
  <c r="H116" i="37"/>
  <c r="H137" i="37" s="1"/>
  <c r="H112" i="37"/>
  <c r="H133" i="37" s="1"/>
  <c r="I82" i="41"/>
  <c r="I78" i="41"/>
  <c r="I25" i="41"/>
  <c r="I65" i="41"/>
  <c r="I86" i="41" s="1"/>
  <c r="I49" i="41"/>
  <c r="I70" i="41" s="1"/>
  <c r="F65" i="37"/>
  <c r="F86" i="37" s="1"/>
  <c r="I64" i="37"/>
  <c r="I85" i="37" s="1"/>
  <c r="E64" i="37"/>
  <c r="E85" i="37" s="1"/>
  <c r="H63" i="37"/>
  <c r="H84" i="37" s="1"/>
  <c r="D63" i="37"/>
  <c r="D84" i="37" s="1"/>
  <c r="G62" i="37"/>
  <c r="G83" i="37" s="1"/>
  <c r="C62" i="37"/>
  <c r="C83" i="37" s="1"/>
  <c r="F61" i="37"/>
  <c r="F82" i="37" s="1"/>
  <c r="I60" i="37"/>
  <c r="I81" i="37" s="1"/>
  <c r="E60" i="37"/>
  <c r="E81" i="37" s="1"/>
  <c r="H59" i="37"/>
  <c r="H80" i="37" s="1"/>
  <c r="D59" i="37"/>
  <c r="D80" i="37" s="1"/>
  <c r="G58" i="37"/>
  <c r="G79" i="37" s="1"/>
  <c r="C58" i="37"/>
  <c r="C79" i="37" s="1"/>
  <c r="F57" i="37"/>
  <c r="F78" i="37" s="1"/>
  <c r="I56" i="37"/>
  <c r="I77" i="37" s="1"/>
  <c r="E56" i="37"/>
  <c r="E77" i="37" s="1"/>
  <c r="G126" i="37"/>
  <c r="G147" i="37" s="1"/>
  <c r="G122" i="37"/>
  <c r="G143" i="37" s="1"/>
  <c r="C119" i="37"/>
  <c r="C140" i="37" s="1"/>
  <c r="F117" i="37"/>
  <c r="F138" i="37" s="1"/>
  <c r="C115" i="37"/>
  <c r="C136" i="37" s="1"/>
  <c r="I83" i="41"/>
  <c r="I75" i="41"/>
  <c r="I71" i="41"/>
  <c r="I58" i="41"/>
  <c r="I79" i="41" s="1"/>
  <c r="I53" i="41"/>
  <c r="I74" i="41" s="1"/>
  <c r="I126" i="41"/>
  <c r="I147" i="41" s="1"/>
  <c r="I118" i="41"/>
  <c r="I139" i="41" s="1"/>
  <c r="I134" i="41"/>
  <c r="I124" i="37"/>
  <c r="I145" i="37" s="1"/>
  <c r="E121" i="37"/>
  <c r="E142" i="37" s="1"/>
  <c r="H119" i="37"/>
  <c r="H140" i="37" s="1"/>
  <c r="H55" i="37"/>
  <c r="H76" i="37" s="1"/>
  <c r="F53" i="37"/>
  <c r="F74" i="37" s="1"/>
  <c r="G114" i="37"/>
  <c r="G135" i="37" s="1"/>
  <c r="D51" i="37"/>
  <c r="D72" i="37" s="1"/>
  <c r="E112" i="37"/>
  <c r="E133" i="37" s="1"/>
  <c r="G75" i="37"/>
  <c r="C127" i="37"/>
  <c r="C148" i="37" s="1"/>
  <c r="H145" i="37"/>
  <c r="F113" i="35"/>
  <c r="F134" i="35" s="1"/>
  <c r="D111" i="35"/>
  <c r="D132" i="35" s="1"/>
  <c r="I25" i="37"/>
  <c r="C54" i="37"/>
  <c r="C75" i="37" s="1"/>
  <c r="D115" i="37"/>
  <c r="D136" i="37" s="1"/>
  <c r="H51" i="37"/>
  <c r="H72" i="37" s="1"/>
  <c r="I112" i="37"/>
  <c r="I133" i="37" s="1"/>
  <c r="F49" i="37"/>
  <c r="F70" i="37" s="1"/>
  <c r="H127" i="37"/>
  <c r="H148" i="37" s="1"/>
  <c r="F125" i="37"/>
  <c r="F146" i="37" s="1"/>
  <c r="D123" i="37"/>
  <c r="D144" i="37" s="1"/>
  <c r="I120" i="37"/>
  <c r="I141" i="37" s="1"/>
  <c r="G118" i="37"/>
  <c r="G139" i="37" s="1"/>
  <c r="D76" i="37"/>
  <c r="E116" i="37"/>
  <c r="E137" i="37" s="1"/>
  <c r="E73" i="37"/>
  <c r="C71" i="37"/>
  <c r="G126" i="35"/>
  <c r="G147" i="35" s="1"/>
  <c r="E124" i="35"/>
  <c r="E145" i="35" s="1"/>
  <c r="C122" i="35"/>
  <c r="C143" i="35" s="1"/>
  <c r="H119" i="35"/>
  <c r="H140" i="35" s="1"/>
  <c r="F117" i="35"/>
  <c r="F138" i="35" s="1"/>
  <c r="D115" i="35"/>
  <c r="D136" i="35" s="1"/>
  <c r="I112" i="35"/>
  <c r="I133" i="35" s="1"/>
  <c r="I65" i="37"/>
  <c r="I86" i="37" s="1"/>
  <c r="E65" i="37"/>
  <c r="E86" i="37" s="1"/>
  <c r="H64" i="37"/>
  <c r="H85" i="37" s="1"/>
  <c r="D64" i="37"/>
  <c r="D85" i="37" s="1"/>
  <c r="G63" i="37"/>
  <c r="G84" i="37" s="1"/>
  <c r="C63" i="37"/>
  <c r="C84" i="37" s="1"/>
  <c r="F62" i="37"/>
  <c r="F83" i="37" s="1"/>
  <c r="I61" i="37"/>
  <c r="I82" i="37" s="1"/>
  <c r="E61" i="37"/>
  <c r="E82" i="37" s="1"/>
  <c r="H60" i="37"/>
  <c r="H81" i="37" s="1"/>
  <c r="D60" i="37"/>
  <c r="D81" i="37" s="1"/>
  <c r="G59" i="37"/>
  <c r="G80" i="37" s="1"/>
  <c r="C59" i="37"/>
  <c r="C80" i="37" s="1"/>
  <c r="F58" i="37"/>
  <c r="F79" i="37" s="1"/>
  <c r="I57" i="37"/>
  <c r="I78" i="37" s="1"/>
  <c r="E57" i="37"/>
  <c r="E78" i="37" s="1"/>
  <c r="H56" i="37"/>
  <c r="H77" i="37" s="1"/>
  <c r="D56" i="37"/>
  <c r="D77" i="37" s="1"/>
  <c r="G55" i="37"/>
  <c r="G76" i="37" s="1"/>
  <c r="C55" i="37"/>
  <c r="C76" i="37" s="1"/>
  <c r="F54" i="37"/>
  <c r="F75" i="37" s="1"/>
  <c r="I53" i="37"/>
  <c r="I74" i="37" s="1"/>
  <c r="E53" i="37"/>
  <c r="E74" i="37" s="1"/>
  <c r="H52" i="37"/>
  <c r="H73" i="37" s="1"/>
  <c r="D52" i="37"/>
  <c r="D73" i="37" s="1"/>
  <c r="G51" i="37"/>
  <c r="G72" i="37" s="1"/>
  <c r="C51" i="37"/>
  <c r="C72" i="37" s="1"/>
  <c r="F50" i="37"/>
  <c r="F71" i="37" s="1"/>
  <c r="I49" i="37"/>
  <c r="I70" i="37" s="1"/>
  <c r="E49" i="37"/>
  <c r="E70" i="37" s="1"/>
  <c r="H115" i="37"/>
  <c r="H136" i="37" s="1"/>
  <c r="F113" i="37"/>
  <c r="F134" i="37" s="1"/>
  <c r="D111" i="37"/>
  <c r="D132" i="37" s="1"/>
  <c r="C126" i="37"/>
  <c r="C147" i="37" s="1"/>
  <c r="H123" i="37"/>
  <c r="H144" i="37" s="1"/>
  <c r="D119" i="37"/>
  <c r="D140" i="37" s="1"/>
  <c r="I117" i="37"/>
  <c r="I138" i="37" s="1"/>
  <c r="C126" i="35"/>
  <c r="C147" i="35" s="1"/>
  <c r="H123" i="35"/>
  <c r="H144" i="35" s="1"/>
  <c r="F121" i="35"/>
  <c r="F142" i="35" s="1"/>
  <c r="D119" i="35"/>
  <c r="D140" i="35" s="1"/>
  <c r="I116" i="35"/>
  <c r="I137" i="35" s="1"/>
  <c r="G114" i="35"/>
  <c r="G135" i="35" s="1"/>
  <c r="E112" i="35"/>
  <c r="E133" i="35" s="1"/>
  <c r="I52" i="37"/>
  <c r="I73" i="37" s="1"/>
  <c r="C114" i="37"/>
  <c r="C135" i="37" s="1"/>
  <c r="G50" i="37"/>
  <c r="G71" i="37" s="1"/>
  <c r="H111" i="37"/>
  <c r="H132" i="37" s="1"/>
  <c r="H127" i="35"/>
  <c r="H148" i="35" s="1"/>
  <c r="F125" i="35"/>
  <c r="F146" i="35" s="1"/>
  <c r="D123" i="35"/>
  <c r="D144" i="35" s="1"/>
  <c r="I120" i="35"/>
  <c r="I141" i="35" s="1"/>
  <c r="G118" i="35"/>
  <c r="G139" i="35" s="1"/>
  <c r="E116" i="35"/>
  <c r="E137" i="35" s="1"/>
  <c r="H111" i="35"/>
  <c r="H132" i="35" s="1"/>
  <c r="I65" i="35"/>
  <c r="I86" i="35" s="1"/>
  <c r="E65" i="35"/>
  <c r="E86" i="35" s="1"/>
  <c r="H64" i="35"/>
  <c r="H85" i="35" s="1"/>
  <c r="D64" i="35"/>
  <c r="D85" i="35" s="1"/>
  <c r="G63" i="35"/>
  <c r="G84" i="35" s="1"/>
  <c r="C63" i="35"/>
  <c r="C84" i="35" s="1"/>
  <c r="F62" i="35"/>
  <c r="F83" i="35" s="1"/>
  <c r="I61" i="35"/>
  <c r="I82" i="35" s="1"/>
  <c r="E61" i="35"/>
  <c r="E82" i="35" s="1"/>
  <c r="H60" i="35"/>
  <c r="H81" i="35" s="1"/>
  <c r="D60" i="35"/>
  <c r="D81" i="35" s="1"/>
  <c r="G59" i="35"/>
  <c r="G80" i="35" s="1"/>
  <c r="C59" i="35"/>
  <c r="C80" i="35" s="1"/>
  <c r="F58" i="35"/>
  <c r="F79" i="35" s="1"/>
  <c r="I57" i="35"/>
  <c r="I78" i="35" s="1"/>
  <c r="E57" i="35"/>
  <c r="E78" i="35" s="1"/>
  <c r="H56" i="35"/>
  <c r="H77" i="35" s="1"/>
  <c r="D56" i="35"/>
  <c r="D77" i="35" s="1"/>
  <c r="G55" i="35"/>
  <c r="G76" i="35" s="1"/>
  <c r="C55" i="35"/>
  <c r="C76" i="35" s="1"/>
  <c r="F54" i="35"/>
  <c r="F75" i="35" s="1"/>
  <c r="I53" i="35"/>
  <c r="I74" i="35" s="1"/>
  <c r="E53" i="35"/>
  <c r="E74" i="35" s="1"/>
  <c r="H52" i="35"/>
  <c r="H73" i="35" s="1"/>
  <c r="D52" i="35"/>
  <c r="D73" i="35" s="1"/>
  <c r="G51" i="35"/>
  <c r="G72" i="35" s="1"/>
  <c r="C51" i="35"/>
  <c r="C72" i="35" s="1"/>
  <c r="F50" i="35"/>
  <c r="F71" i="35" s="1"/>
  <c r="I49" i="35"/>
  <c r="E49" i="35"/>
  <c r="E70" i="35" s="1"/>
  <c r="F64" i="35"/>
  <c r="F85" i="35" s="1"/>
  <c r="D62" i="35"/>
  <c r="D83" i="35" s="1"/>
  <c r="I59" i="35"/>
  <c r="I80" i="35" s="1"/>
  <c r="G57" i="35"/>
  <c r="G78" i="35" s="1"/>
  <c r="G86" i="35"/>
  <c r="E84" i="35"/>
  <c r="C82" i="35"/>
  <c r="H79" i="35"/>
  <c r="C65" i="35"/>
  <c r="C86" i="35" s="1"/>
  <c r="H62" i="35"/>
  <c r="H83" i="35" s="1"/>
  <c r="F60" i="35"/>
  <c r="F81" i="35" s="1"/>
  <c r="D58" i="35"/>
  <c r="D79" i="35" s="1"/>
  <c r="I124" i="35"/>
  <c r="I145" i="35" s="1"/>
  <c r="E120" i="35"/>
  <c r="E141" i="35" s="1"/>
  <c r="I76" i="35"/>
  <c r="E76" i="35"/>
  <c r="G74" i="35"/>
  <c r="C74" i="35"/>
  <c r="I72" i="35"/>
  <c r="H71" i="35"/>
  <c r="G70" i="35"/>
  <c r="F56" i="35"/>
  <c r="F77" i="35" s="1"/>
  <c r="D54" i="35"/>
  <c r="D75" i="35" s="1"/>
  <c r="F52" i="35"/>
  <c r="F73" i="35" s="1"/>
  <c r="E51" i="35"/>
  <c r="E72" i="35" s="1"/>
  <c r="D50" i="35"/>
  <c r="D71" i="35" s="1"/>
  <c r="C49" i="35"/>
  <c r="C70" i="35" s="1"/>
  <c r="I84" i="35"/>
  <c r="G82" i="35"/>
  <c r="E80" i="35"/>
  <c r="C114" i="35"/>
  <c r="C135" i="35" s="1"/>
  <c r="I85" i="35"/>
  <c r="E85" i="35"/>
  <c r="H84" i="35"/>
  <c r="G83" i="35"/>
  <c r="C83" i="35"/>
  <c r="F82" i="35"/>
  <c r="E81" i="35"/>
  <c r="H80" i="35"/>
  <c r="D80" i="35"/>
  <c r="C79" i="35"/>
  <c r="F78" i="35"/>
  <c r="I77" i="35"/>
  <c r="H76" i="35"/>
  <c r="D76" i="35"/>
  <c r="G75" i="35"/>
  <c r="F74" i="35"/>
  <c r="I52" i="35"/>
  <c r="I73" i="35" s="1"/>
  <c r="E52" i="35"/>
  <c r="E73" i="35" s="1"/>
  <c r="H51" i="35"/>
  <c r="H72" i="35" s="1"/>
  <c r="D51" i="35"/>
  <c r="D72" i="35" s="1"/>
  <c r="G50" i="35"/>
  <c r="G71" i="35" s="1"/>
  <c r="C50" i="35"/>
  <c r="C71" i="35" s="1"/>
  <c r="F49" i="35"/>
  <c r="F70" i="35" s="1"/>
  <c r="I25" i="35"/>
  <c r="F65" i="35"/>
  <c r="F86" i="35" s="1"/>
  <c r="D63" i="35"/>
  <c r="D84" i="35" s="1"/>
  <c r="I60" i="35"/>
  <c r="I81" i="35" s="1"/>
  <c r="G58" i="35"/>
  <c r="G79" i="35" s="1"/>
  <c r="C57" i="35"/>
  <c r="C78" i="35" s="1"/>
  <c r="E56" i="35"/>
  <c r="E77" i="35" s="1"/>
  <c r="H54" i="35"/>
  <c r="H75" i="35" s="1"/>
  <c r="C54" i="35"/>
  <c r="C75" i="35" s="1"/>
  <c r="C118" i="35"/>
  <c r="C139" i="35" s="1"/>
  <c r="H115" i="35"/>
  <c r="H136" i="35" s="1"/>
  <c r="I65" i="40"/>
  <c r="I86" i="40" s="1"/>
  <c r="E65" i="40"/>
  <c r="E86" i="40" s="1"/>
  <c r="H64" i="40"/>
  <c r="H85" i="40" s="1"/>
  <c r="D64" i="40"/>
  <c r="D85" i="40" s="1"/>
  <c r="G63" i="40"/>
  <c r="G84" i="40" s="1"/>
  <c r="C63" i="40"/>
  <c r="C84" i="40" s="1"/>
  <c r="F62" i="40"/>
  <c r="F83" i="40" s="1"/>
  <c r="I61" i="40"/>
  <c r="I82" i="40" s="1"/>
  <c r="E61" i="40"/>
  <c r="E82" i="40" s="1"/>
  <c r="H60" i="40"/>
  <c r="H81" i="40" s="1"/>
  <c r="D60" i="40"/>
  <c r="D81" i="40" s="1"/>
  <c r="G59" i="40"/>
  <c r="G80" i="40" s="1"/>
  <c r="C59" i="40"/>
  <c r="C80" i="40" s="1"/>
  <c r="F58" i="40"/>
  <c r="F79" i="40" s="1"/>
  <c r="I57" i="40"/>
  <c r="I78" i="40" s="1"/>
  <c r="E57" i="40"/>
  <c r="E78" i="40" s="1"/>
  <c r="H56" i="40"/>
  <c r="H77" i="40" s="1"/>
  <c r="D56" i="40"/>
  <c r="D77" i="40" s="1"/>
  <c r="G55" i="40"/>
  <c r="G76" i="40" s="1"/>
  <c r="C55" i="40"/>
  <c r="C76" i="40" s="1"/>
  <c r="F54" i="40"/>
  <c r="F75" i="40" s="1"/>
  <c r="I53" i="40"/>
  <c r="I74" i="40" s="1"/>
  <c r="E53" i="40"/>
  <c r="E74" i="40" s="1"/>
  <c r="I25" i="40"/>
  <c r="H65" i="40"/>
  <c r="H86" i="40" s="1"/>
  <c r="D65" i="40"/>
  <c r="D86" i="40" s="1"/>
  <c r="G64" i="40"/>
  <c r="G85" i="40" s="1"/>
  <c r="C64" i="40"/>
  <c r="C85" i="40" s="1"/>
  <c r="F63" i="40"/>
  <c r="F84" i="40" s="1"/>
  <c r="I62" i="40"/>
  <c r="I83" i="40" s="1"/>
  <c r="E62" i="40"/>
  <c r="E83" i="40" s="1"/>
  <c r="H61" i="40"/>
  <c r="H82" i="40" s="1"/>
  <c r="D61" i="40"/>
  <c r="D82" i="40" s="1"/>
  <c r="G60" i="40"/>
  <c r="G81" i="40" s="1"/>
  <c r="C60" i="40"/>
  <c r="C81" i="40" s="1"/>
  <c r="F59" i="40"/>
  <c r="F80" i="40" s="1"/>
  <c r="I58" i="40"/>
  <c r="I79" i="40" s="1"/>
  <c r="E58" i="40"/>
  <c r="E79" i="40" s="1"/>
  <c r="H57" i="40"/>
  <c r="H78" i="40" s="1"/>
  <c r="D57" i="40"/>
  <c r="D78" i="40" s="1"/>
  <c r="G56" i="40"/>
  <c r="G77" i="40" s="1"/>
  <c r="C56" i="40"/>
  <c r="C77" i="40" s="1"/>
  <c r="F55" i="40"/>
  <c r="F76" i="40" s="1"/>
  <c r="I54" i="40"/>
  <c r="I75" i="40" s="1"/>
  <c r="E54" i="40"/>
  <c r="E75" i="40" s="1"/>
  <c r="H53" i="40"/>
  <c r="H74" i="40" s="1"/>
  <c r="G65" i="40"/>
  <c r="G86" i="40" s="1"/>
  <c r="C65" i="40"/>
  <c r="C86" i="40" s="1"/>
  <c r="F64" i="40"/>
  <c r="F85" i="40" s="1"/>
  <c r="I63" i="40"/>
  <c r="I84" i="40" s="1"/>
  <c r="E63" i="40"/>
  <c r="E84" i="40" s="1"/>
  <c r="H62" i="40"/>
  <c r="H83" i="40" s="1"/>
  <c r="D62" i="40"/>
  <c r="D83" i="40" s="1"/>
  <c r="G61" i="40"/>
  <c r="G82" i="40" s="1"/>
  <c r="C61" i="40"/>
  <c r="C82" i="40" s="1"/>
  <c r="F60" i="40"/>
  <c r="F81" i="40" s="1"/>
  <c r="I59" i="40"/>
  <c r="I80" i="40" s="1"/>
  <c r="E59" i="40"/>
  <c r="E80" i="40" s="1"/>
  <c r="H58" i="40"/>
  <c r="H79" i="40" s="1"/>
  <c r="D58" i="40"/>
  <c r="D79" i="40" s="1"/>
  <c r="G57" i="40"/>
  <c r="G78" i="40" s="1"/>
  <c r="C57" i="40"/>
  <c r="C78" i="40" s="1"/>
  <c r="F56" i="40"/>
  <c r="F77" i="40" s="1"/>
  <c r="I55" i="40"/>
  <c r="I76" i="40" s="1"/>
  <c r="E55" i="40"/>
  <c r="E76" i="40" s="1"/>
  <c r="H54" i="40"/>
  <c r="H75" i="40" s="1"/>
  <c r="D54" i="40"/>
  <c r="D75" i="40" s="1"/>
  <c r="G53" i="40"/>
  <c r="G74" i="40" s="1"/>
  <c r="C53" i="40"/>
  <c r="C74" i="40" s="1"/>
  <c r="F52" i="40"/>
  <c r="F73" i="40" s="1"/>
  <c r="I51" i="40"/>
  <c r="I72" i="40" s="1"/>
  <c r="E51" i="40"/>
  <c r="E72" i="40" s="1"/>
  <c r="H50" i="40"/>
  <c r="H71" i="40" s="1"/>
  <c r="D50" i="40"/>
  <c r="D71" i="40" s="1"/>
  <c r="G49" i="40"/>
  <c r="G70" i="40" s="1"/>
  <c r="F65" i="40"/>
  <c r="F86" i="40" s="1"/>
  <c r="I64" i="40"/>
  <c r="I85" i="40" s="1"/>
  <c r="E64" i="40"/>
  <c r="E85" i="40" s="1"/>
  <c r="H63" i="40"/>
  <c r="H84" i="40" s="1"/>
  <c r="D63" i="40"/>
  <c r="D84" i="40" s="1"/>
  <c r="G62" i="40"/>
  <c r="G83" i="40" s="1"/>
  <c r="C62" i="40"/>
  <c r="C83" i="40" s="1"/>
  <c r="F61" i="40"/>
  <c r="F82" i="40" s="1"/>
  <c r="I60" i="40"/>
  <c r="I81" i="40" s="1"/>
  <c r="E60" i="40"/>
  <c r="E81" i="40" s="1"/>
  <c r="H59" i="40"/>
  <c r="H80" i="40" s="1"/>
  <c r="D59" i="40"/>
  <c r="D80" i="40" s="1"/>
  <c r="G58" i="40"/>
  <c r="G79" i="40" s="1"/>
  <c r="C58" i="40"/>
  <c r="C79" i="40" s="1"/>
  <c r="F57" i="40"/>
  <c r="F78" i="40" s="1"/>
  <c r="I56" i="40"/>
  <c r="I77" i="40" s="1"/>
  <c r="E56" i="40"/>
  <c r="E77" i="40" s="1"/>
  <c r="H55" i="40"/>
  <c r="H76" i="40" s="1"/>
  <c r="D55" i="40"/>
  <c r="D76" i="40" s="1"/>
  <c r="G54" i="40"/>
  <c r="G75" i="40" s="1"/>
  <c r="C54" i="40"/>
  <c r="C75" i="40" s="1"/>
  <c r="F53" i="40"/>
  <c r="F74" i="40" s="1"/>
  <c r="I49" i="40"/>
  <c r="I70" i="40" s="1"/>
  <c r="E73" i="40"/>
  <c r="F72" i="40"/>
  <c r="C71" i="40"/>
  <c r="D70" i="40"/>
  <c r="D53" i="40"/>
  <c r="D74" i="40" s="1"/>
  <c r="G52" i="40"/>
  <c r="G73" i="40" s="1"/>
  <c r="C52" i="40"/>
  <c r="C73" i="40" s="1"/>
  <c r="I50" i="40"/>
  <c r="I71" i="40" s="1"/>
  <c r="E50" i="40"/>
  <c r="E71" i="40" s="1"/>
  <c r="H49" i="40"/>
  <c r="H70" i="40" s="1"/>
  <c r="I73" i="40"/>
  <c r="G71" i="40"/>
  <c r="C70" i="40"/>
  <c r="D72" i="40"/>
  <c r="H73" i="40"/>
  <c r="D73" i="40"/>
  <c r="G72" i="40"/>
  <c r="C72" i="40"/>
  <c r="F71" i="40"/>
  <c r="E70" i="40"/>
  <c r="H51" i="40"/>
  <c r="H72" i="40" s="1"/>
  <c r="F49" i="40"/>
  <c r="F70" i="40" s="1"/>
  <c r="K24" i="28"/>
  <c r="F24" i="28"/>
  <c r="G24" i="28"/>
  <c r="J24" i="28"/>
  <c r="I24" i="28"/>
  <c r="E24" i="28"/>
  <c r="H24" i="28"/>
  <c r="E16" i="2"/>
  <c r="F16" i="2"/>
  <c r="G16" i="2"/>
  <c r="H16" i="2"/>
  <c r="I16" i="2"/>
  <c r="J16" i="2"/>
  <c r="K16" i="2"/>
  <c r="E17" i="2"/>
  <c r="F17" i="2"/>
  <c r="G17" i="2"/>
  <c r="H17" i="2"/>
  <c r="I17" i="2"/>
  <c r="J17" i="2"/>
  <c r="K17" i="2"/>
  <c r="E18" i="2"/>
  <c r="E60" i="2" s="1"/>
  <c r="F18" i="2"/>
  <c r="F60" i="2" s="1"/>
  <c r="G18" i="2"/>
  <c r="G60" i="2" s="1"/>
  <c r="H18" i="2"/>
  <c r="H60" i="2" s="1"/>
  <c r="I18" i="2"/>
  <c r="I60" i="2" s="1"/>
  <c r="J18" i="2"/>
  <c r="J60" i="2" s="1"/>
  <c r="K18" i="2"/>
  <c r="K60" i="2" s="1"/>
  <c r="E19" i="2"/>
  <c r="E61" i="2" s="1"/>
  <c r="F19" i="2"/>
  <c r="F61" i="2" s="1"/>
  <c r="G19" i="2"/>
  <c r="G61" i="2" s="1"/>
  <c r="H19" i="2"/>
  <c r="H61" i="2" s="1"/>
  <c r="I19" i="2"/>
  <c r="I61" i="2" s="1"/>
  <c r="J19" i="2"/>
  <c r="J61" i="2" s="1"/>
  <c r="K19" i="2"/>
  <c r="K61" i="2" s="1"/>
  <c r="E20" i="2"/>
  <c r="F20" i="2"/>
  <c r="G20" i="2"/>
  <c r="H20" i="2"/>
  <c r="I20" i="2"/>
  <c r="J20" i="2"/>
  <c r="K20" i="2"/>
  <c r="E21" i="2"/>
  <c r="F21" i="2"/>
  <c r="G21" i="2"/>
  <c r="H21" i="2"/>
  <c r="I21" i="2"/>
  <c r="J21" i="2"/>
  <c r="K21" i="2"/>
  <c r="E22" i="2"/>
  <c r="E64" i="2" s="1"/>
  <c r="F22" i="2"/>
  <c r="F64" i="2" s="1"/>
  <c r="G22" i="2"/>
  <c r="G64" i="2" s="1"/>
  <c r="H22" i="2"/>
  <c r="H64" i="2" s="1"/>
  <c r="I22" i="2"/>
  <c r="I64" i="2" s="1"/>
  <c r="J22" i="2"/>
  <c r="J64" i="2" s="1"/>
  <c r="K22" i="2"/>
  <c r="K64" i="2" s="1"/>
  <c r="E23" i="2"/>
  <c r="F23" i="2"/>
  <c r="G23" i="2"/>
  <c r="H23" i="2"/>
  <c r="I23" i="2"/>
  <c r="J23" i="2"/>
  <c r="K23" i="2"/>
  <c r="E15" i="2"/>
  <c r="F15" i="2"/>
  <c r="G15" i="2"/>
  <c r="H15" i="2"/>
  <c r="I15" i="2"/>
  <c r="J15" i="2"/>
  <c r="K15" i="2"/>
  <c r="E14" i="2"/>
  <c r="E56" i="2" s="1"/>
  <c r="F14" i="2"/>
  <c r="F56" i="2" s="1"/>
  <c r="G14" i="2"/>
  <c r="G56" i="2" s="1"/>
  <c r="H14" i="2"/>
  <c r="H56" i="2" s="1"/>
  <c r="I14" i="2"/>
  <c r="I56" i="2" s="1"/>
  <c r="J14" i="2"/>
  <c r="J56" i="2" s="1"/>
  <c r="K14" i="2"/>
  <c r="K56" i="2" s="1"/>
  <c r="E13" i="2"/>
  <c r="E55" i="2" s="1"/>
  <c r="F13" i="2"/>
  <c r="F55" i="2" s="1"/>
  <c r="G13" i="2"/>
  <c r="G55" i="2" s="1"/>
  <c r="H13" i="2"/>
  <c r="H55" i="2" s="1"/>
  <c r="I13" i="2"/>
  <c r="I55" i="2" s="1"/>
  <c r="J13" i="2"/>
  <c r="J55" i="2" s="1"/>
  <c r="K13" i="2"/>
  <c r="K55" i="2" s="1"/>
  <c r="E12" i="2"/>
  <c r="F12" i="2"/>
  <c r="G12" i="2"/>
  <c r="H12" i="2"/>
  <c r="I12" i="2"/>
  <c r="J12" i="2"/>
  <c r="K12" i="2"/>
  <c r="E11" i="2"/>
  <c r="F11" i="2"/>
  <c r="G11" i="2"/>
  <c r="H11" i="2"/>
  <c r="I11" i="2"/>
  <c r="J11" i="2"/>
  <c r="K11" i="2"/>
  <c r="E10" i="2"/>
  <c r="E52" i="2" s="1"/>
  <c r="F10" i="2"/>
  <c r="F52" i="2" s="1"/>
  <c r="G10" i="2"/>
  <c r="G52" i="2" s="1"/>
  <c r="H10" i="2"/>
  <c r="H52" i="2" s="1"/>
  <c r="I10" i="2"/>
  <c r="I52" i="2" s="1"/>
  <c r="J10" i="2"/>
  <c r="J52" i="2" s="1"/>
  <c r="K10" i="2"/>
  <c r="K52" i="2" s="1"/>
  <c r="E9" i="2"/>
  <c r="F9" i="2"/>
  <c r="G9" i="2"/>
  <c r="H9" i="2"/>
  <c r="I9" i="2"/>
  <c r="J9" i="2"/>
  <c r="K9" i="2"/>
  <c r="E8" i="2"/>
  <c r="F8" i="2"/>
  <c r="G8" i="2"/>
  <c r="H8" i="2"/>
  <c r="I8" i="2"/>
  <c r="J8" i="2"/>
  <c r="K8" i="2"/>
  <c r="E7" i="2"/>
  <c r="E49" i="2" s="1"/>
  <c r="F7" i="2"/>
  <c r="G7" i="2"/>
  <c r="H7" i="2"/>
  <c r="H49" i="2" s="1"/>
  <c r="I7" i="2"/>
  <c r="I49" i="2" s="1"/>
  <c r="J7" i="2"/>
  <c r="J49" i="2" s="1"/>
  <c r="K7" i="2"/>
  <c r="K49" i="2" s="1"/>
  <c r="D7" i="2"/>
  <c r="D49" i="2" s="1"/>
  <c r="I138" i="29" l="1"/>
  <c r="D8" i="1"/>
  <c r="D70" i="1" s="1"/>
  <c r="F49" i="2"/>
  <c r="G9" i="1"/>
  <c r="G71" i="1" s="1"/>
  <c r="I50" i="2"/>
  <c r="C9" i="1"/>
  <c r="C71" i="1" s="1"/>
  <c r="E50" i="2"/>
  <c r="F10" i="1"/>
  <c r="F72" i="1" s="1"/>
  <c r="H51" i="2"/>
  <c r="H12" i="1"/>
  <c r="H74" i="1" s="1"/>
  <c r="J53" i="2"/>
  <c r="D12" i="1"/>
  <c r="D74" i="1" s="1"/>
  <c r="F53" i="2"/>
  <c r="G13" i="1"/>
  <c r="G75" i="1" s="1"/>
  <c r="I54" i="2"/>
  <c r="C13" i="1"/>
  <c r="C75" i="1" s="1"/>
  <c r="E54" i="2"/>
  <c r="H16" i="1"/>
  <c r="H78" i="1" s="1"/>
  <c r="J57" i="2"/>
  <c r="D16" i="1"/>
  <c r="D78" i="1" s="1"/>
  <c r="F57" i="2"/>
  <c r="G24" i="1"/>
  <c r="G86" i="1" s="1"/>
  <c r="I65" i="2"/>
  <c r="C24" i="1"/>
  <c r="C86" i="1" s="1"/>
  <c r="E65" i="2"/>
  <c r="I22" i="1"/>
  <c r="I84" i="1" s="1"/>
  <c r="K63" i="2"/>
  <c r="E22" i="1"/>
  <c r="E84" i="1" s="1"/>
  <c r="G63" i="2"/>
  <c r="H21" i="1"/>
  <c r="H83" i="1" s="1"/>
  <c r="J62" i="2"/>
  <c r="D21" i="1"/>
  <c r="D83" i="1" s="1"/>
  <c r="F62" i="2"/>
  <c r="I18" i="1"/>
  <c r="I80" i="1" s="1"/>
  <c r="K59" i="2"/>
  <c r="E18" i="1"/>
  <c r="E80" i="1" s="1"/>
  <c r="G59" i="2"/>
  <c r="H17" i="1"/>
  <c r="H79" i="1" s="1"/>
  <c r="J58" i="2"/>
  <c r="D17" i="1"/>
  <c r="D79" i="1" s="1"/>
  <c r="F58" i="2"/>
  <c r="F9" i="1"/>
  <c r="F71" i="1" s="1"/>
  <c r="H50" i="2"/>
  <c r="I10" i="1"/>
  <c r="I72" i="1" s="1"/>
  <c r="K51" i="2"/>
  <c r="E10" i="1"/>
  <c r="E72" i="1" s="1"/>
  <c r="G51" i="2"/>
  <c r="G12" i="1"/>
  <c r="G74" i="1" s="1"/>
  <c r="I53" i="2"/>
  <c r="C12" i="1"/>
  <c r="C74" i="1" s="1"/>
  <c r="E53" i="2"/>
  <c r="F13" i="1"/>
  <c r="F75" i="1" s="1"/>
  <c r="H54" i="2"/>
  <c r="G16" i="1"/>
  <c r="G78" i="1" s="1"/>
  <c r="I57" i="2"/>
  <c r="C16" i="1"/>
  <c r="C78" i="1" s="1"/>
  <c r="E57" i="2"/>
  <c r="F24" i="1"/>
  <c r="F86" i="1" s="1"/>
  <c r="H65" i="2"/>
  <c r="H22" i="1"/>
  <c r="H84" i="1" s="1"/>
  <c r="J63" i="2"/>
  <c r="D22" i="1"/>
  <c r="D84" i="1" s="1"/>
  <c r="F63" i="2"/>
  <c r="G21" i="1"/>
  <c r="G83" i="1" s="1"/>
  <c r="I62" i="2"/>
  <c r="C21" i="1"/>
  <c r="C83" i="1" s="1"/>
  <c r="E62" i="2"/>
  <c r="H18" i="1"/>
  <c r="H80" i="1" s="1"/>
  <c r="J59" i="2"/>
  <c r="D18" i="1"/>
  <c r="D80" i="1" s="1"/>
  <c r="F59" i="2"/>
  <c r="G17" i="1"/>
  <c r="G79" i="1" s="1"/>
  <c r="I58" i="2"/>
  <c r="C17" i="1"/>
  <c r="C79" i="1" s="1"/>
  <c r="E58" i="2"/>
  <c r="I9" i="1"/>
  <c r="I71" i="1" s="1"/>
  <c r="K50" i="2"/>
  <c r="E9" i="1"/>
  <c r="E71" i="1" s="1"/>
  <c r="G50" i="2"/>
  <c r="H10" i="1"/>
  <c r="H72" i="1" s="1"/>
  <c r="J51" i="2"/>
  <c r="D10" i="1"/>
  <c r="D72" i="1" s="1"/>
  <c r="F51" i="2"/>
  <c r="F12" i="1"/>
  <c r="F74" i="1" s="1"/>
  <c r="H53" i="2"/>
  <c r="I13" i="1"/>
  <c r="I75" i="1" s="1"/>
  <c r="K54" i="2"/>
  <c r="E13" i="1"/>
  <c r="E75" i="1" s="1"/>
  <c r="G54" i="2"/>
  <c r="F16" i="1"/>
  <c r="F78" i="1" s="1"/>
  <c r="H57" i="2"/>
  <c r="I24" i="1"/>
  <c r="I86" i="1" s="1"/>
  <c r="K65" i="2"/>
  <c r="E24" i="1"/>
  <c r="E86" i="1" s="1"/>
  <c r="G65" i="2"/>
  <c r="G22" i="1"/>
  <c r="G84" i="1" s="1"/>
  <c r="I63" i="2"/>
  <c r="C22" i="1"/>
  <c r="C84" i="1" s="1"/>
  <c r="E63" i="2"/>
  <c r="F21" i="1"/>
  <c r="F83" i="1" s="1"/>
  <c r="H62" i="2"/>
  <c r="G18" i="1"/>
  <c r="G80" i="1" s="1"/>
  <c r="I59" i="2"/>
  <c r="C18" i="1"/>
  <c r="C80" i="1" s="1"/>
  <c r="E59" i="2"/>
  <c r="F17" i="1"/>
  <c r="F79" i="1" s="1"/>
  <c r="H58" i="2"/>
  <c r="E8" i="1"/>
  <c r="E70" i="1" s="1"/>
  <c r="G49" i="2"/>
  <c r="H9" i="1"/>
  <c r="H71" i="1" s="1"/>
  <c r="J50" i="2"/>
  <c r="D9" i="1"/>
  <c r="D71" i="1" s="1"/>
  <c r="F50" i="2"/>
  <c r="G10" i="1"/>
  <c r="G72" i="1" s="1"/>
  <c r="I51" i="2"/>
  <c r="C10" i="1"/>
  <c r="C72" i="1" s="1"/>
  <c r="E51" i="2"/>
  <c r="I12" i="1"/>
  <c r="I74" i="1" s="1"/>
  <c r="K53" i="2"/>
  <c r="E12" i="1"/>
  <c r="E74" i="1" s="1"/>
  <c r="G53" i="2"/>
  <c r="H13" i="1"/>
  <c r="H75" i="1" s="1"/>
  <c r="J54" i="2"/>
  <c r="D13" i="1"/>
  <c r="D75" i="1" s="1"/>
  <c r="F54" i="2"/>
  <c r="I16" i="1"/>
  <c r="I78" i="1" s="1"/>
  <c r="K57" i="2"/>
  <c r="E16" i="1"/>
  <c r="E78" i="1" s="1"/>
  <c r="G57" i="2"/>
  <c r="H24" i="1"/>
  <c r="H86" i="1" s="1"/>
  <c r="J65" i="2"/>
  <c r="D24" i="1"/>
  <c r="D86" i="1" s="1"/>
  <c r="F65" i="2"/>
  <c r="F22" i="1"/>
  <c r="F84" i="1" s="1"/>
  <c r="H63" i="2"/>
  <c r="I21" i="1"/>
  <c r="I83" i="1" s="1"/>
  <c r="K62" i="2"/>
  <c r="E21" i="1"/>
  <c r="E83" i="1" s="1"/>
  <c r="G62" i="2"/>
  <c r="F18" i="1"/>
  <c r="F80" i="1" s="1"/>
  <c r="H59" i="2"/>
  <c r="I17" i="1"/>
  <c r="I79" i="1" s="1"/>
  <c r="K58" i="2"/>
  <c r="E17" i="1"/>
  <c r="E79" i="1" s="1"/>
  <c r="G58" i="2"/>
  <c r="D141" i="37"/>
  <c r="I116" i="38"/>
  <c r="I137" i="38" s="1"/>
  <c r="I114" i="41"/>
  <c r="I135" i="41" s="1"/>
  <c r="D119" i="38"/>
  <c r="D140" i="38" s="1"/>
  <c r="F122" i="37"/>
  <c r="F143" i="37" s="1"/>
  <c r="I66" i="30"/>
  <c r="I66" i="36"/>
  <c r="I66" i="32"/>
  <c r="I66" i="29"/>
  <c r="C114" i="40"/>
  <c r="C135" i="40" s="1"/>
  <c r="E118" i="40"/>
  <c r="E139" i="40" s="1"/>
  <c r="I126" i="40"/>
  <c r="I147" i="40" s="1"/>
  <c r="F118" i="40"/>
  <c r="F139" i="40" s="1"/>
  <c r="F126" i="40"/>
  <c r="F147" i="40" s="1"/>
  <c r="H123" i="40"/>
  <c r="H144" i="40" s="1"/>
  <c r="E112" i="40"/>
  <c r="E133" i="40" s="1"/>
  <c r="D115" i="40"/>
  <c r="D136" i="40" s="1"/>
  <c r="C116" i="40"/>
  <c r="C137" i="40" s="1"/>
  <c r="D125" i="40"/>
  <c r="D146" i="40" s="1"/>
  <c r="F127" i="40"/>
  <c r="F148" i="40" s="1"/>
  <c r="F114" i="40"/>
  <c r="F135" i="40" s="1"/>
  <c r="C119" i="40"/>
  <c r="C140" i="40" s="1"/>
  <c r="G123" i="40"/>
  <c r="G144" i="40" s="1"/>
  <c r="C127" i="40"/>
  <c r="C148" i="40" s="1"/>
  <c r="I116" i="40"/>
  <c r="I137" i="40" s="1"/>
  <c r="G118" i="40"/>
  <c r="G139" i="40" s="1"/>
  <c r="E124" i="40"/>
  <c r="E145" i="40" s="1"/>
  <c r="C126" i="40"/>
  <c r="C147" i="40" s="1"/>
  <c r="F116" i="40"/>
  <c r="F137" i="40" s="1"/>
  <c r="C121" i="40"/>
  <c r="C142" i="40" s="1"/>
  <c r="G125" i="40"/>
  <c r="G146" i="40" s="1"/>
  <c r="D125" i="35"/>
  <c r="D146" i="35" s="1"/>
  <c r="C112" i="35"/>
  <c r="C133" i="35" s="1"/>
  <c r="E114" i="35"/>
  <c r="E135" i="35" s="1"/>
  <c r="E113" i="35"/>
  <c r="E134" i="35" s="1"/>
  <c r="H124" i="35"/>
  <c r="H145" i="35" s="1"/>
  <c r="D124" i="35"/>
  <c r="D145" i="35" s="1"/>
  <c r="F112" i="35"/>
  <c r="F133" i="35" s="1"/>
  <c r="C117" i="35"/>
  <c r="C138" i="35" s="1"/>
  <c r="E119" i="35"/>
  <c r="E140" i="35" s="1"/>
  <c r="G121" i="35"/>
  <c r="G142" i="35" s="1"/>
  <c r="D126" i="35"/>
  <c r="D147" i="35" s="1"/>
  <c r="G112" i="37"/>
  <c r="G133" i="37" s="1"/>
  <c r="E111" i="37"/>
  <c r="E132" i="37" s="1"/>
  <c r="I115" i="37"/>
  <c r="I136" i="37" s="1"/>
  <c r="F120" i="37"/>
  <c r="F141" i="37" s="1"/>
  <c r="C125" i="37"/>
  <c r="C146" i="37" s="1"/>
  <c r="F115" i="37"/>
  <c r="F136" i="37" s="1"/>
  <c r="G120" i="37"/>
  <c r="G141" i="37" s="1"/>
  <c r="D125" i="37"/>
  <c r="D146" i="37" s="1"/>
  <c r="I87" i="41"/>
  <c r="I111" i="41"/>
  <c r="I132" i="41" s="1"/>
  <c r="D118" i="38"/>
  <c r="D139" i="38" s="1"/>
  <c r="I122" i="40"/>
  <c r="I143" i="40" s="1"/>
  <c r="H125" i="40"/>
  <c r="H146" i="40" s="1"/>
  <c r="G111" i="40"/>
  <c r="G132" i="40" s="1"/>
  <c r="D116" i="40"/>
  <c r="D137" i="40" s="1"/>
  <c r="H120" i="40"/>
  <c r="H141" i="40" s="1"/>
  <c r="E125" i="40"/>
  <c r="E146" i="40" s="1"/>
  <c r="G127" i="40"/>
  <c r="G148" i="40" s="1"/>
  <c r="F117" i="40"/>
  <c r="F138" i="40" s="1"/>
  <c r="D119" i="40"/>
  <c r="D140" i="40" s="1"/>
  <c r="I120" i="40"/>
  <c r="I141" i="40" s="1"/>
  <c r="G126" i="40"/>
  <c r="G147" i="40" s="1"/>
  <c r="E115" i="40"/>
  <c r="E136" i="40" s="1"/>
  <c r="I119" i="40"/>
  <c r="I140" i="40" s="1"/>
  <c r="F124" i="40"/>
  <c r="F145" i="40" s="1"/>
  <c r="C119" i="35"/>
  <c r="C140" i="35" s="1"/>
  <c r="F127" i="35"/>
  <c r="F148" i="35" s="1"/>
  <c r="G112" i="35"/>
  <c r="G133" i="35" s="1"/>
  <c r="I114" i="35"/>
  <c r="I135" i="35" s="1"/>
  <c r="F114" i="35"/>
  <c r="F135" i="35" s="1"/>
  <c r="C127" i="35"/>
  <c r="C148" i="35" s="1"/>
  <c r="F126" i="35"/>
  <c r="F147" i="35" s="1"/>
  <c r="C113" i="35"/>
  <c r="C134" i="35" s="1"/>
  <c r="E115" i="35"/>
  <c r="E136" i="35" s="1"/>
  <c r="G117" i="35"/>
  <c r="G138" i="35" s="1"/>
  <c r="I119" i="35"/>
  <c r="I140" i="35" s="1"/>
  <c r="D122" i="35"/>
  <c r="D143" i="35" s="1"/>
  <c r="F124" i="35"/>
  <c r="F145" i="35" s="1"/>
  <c r="H126" i="35"/>
  <c r="H147" i="35" s="1"/>
  <c r="H114" i="37"/>
  <c r="H135" i="37" s="1"/>
  <c r="E119" i="37"/>
  <c r="E140" i="37" s="1"/>
  <c r="I123" i="37"/>
  <c r="I144" i="37" s="1"/>
  <c r="D113" i="37"/>
  <c r="D134" i="37" s="1"/>
  <c r="H117" i="37"/>
  <c r="H138" i="37" s="1"/>
  <c r="E122" i="37"/>
  <c r="E143" i="37" s="1"/>
  <c r="I126" i="37"/>
  <c r="I147" i="37" s="1"/>
  <c r="I127" i="41"/>
  <c r="I148" i="41" s="1"/>
  <c r="I120" i="39"/>
  <c r="I141" i="39" s="1"/>
  <c r="E120" i="38"/>
  <c r="E141" i="38" s="1"/>
  <c r="I124" i="38"/>
  <c r="I145" i="38" s="1"/>
  <c r="D114" i="38"/>
  <c r="D135" i="38" s="1"/>
  <c r="F116" i="38"/>
  <c r="F137" i="38" s="1"/>
  <c r="H118" i="38"/>
  <c r="H139" i="38" s="1"/>
  <c r="C121" i="38"/>
  <c r="C142" i="38" s="1"/>
  <c r="E123" i="38"/>
  <c r="E144" i="38" s="1"/>
  <c r="G125" i="38"/>
  <c r="G146" i="38" s="1"/>
  <c r="I127" i="38"/>
  <c r="I148" i="38" s="1"/>
  <c r="H116" i="38"/>
  <c r="H137" i="38" s="1"/>
  <c r="E121" i="38"/>
  <c r="E142" i="38" s="1"/>
  <c r="I125" i="38"/>
  <c r="I146" i="38" s="1"/>
  <c r="F118" i="36"/>
  <c r="F139" i="36" s="1"/>
  <c r="C123" i="36"/>
  <c r="C144" i="36" s="1"/>
  <c r="G127" i="36"/>
  <c r="G148" i="36" s="1"/>
  <c r="G112" i="36"/>
  <c r="G133" i="36" s="1"/>
  <c r="D117" i="36"/>
  <c r="D138" i="36" s="1"/>
  <c r="F119" i="36"/>
  <c r="F140" i="36" s="1"/>
  <c r="H121" i="36"/>
  <c r="H142" i="36" s="1"/>
  <c r="C124" i="36"/>
  <c r="C145" i="36" s="1"/>
  <c r="E126" i="36"/>
  <c r="E147" i="36" s="1"/>
  <c r="C112" i="34"/>
  <c r="C133" i="34" s="1"/>
  <c r="E114" i="34"/>
  <c r="E135" i="34" s="1"/>
  <c r="G116" i="34"/>
  <c r="G137" i="34" s="1"/>
  <c r="I118" i="34"/>
  <c r="I139" i="34" s="1"/>
  <c r="D121" i="34"/>
  <c r="D142" i="34" s="1"/>
  <c r="F123" i="34"/>
  <c r="F144" i="34" s="1"/>
  <c r="H125" i="34"/>
  <c r="H146" i="34" s="1"/>
  <c r="D112" i="36"/>
  <c r="D133" i="36" s="1"/>
  <c r="H116" i="36"/>
  <c r="H137" i="36" s="1"/>
  <c r="I120" i="36"/>
  <c r="I141" i="36" s="1"/>
  <c r="F125" i="36"/>
  <c r="F146" i="36" s="1"/>
  <c r="D112" i="34"/>
  <c r="D133" i="34" s="1"/>
  <c r="F114" i="34"/>
  <c r="F135" i="34" s="1"/>
  <c r="H111" i="36"/>
  <c r="H132" i="36" s="1"/>
  <c r="C114" i="36"/>
  <c r="C135" i="36" s="1"/>
  <c r="E116" i="36"/>
  <c r="E137" i="36" s="1"/>
  <c r="E111" i="34"/>
  <c r="E132" i="34" s="1"/>
  <c r="G113" i="34"/>
  <c r="G134" i="34" s="1"/>
  <c r="I115" i="34"/>
  <c r="I136" i="34" s="1"/>
  <c r="D118" i="34"/>
  <c r="D139" i="34" s="1"/>
  <c r="F120" i="34"/>
  <c r="F141" i="34" s="1"/>
  <c r="H122" i="34"/>
  <c r="H143" i="34" s="1"/>
  <c r="C125" i="34"/>
  <c r="C146" i="34" s="1"/>
  <c r="E127" i="34"/>
  <c r="E148" i="34" s="1"/>
  <c r="E112" i="33"/>
  <c r="E133" i="33" s="1"/>
  <c r="G114" i="33"/>
  <c r="G135" i="33" s="1"/>
  <c r="I116" i="33"/>
  <c r="I137" i="33" s="1"/>
  <c r="D119" i="33"/>
  <c r="D140" i="33" s="1"/>
  <c r="F121" i="33"/>
  <c r="F142" i="33" s="1"/>
  <c r="H123" i="33"/>
  <c r="H144" i="33" s="1"/>
  <c r="C126" i="33"/>
  <c r="C147" i="33" s="1"/>
  <c r="E114" i="33"/>
  <c r="E135" i="33" s="1"/>
  <c r="I118" i="33"/>
  <c r="I139" i="33" s="1"/>
  <c r="F123" i="33"/>
  <c r="F144" i="33" s="1"/>
  <c r="D114" i="33"/>
  <c r="D135" i="33" s="1"/>
  <c r="H118" i="33"/>
  <c r="H139" i="33" s="1"/>
  <c r="E123" i="33"/>
  <c r="E144" i="33" s="1"/>
  <c r="I127" i="33"/>
  <c r="I148" i="33" s="1"/>
  <c r="I115" i="32"/>
  <c r="I136" i="32" s="1"/>
  <c r="D118" i="32"/>
  <c r="D139" i="32" s="1"/>
  <c r="F120" i="32"/>
  <c r="F141" i="32" s="1"/>
  <c r="H122" i="32"/>
  <c r="H143" i="32" s="1"/>
  <c r="C125" i="32"/>
  <c r="C146" i="32" s="1"/>
  <c r="E127" i="32"/>
  <c r="E148" i="32" s="1"/>
  <c r="F115" i="32"/>
  <c r="F136" i="32" s="1"/>
  <c r="H117" i="32"/>
  <c r="H138" i="32" s="1"/>
  <c r="C120" i="32"/>
  <c r="C141" i="32" s="1"/>
  <c r="E122" i="32"/>
  <c r="E143" i="32" s="1"/>
  <c r="G124" i="32"/>
  <c r="G145" i="32" s="1"/>
  <c r="I126" i="32"/>
  <c r="I147" i="32" s="1"/>
  <c r="D116" i="34"/>
  <c r="D137" i="34" s="1"/>
  <c r="H120" i="34"/>
  <c r="H141" i="34" s="1"/>
  <c r="E125" i="34"/>
  <c r="E146" i="34" s="1"/>
  <c r="H115" i="32"/>
  <c r="H136" i="32" s="1"/>
  <c r="C118" i="32"/>
  <c r="C139" i="32" s="1"/>
  <c r="E120" i="32"/>
  <c r="E141" i="32" s="1"/>
  <c r="G122" i="32"/>
  <c r="G143" i="32" s="1"/>
  <c r="I124" i="32"/>
  <c r="I145" i="32" s="1"/>
  <c r="D127" i="32"/>
  <c r="D148" i="32" s="1"/>
  <c r="H112" i="31"/>
  <c r="H133" i="31" s="1"/>
  <c r="C115" i="31"/>
  <c r="C136" i="31" s="1"/>
  <c r="E117" i="31"/>
  <c r="E138" i="31" s="1"/>
  <c r="G119" i="31"/>
  <c r="G140" i="31" s="1"/>
  <c r="C113" i="31"/>
  <c r="C134" i="31" s="1"/>
  <c r="G117" i="31"/>
  <c r="G138" i="31" s="1"/>
  <c r="D122" i="31"/>
  <c r="D143" i="31" s="1"/>
  <c r="H126" i="31"/>
  <c r="H147" i="31" s="1"/>
  <c r="G125" i="30"/>
  <c r="G146" i="30" s="1"/>
  <c r="I127" i="30"/>
  <c r="I148" i="30" s="1"/>
  <c r="I118" i="31"/>
  <c r="I139" i="31" s="1"/>
  <c r="F123" i="31"/>
  <c r="F144" i="31" s="1"/>
  <c r="C112" i="30"/>
  <c r="C133" i="30" s="1"/>
  <c r="G116" i="30"/>
  <c r="G137" i="30" s="1"/>
  <c r="I118" i="30"/>
  <c r="I139" i="30" s="1"/>
  <c r="D121" i="30"/>
  <c r="D142" i="30" s="1"/>
  <c r="F123" i="30"/>
  <c r="F144" i="30" s="1"/>
  <c r="H125" i="30"/>
  <c r="H146" i="30" s="1"/>
  <c r="F112" i="31"/>
  <c r="F133" i="31" s="1"/>
  <c r="C117" i="31"/>
  <c r="C138" i="31" s="1"/>
  <c r="G121" i="31"/>
  <c r="G142" i="31" s="1"/>
  <c r="D126" i="31"/>
  <c r="D147" i="31" s="1"/>
  <c r="E121" i="31"/>
  <c r="E142" i="31" s="1"/>
  <c r="G123" i="31"/>
  <c r="G144" i="31" s="1"/>
  <c r="I125" i="31"/>
  <c r="I146" i="31" s="1"/>
  <c r="C111" i="30"/>
  <c r="C132" i="30" s="1"/>
  <c r="E113" i="30"/>
  <c r="E134" i="30" s="1"/>
  <c r="G115" i="30"/>
  <c r="G136" i="30" s="1"/>
  <c r="I117" i="30"/>
  <c r="I138" i="30" s="1"/>
  <c r="D120" i="30"/>
  <c r="D141" i="30" s="1"/>
  <c r="F122" i="30"/>
  <c r="F143" i="30" s="1"/>
  <c r="H124" i="30"/>
  <c r="H145" i="30" s="1"/>
  <c r="C127" i="30"/>
  <c r="C148" i="30" s="1"/>
  <c r="I127" i="29"/>
  <c r="I148" i="29" s="1"/>
  <c r="E118" i="31"/>
  <c r="E139" i="31" s="1"/>
  <c r="I122" i="31"/>
  <c r="I143" i="31" s="1"/>
  <c r="F127" i="31"/>
  <c r="F148" i="31" s="1"/>
  <c r="I112" i="30"/>
  <c r="I133" i="30" s="1"/>
  <c r="I87" i="30"/>
  <c r="D115" i="30"/>
  <c r="D136" i="30" s="1"/>
  <c r="F117" i="30"/>
  <c r="F138" i="30" s="1"/>
  <c r="H119" i="30"/>
  <c r="H140" i="30" s="1"/>
  <c r="C122" i="30"/>
  <c r="C143" i="30" s="1"/>
  <c r="E124" i="30"/>
  <c r="E145" i="30" s="1"/>
  <c r="G126" i="30"/>
  <c r="G147" i="30" s="1"/>
  <c r="F111" i="40"/>
  <c r="F132" i="40" s="1"/>
  <c r="G120" i="40"/>
  <c r="G141" i="40" s="1"/>
  <c r="E126" i="40"/>
  <c r="E147" i="40" s="1"/>
  <c r="D112" i="40"/>
  <c r="D133" i="40" s="1"/>
  <c r="H116" i="40"/>
  <c r="H137" i="40" s="1"/>
  <c r="E121" i="40"/>
  <c r="E142" i="40" s="1"/>
  <c r="I125" i="40"/>
  <c r="I146" i="40" s="1"/>
  <c r="H119" i="40"/>
  <c r="H140" i="40" s="1"/>
  <c r="F121" i="40"/>
  <c r="F142" i="40" s="1"/>
  <c r="D123" i="40"/>
  <c r="D144" i="40" s="1"/>
  <c r="D127" i="40"/>
  <c r="D148" i="40" s="1"/>
  <c r="H118" i="40"/>
  <c r="H139" i="40" s="1"/>
  <c r="E123" i="40"/>
  <c r="E144" i="40" s="1"/>
  <c r="I127" i="40"/>
  <c r="I148" i="40" s="1"/>
  <c r="C116" i="35"/>
  <c r="C137" i="35" s="1"/>
  <c r="G120" i="35"/>
  <c r="G141" i="35" s="1"/>
  <c r="D113" i="35"/>
  <c r="D134" i="35" s="1"/>
  <c r="C111" i="35"/>
  <c r="C132" i="35" s="1"/>
  <c r="G119" i="35"/>
  <c r="G140" i="35" s="1"/>
  <c r="E111" i="35"/>
  <c r="E132" i="35" s="1"/>
  <c r="G113" i="35"/>
  <c r="G134" i="35" s="1"/>
  <c r="I115" i="35"/>
  <c r="I136" i="35" s="1"/>
  <c r="D118" i="35"/>
  <c r="D139" i="35" s="1"/>
  <c r="F120" i="35"/>
  <c r="F141" i="35" s="1"/>
  <c r="H122" i="35"/>
  <c r="H143" i="35" s="1"/>
  <c r="C125" i="35"/>
  <c r="C146" i="35" s="1"/>
  <c r="E127" i="35"/>
  <c r="E148" i="35" s="1"/>
  <c r="G113" i="37"/>
  <c r="G134" i="37" s="1"/>
  <c r="D118" i="37"/>
  <c r="D139" i="37" s="1"/>
  <c r="H122" i="37"/>
  <c r="H143" i="37" s="1"/>
  <c r="E127" i="37"/>
  <c r="E148" i="37" s="1"/>
  <c r="C116" i="37"/>
  <c r="C137" i="37" s="1"/>
  <c r="I115" i="41"/>
  <c r="I136" i="41" s="1"/>
  <c r="E118" i="37"/>
  <c r="E139" i="37" s="1"/>
  <c r="I122" i="37"/>
  <c r="I143" i="37" s="1"/>
  <c r="F127" i="37"/>
  <c r="F148" i="37" s="1"/>
  <c r="I124" i="39"/>
  <c r="I145" i="39" s="1"/>
  <c r="E117" i="38"/>
  <c r="E138" i="38" s="1"/>
  <c r="I121" i="38"/>
  <c r="I142" i="38" s="1"/>
  <c r="F126" i="38"/>
  <c r="F147" i="38" s="1"/>
  <c r="F112" i="38"/>
  <c r="F133" i="38" s="1"/>
  <c r="H114" i="38"/>
  <c r="H135" i="38" s="1"/>
  <c r="C117" i="38"/>
  <c r="C138" i="38" s="1"/>
  <c r="E119" i="38"/>
  <c r="E140" i="38" s="1"/>
  <c r="G121" i="38"/>
  <c r="G142" i="38" s="1"/>
  <c r="I123" i="38"/>
  <c r="I144" i="38" s="1"/>
  <c r="D126" i="38"/>
  <c r="D147" i="38" s="1"/>
  <c r="F117" i="38"/>
  <c r="F138" i="38" s="1"/>
  <c r="C122" i="38"/>
  <c r="C143" i="38" s="1"/>
  <c r="G126" i="38"/>
  <c r="G147" i="38" s="1"/>
  <c r="D113" i="36"/>
  <c r="D134" i="36" s="1"/>
  <c r="F115" i="36"/>
  <c r="F136" i="36" s="1"/>
  <c r="H117" i="36"/>
  <c r="H138" i="36" s="1"/>
  <c r="C120" i="36"/>
  <c r="C141" i="36" s="1"/>
  <c r="E122" i="36"/>
  <c r="E143" i="36" s="1"/>
  <c r="G124" i="36"/>
  <c r="G145" i="36" s="1"/>
  <c r="I126" i="36"/>
  <c r="I147" i="36" s="1"/>
  <c r="G112" i="34"/>
  <c r="G133" i="34" s="1"/>
  <c r="I114" i="34"/>
  <c r="I135" i="34" s="1"/>
  <c r="D117" i="34"/>
  <c r="D138" i="34" s="1"/>
  <c r="F119" i="34"/>
  <c r="F140" i="34" s="1"/>
  <c r="H121" i="34"/>
  <c r="H142" i="34" s="1"/>
  <c r="C124" i="34"/>
  <c r="C145" i="34" s="1"/>
  <c r="E126" i="34"/>
  <c r="E147" i="34" s="1"/>
  <c r="E113" i="36"/>
  <c r="E134" i="36" s="1"/>
  <c r="I117" i="36"/>
  <c r="I138" i="36" s="1"/>
  <c r="F122" i="36"/>
  <c r="F143" i="36" s="1"/>
  <c r="C127" i="36"/>
  <c r="C148" i="36" s="1"/>
  <c r="G111" i="36"/>
  <c r="G132" i="36" s="1"/>
  <c r="H112" i="34"/>
  <c r="H133" i="34" s="1"/>
  <c r="C115" i="34"/>
  <c r="C136" i="34" s="1"/>
  <c r="E112" i="36"/>
  <c r="E133" i="36" s="1"/>
  <c r="G114" i="36"/>
  <c r="G135" i="36" s="1"/>
  <c r="I116" i="36"/>
  <c r="I137" i="36" s="1"/>
  <c r="I87" i="34"/>
  <c r="I111" i="34"/>
  <c r="I132" i="34" s="1"/>
  <c r="D114" i="34"/>
  <c r="D135" i="34" s="1"/>
  <c r="F116" i="34"/>
  <c r="F137" i="34" s="1"/>
  <c r="H118" i="34"/>
  <c r="H139" i="34" s="1"/>
  <c r="C121" i="34"/>
  <c r="C142" i="34" s="1"/>
  <c r="E123" i="34"/>
  <c r="E144" i="34" s="1"/>
  <c r="G125" i="34"/>
  <c r="G146" i="34" s="1"/>
  <c r="I127" i="34"/>
  <c r="I148" i="34" s="1"/>
  <c r="I112" i="33"/>
  <c r="I133" i="33" s="1"/>
  <c r="D115" i="33"/>
  <c r="D136" i="33" s="1"/>
  <c r="F117" i="33"/>
  <c r="F138" i="33" s="1"/>
  <c r="H119" i="33"/>
  <c r="H140" i="33" s="1"/>
  <c r="C122" i="33"/>
  <c r="C143" i="33" s="1"/>
  <c r="E124" i="33"/>
  <c r="E145" i="33" s="1"/>
  <c r="G126" i="33"/>
  <c r="G147" i="33" s="1"/>
  <c r="F115" i="33"/>
  <c r="F136" i="33" s="1"/>
  <c r="C120" i="33"/>
  <c r="C141" i="33" s="1"/>
  <c r="G124" i="33"/>
  <c r="G145" i="33" s="1"/>
  <c r="C113" i="33"/>
  <c r="C134" i="33" s="1"/>
  <c r="G117" i="33"/>
  <c r="G138" i="33" s="1"/>
  <c r="D122" i="33"/>
  <c r="D143" i="33" s="1"/>
  <c r="H126" i="33"/>
  <c r="H147" i="33" s="1"/>
  <c r="F112" i="32"/>
  <c r="F133" i="32" s="1"/>
  <c r="F116" i="32"/>
  <c r="F137" i="32" s="1"/>
  <c r="H118" i="32"/>
  <c r="H139" i="32" s="1"/>
  <c r="C121" i="32"/>
  <c r="C142" i="32" s="1"/>
  <c r="E123" i="32"/>
  <c r="E144" i="32" s="1"/>
  <c r="G125" i="32"/>
  <c r="G146" i="32" s="1"/>
  <c r="I127" i="32"/>
  <c r="I148" i="32" s="1"/>
  <c r="G112" i="32"/>
  <c r="G133" i="32" s="1"/>
  <c r="C116" i="32"/>
  <c r="C137" i="32" s="1"/>
  <c r="E118" i="32"/>
  <c r="E139" i="32" s="1"/>
  <c r="G120" i="32"/>
  <c r="G141" i="32" s="1"/>
  <c r="I122" i="32"/>
  <c r="I143" i="32" s="1"/>
  <c r="D125" i="32"/>
  <c r="D146" i="32" s="1"/>
  <c r="F127" i="32"/>
  <c r="F148" i="32" s="1"/>
  <c r="F119" i="33"/>
  <c r="F140" i="33" s="1"/>
  <c r="C124" i="33"/>
  <c r="C145" i="33" s="1"/>
  <c r="G119" i="34"/>
  <c r="G140" i="34" s="1"/>
  <c r="D124" i="34"/>
  <c r="D145" i="34" s="1"/>
  <c r="D114" i="31"/>
  <c r="D135" i="31" s="1"/>
  <c r="H118" i="31"/>
  <c r="H139" i="31" s="1"/>
  <c r="E123" i="31"/>
  <c r="E144" i="31" s="1"/>
  <c r="I127" i="31"/>
  <c r="I148" i="31" s="1"/>
  <c r="D126" i="30"/>
  <c r="D147" i="30" s="1"/>
  <c r="C120" i="31"/>
  <c r="C141" i="31" s="1"/>
  <c r="G124" i="31"/>
  <c r="G145" i="31" s="1"/>
  <c r="G112" i="30"/>
  <c r="G133" i="30" s="1"/>
  <c r="D117" i="30"/>
  <c r="D138" i="30" s="1"/>
  <c r="F119" i="30"/>
  <c r="F140" i="30" s="1"/>
  <c r="H121" i="30"/>
  <c r="H142" i="30" s="1"/>
  <c r="C124" i="30"/>
  <c r="C145" i="30" s="1"/>
  <c r="E126" i="30"/>
  <c r="E147" i="30" s="1"/>
  <c r="G113" i="31"/>
  <c r="G134" i="31" s="1"/>
  <c r="H122" i="31"/>
  <c r="H143" i="31" s="1"/>
  <c r="E127" i="31"/>
  <c r="E148" i="31" s="1"/>
  <c r="I121" i="31"/>
  <c r="I142" i="31" s="1"/>
  <c r="D124" i="31"/>
  <c r="D145" i="31" s="1"/>
  <c r="F126" i="31"/>
  <c r="F147" i="31" s="1"/>
  <c r="G111" i="30"/>
  <c r="G132" i="30" s="1"/>
  <c r="I113" i="30"/>
  <c r="I134" i="30" s="1"/>
  <c r="D116" i="30"/>
  <c r="D137" i="30" s="1"/>
  <c r="F118" i="30"/>
  <c r="F139" i="30" s="1"/>
  <c r="H120" i="30"/>
  <c r="H141" i="30" s="1"/>
  <c r="C123" i="30"/>
  <c r="C144" i="30" s="1"/>
  <c r="E125" i="30"/>
  <c r="E146" i="30" s="1"/>
  <c r="G127" i="30"/>
  <c r="G148" i="30" s="1"/>
  <c r="I115" i="29"/>
  <c r="I136" i="29" s="1"/>
  <c r="F119" i="31"/>
  <c r="F140" i="31" s="1"/>
  <c r="C124" i="31"/>
  <c r="C145" i="31" s="1"/>
  <c r="D111" i="30"/>
  <c r="D132" i="30" s="1"/>
  <c r="F113" i="30"/>
  <c r="F134" i="30" s="1"/>
  <c r="H115" i="30"/>
  <c r="H136" i="30" s="1"/>
  <c r="C118" i="30"/>
  <c r="C139" i="30" s="1"/>
  <c r="E120" i="30"/>
  <c r="E141" i="30" s="1"/>
  <c r="G122" i="30"/>
  <c r="G143" i="30" s="1"/>
  <c r="I124" i="30"/>
  <c r="I145" i="30" s="1"/>
  <c r="D127" i="30"/>
  <c r="D148" i="30" s="1"/>
  <c r="I113" i="40"/>
  <c r="I134" i="40" s="1"/>
  <c r="C123" i="40"/>
  <c r="C144" i="40" s="1"/>
  <c r="E116" i="40"/>
  <c r="E137" i="40" s="1"/>
  <c r="C122" i="40"/>
  <c r="C143" i="40" s="1"/>
  <c r="F125" i="40"/>
  <c r="F146" i="40" s="1"/>
  <c r="H127" i="40"/>
  <c r="H148" i="40" s="1"/>
  <c r="G117" i="40"/>
  <c r="G138" i="40" s="1"/>
  <c r="D122" i="40"/>
  <c r="D143" i="40" s="1"/>
  <c r="H126" i="40"/>
  <c r="H147" i="40" s="1"/>
  <c r="H116" i="35"/>
  <c r="H137" i="35" s="1"/>
  <c r="I122" i="35"/>
  <c r="I143" i="35" s="1"/>
  <c r="F111" i="35"/>
  <c r="F132" i="35" s="1"/>
  <c r="H113" i="35"/>
  <c r="H134" i="35" s="1"/>
  <c r="D114" i="35"/>
  <c r="D135" i="35" s="1"/>
  <c r="F116" i="35"/>
  <c r="F137" i="35" s="1"/>
  <c r="H118" i="35"/>
  <c r="H139" i="35" s="1"/>
  <c r="C121" i="35"/>
  <c r="C142" i="35" s="1"/>
  <c r="E123" i="35"/>
  <c r="E144" i="35" s="1"/>
  <c r="G125" i="35"/>
  <c r="G146" i="35" s="1"/>
  <c r="I127" i="35"/>
  <c r="I148" i="35" s="1"/>
  <c r="I114" i="37"/>
  <c r="I135" i="37" s="1"/>
  <c r="F112" i="37"/>
  <c r="F133" i="37" s="1"/>
  <c r="C117" i="37"/>
  <c r="C138" i="37" s="1"/>
  <c r="G121" i="37"/>
  <c r="G142" i="37" s="1"/>
  <c r="D126" i="37"/>
  <c r="D147" i="37" s="1"/>
  <c r="H113" i="37"/>
  <c r="H134" i="37" s="1"/>
  <c r="C120" i="37"/>
  <c r="C141" i="37" s="1"/>
  <c r="G124" i="37"/>
  <c r="G145" i="37" s="1"/>
  <c r="C118" i="38"/>
  <c r="C139" i="38" s="1"/>
  <c r="G122" i="38"/>
  <c r="G143" i="38" s="1"/>
  <c r="D127" i="38"/>
  <c r="D148" i="38" s="1"/>
  <c r="C113" i="38"/>
  <c r="C134" i="38" s="1"/>
  <c r="E115" i="38"/>
  <c r="E136" i="38" s="1"/>
  <c r="G117" i="38"/>
  <c r="G138" i="38" s="1"/>
  <c r="I119" i="38"/>
  <c r="I140" i="38" s="1"/>
  <c r="D122" i="38"/>
  <c r="D143" i="38" s="1"/>
  <c r="F124" i="38"/>
  <c r="F145" i="38" s="1"/>
  <c r="H126" i="38"/>
  <c r="H147" i="38" s="1"/>
  <c r="D112" i="38"/>
  <c r="D133" i="38" s="1"/>
  <c r="C119" i="38"/>
  <c r="C140" i="38" s="1"/>
  <c r="G123" i="38"/>
  <c r="G144" i="38" s="1"/>
  <c r="H120" i="36"/>
  <c r="H141" i="36" s="1"/>
  <c r="E125" i="36"/>
  <c r="E146" i="36" s="1"/>
  <c r="F111" i="36"/>
  <c r="F132" i="36" s="1"/>
  <c r="H113" i="36"/>
  <c r="H134" i="36" s="1"/>
  <c r="C116" i="36"/>
  <c r="C137" i="36" s="1"/>
  <c r="E118" i="36"/>
  <c r="E139" i="36" s="1"/>
  <c r="G120" i="36"/>
  <c r="G141" i="36" s="1"/>
  <c r="I122" i="36"/>
  <c r="I143" i="36" s="1"/>
  <c r="D125" i="36"/>
  <c r="D146" i="36" s="1"/>
  <c r="F127" i="36"/>
  <c r="F148" i="36" s="1"/>
  <c r="D113" i="34"/>
  <c r="D134" i="34" s="1"/>
  <c r="F115" i="34"/>
  <c r="F136" i="34" s="1"/>
  <c r="H117" i="34"/>
  <c r="H138" i="34" s="1"/>
  <c r="C120" i="34"/>
  <c r="C141" i="34" s="1"/>
  <c r="E122" i="34"/>
  <c r="E143" i="34" s="1"/>
  <c r="G124" i="34"/>
  <c r="G145" i="34" s="1"/>
  <c r="I126" i="34"/>
  <c r="I147" i="34" s="1"/>
  <c r="F114" i="36"/>
  <c r="F135" i="36" s="1"/>
  <c r="G118" i="36"/>
  <c r="G139" i="36" s="1"/>
  <c r="D123" i="36"/>
  <c r="D144" i="36" s="1"/>
  <c r="H127" i="36"/>
  <c r="H148" i="36" s="1"/>
  <c r="C111" i="34"/>
  <c r="C132" i="34" s="1"/>
  <c r="E113" i="34"/>
  <c r="E134" i="34" s="1"/>
  <c r="I112" i="36"/>
  <c r="I133" i="36" s="1"/>
  <c r="D115" i="36"/>
  <c r="D136" i="36" s="1"/>
  <c r="F117" i="36"/>
  <c r="F138" i="36" s="1"/>
  <c r="D111" i="33"/>
  <c r="D132" i="33" s="1"/>
  <c r="F113" i="33"/>
  <c r="F134" i="33" s="1"/>
  <c r="H115" i="33"/>
  <c r="H136" i="33" s="1"/>
  <c r="C118" i="33"/>
  <c r="C139" i="33" s="1"/>
  <c r="E120" i="33"/>
  <c r="E141" i="33" s="1"/>
  <c r="G122" i="33"/>
  <c r="G143" i="33" s="1"/>
  <c r="I124" i="33"/>
  <c r="I145" i="33" s="1"/>
  <c r="D127" i="33"/>
  <c r="D148" i="33" s="1"/>
  <c r="C112" i="33"/>
  <c r="C133" i="33" s="1"/>
  <c r="G116" i="33"/>
  <c r="G137" i="33" s="1"/>
  <c r="D121" i="33"/>
  <c r="D142" i="33" s="1"/>
  <c r="H125" i="33"/>
  <c r="H146" i="33" s="1"/>
  <c r="F116" i="33"/>
  <c r="F137" i="33" s="1"/>
  <c r="C121" i="33"/>
  <c r="C142" i="33" s="1"/>
  <c r="G125" i="33"/>
  <c r="G146" i="33" s="1"/>
  <c r="H114" i="32"/>
  <c r="H135" i="32" s="1"/>
  <c r="C117" i="32"/>
  <c r="C138" i="32" s="1"/>
  <c r="E119" i="32"/>
  <c r="E140" i="32" s="1"/>
  <c r="G121" i="32"/>
  <c r="G142" i="32" s="1"/>
  <c r="I123" i="32"/>
  <c r="I144" i="32" s="1"/>
  <c r="D126" i="32"/>
  <c r="D147" i="32" s="1"/>
  <c r="D113" i="32"/>
  <c r="D134" i="32" s="1"/>
  <c r="G116" i="32"/>
  <c r="G137" i="32" s="1"/>
  <c r="I118" i="32"/>
  <c r="I139" i="32" s="1"/>
  <c r="D121" i="32"/>
  <c r="D142" i="32" s="1"/>
  <c r="F123" i="32"/>
  <c r="F144" i="32" s="1"/>
  <c r="H125" i="32"/>
  <c r="H146" i="32" s="1"/>
  <c r="F111" i="33"/>
  <c r="F132" i="33" s="1"/>
  <c r="C116" i="33"/>
  <c r="C137" i="33" s="1"/>
  <c r="G120" i="33"/>
  <c r="G141" i="33" s="1"/>
  <c r="D125" i="33"/>
  <c r="D146" i="33" s="1"/>
  <c r="F118" i="34"/>
  <c r="F139" i="34" s="1"/>
  <c r="C123" i="34"/>
  <c r="C144" i="34" s="1"/>
  <c r="G127" i="34"/>
  <c r="G148" i="34" s="1"/>
  <c r="H111" i="32"/>
  <c r="H132" i="32" s="1"/>
  <c r="G114" i="32"/>
  <c r="G135" i="32" s="1"/>
  <c r="I116" i="32"/>
  <c r="I137" i="32" s="1"/>
  <c r="D119" i="32"/>
  <c r="D140" i="32" s="1"/>
  <c r="F121" i="32"/>
  <c r="F142" i="32" s="1"/>
  <c r="H123" i="32"/>
  <c r="H144" i="32" s="1"/>
  <c r="C126" i="32"/>
  <c r="C147" i="32" s="1"/>
  <c r="G111" i="31"/>
  <c r="G132" i="31" s="1"/>
  <c r="I113" i="31"/>
  <c r="I134" i="31" s="1"/>
  <c r="D116" i="31"/>
  <c r="D137" i="31" s="1"/>
  <c r="F118" i="31"/>
  <c r="F139" i="31" s="1"/>
  <c r="E115" i="31"/>
  <c r="E136" i="31" s="1"/>
  <c r="I119" i="31"/>
  <c r="I140" i="31" s="1"/>
  <c r="F124" i="31"/>
  <c r="F145" i="31" s="1"/>
  <c r="H126" i="30"/>
  <c r="H147" i="30" s="1"/>
  <c r="G116" i="31"/>
  <c r="G137" i="31" s="1"/>
  <c r="D121" i="31"/>
  <c r="D142" i="31" s="1"/>
  <c r="H125" i="31"/>
  <c r="H146" i="31" s="1"/>
  <c r="D113" i="30"/>
  <c r="D134" i="30" s="1"/>
  <c r="F115" i="30"/>
  <c r="F136" i="30" s="1"/>
  <c r="H117" i="30"/>
  <c r="H138" i="30" s="1"/>
  <c r="C120" i="30"/>
  <c r="C141" i="30" s="1"/>
  <c r="E122" i="30"/>
  <c r="E143" i="30" s="1"/>
  <c r="G124" i="30"/>
  <c r="G145" i="30" s="1"/>
  <c r="I126" i="30"/>
  <c r="I147" i="30" s="1"/>
  <c r="H114" i="31"/>
  <c r="H135" i="31" s="1"/>
  <c r="E119" i="31"/>
  <c r="E140" i="31" s="1"/>
  <c r="I123" i="31"/>
  <c r="I144" i="31" s="1"/>
  <c r="D120" i="31"/>
  <c r="D141" i="31" s="1"/>
  <c r="F122" i="31"/>
  <c r="F143" i="31" s="1"/>
  <c r="H124" i="31"/>
  <c r="H145" i="31" s="1"/>
  <c r="C127" i="31"/>
  <c r="C148" i="31" s="1"/>
  <c r="D112" i="30"/>
  <c r="D133" i="30" s="1"/>
  <c r="F114" i="30"/>
  <c r="F135" i="30" s="1"/>
  <c r="H116" i="30"/>
  <c r="H137" i="30" s="1"/>
  <c r="C119" i="30"/>
  <c r="C140" i="30" s="1"/>
  <c r="E121" i="30"/>
  <c r="E142" i="30" s="1"/>
  <c r="G123" i="30"/>
  <c r="G144" i="30" s="1"/>
  <c r="I125" i="30"/>
  <c r="I146" i="30" s="1"/>
  <c r="I119" i="29"/>
  <c r="I140" i="29" s="1"/>
  <c r="G120" i="31"/>
  <c r="G141" i="31" s="1"/>
  <c r="D125" i="31"/>
  <c r="D146" i="31" s="1"/>
  <c r="H111" i="30"/>
  <c r="H132" i="30" s="1"/>
  <c r="C114" i="30"/>
  <c r="C135" i="30" s="1"/>
  <c r="E116" i="30"/>
  <c r="E137" i="30" s="1"/>
  <c r="G118" i="30"/>
  <c r="G139" i="30" s="1"/>
  <c r="I120" i="30"/>
  <c r="I141" i="30" s="1"/>
  <c r="D123" i="30"/>
  <c r="D144" i="30" s="1"/>
  <c r="F125" i="30"/>
  <c r="F146" i="30" s="1"/>
  <c r="H127" i="30"/>
  <c r="H148" i="30" s="1"/>
  <c r="H113" i="40"/>
  <c r="H134" i="40" s="1"/>
  <c r="E118" i="35"/>
  <c r="E139" i="35" s="1"/>
  <c r="H114" i="35"/>
  <c r="H135" i="35" s="1"/>
  <c r="I123" i="35"/>
  <c r="I144" i="35" s="1"/>
  <c r="H112" i="38"/>
  <c r="H133" i="38" s="1"/>
  <c r="G119" i="38"/>
  <c r="G140" i="38" s="1"/>
  <c r="D124" i="38"/>
  <c r="D145" i="38" s="1"/>
  <c r="E111" i="38"/>
  <c r="E132" i="38" s="1"/>
  <c r="G113" i="38"/>
  <c r="G134" i="38" s="1"/>
  <c r="I115" i="38"/>
  <c r="I136" i="38" s="1"/>
  <c r="F120" i="38"/>
  <c r="F141" i="38" s="1"/>
  <c r="H122" i="38"/>
  <c r="H143" i="38" s="1"/>
  <c r="C125" i="38"/>
  <c r="C146" i="38" s="1"/>
  <c r="E127" i="38"/>
  <c r="E148" i="38" s="1"/>
  <c r="F121" i="36"/>
  <c r="F142" i="36" s="1"/>
  <c r="C126" i="36"/>
  <c r="C147" i="36" s="1"/>
  <c r="C112" i="36"/>
  <c r="C133" i="36" s="1"/>
  <c r="E114" i="36"/>
  <c r="E135" i="36" s="1"/>
  <c r="G116" i="36"/>
  <c r="G137" i="36" s="1"/>
  <c r="I118" i="36"/>
  <c r="I139" i="36" s="1"/>
  <c r="D121" i="36"/>
  <c r="D142" i="36" s="1"/>
  <c r="F123" i="36"/>
  <c r="F144" i="36" s="1"/>
  <c r="H125" i="36"/>
  <c r="H146" i="36" s="1"/>
  <c r="F111" i="34"/>
  <c r="F132" i="34" s="1"/>
  <c r="H113" i="34"/>
  <c r="H134" i="34" s="1"/>
  <c r="C116" i="34"/>
  <c r="C137" i="34" s="1"/>
  <c r="E118" i="34"/>
  <c r="E139" i="34" s="1"/>
  <c r="G120" i="34"/>
  <c r="G141" i="34" s="1"/>
  <c r="I122" i="34"/>
  <c r="I143" i="34" s="1"/>
  <c r="D125" i="34"/>
  <c r="D146" i="34" s="1"/>
  <c r="F127" i="34"/>
  <c r="F148" i="34" s="1"/>
  <c r="G111" i="34"/>
  <c r="G132" i="34" s="1"/>
  <c r="I113" i="34"/>
  <c r="I134" i="34" s="1"/>
  <c r="E120" i="36"/>
  <c r="E141" i="36" s="1"/>
  <c r="D111" i="36"/>
  <c r="D132" i="36" s="1"/>
  <c r="F113" i="36"/>
  <c r="F134" i="36" s="1"/>
  <c r="H115" i="36"/>
  <c r="H136" i="36" s="1"/>
  <c r="C113" i="34"/>
  <c r="C134" i="34" s="1"/>
  <c r="E115" i="34"/>
  <c r="E136" i="34" s="1"/>
  <c r="G117" i="34"/>
  <c r="G138" i="34" s="1"/>
  <c r="I119" i="34"/>
  <c r="I140" i="34" s="1"/>
  <c r="D122" i="34"/>
  <c r="D143" i="34" s="1"/>
  <c r="F124" i="34"/>
  <c r="F145" i="34" s="1"/>
  <c r="H126" i="34"/>
  <c r="H147" i="34" s="1"/>
  <c r="H111" i="33"/>
  <c r="H132" i="33" s="1"/>
  <c r="C114" i="33"/>
  <c r="C135" i="33" s="1"/>
  <c r="E116" i="33"/>
  <c r="E137" i="33" s="1"/>
  <c r="G118" i="33"/>
  <c r="G139" i="33" s="1"/>
  <c r="I120" i="33"/>
  <c r="I141" i="33" s="1"/>
  <c r="D123" i="33"/>
  <c r="D144" i="33" s="1"/>
  <c r="F125" i="33"/>
  <c r="F146" i="33" s="1"/>
  <c r="H127" i="33"/>
  <c r="H148" i="33" s="1"/>
  <c r="D113" i="33"/>
  <c r="D134" i="33" s="1"/>
  <c r="H117" i="33"/>
  <c r="H138" i="33" s="1"/>
  <c r="E122" i="33"/>
  <c r="E143" i="33" s="1"/>
  <c r="I126" i="33"/>
  <c r="I147" i="33" s="1"/>
  <c r="E115" i="33"/>
  <c r="E136" i="33" s="1"/>
  <c r="I119" i="33"/>
  <c r="I140" i="33" s="1"/>
  <c r="F124" i="33"/>
  <c r="F145" i="33" s="1"/>
  <c r="E115" i="32"/>
  <c r="E136" i="32" s="1"/>
  <c r="G117" i="32"/>
  <c r="G138" i="32" s="1"/>
  <c r="I119" i="32"/>
  <c r="I140" i="32" s="1"/>
  <c r="D122" i="32"/>
  <c r="D143" i="32" s="1"/>
  <c r="F124" i="32"/>
  <c r="F145" i="32" s="1"/>
  <c r="H126" i="32"/>
  <c r="H147" i="32" s="1"/>
  <c r="I114" i="32"/>
  <c r="I135" i="32" s="1"/>
  <c r="D117" i="32"/>
  <c r="D138" i="32" s="1"/>
  <c r="F119" i="32"/>
  <c r="F140" i="32" s="1"/>
  <c r="H121" i="32"/>
  <c r="H142" i="32" s="1"/>
  <c r="C124" i="32"/>
  <c r="C145" i="32" s="1"/>
  <c r="E126" i="32"/>
  <c r="E147" i="32" s="1"/>
  <c r="G112" i="33"/>
  <c r="G133" i="33" s="1"/>
  <c r="D117" i="33"/>
  <c r="D138" i="33" s="1"/>
  <c r="H121" i="33"/>
  <c r="H142" i="33" s="1"/>
  <c r="E126" i="33"/>
  <c r="E147" i="33" s="1"/>
  <c r="E117" i="34"/>
  <c r="E138" i="34" s="1"/>
  <c r="I121" i="34"/>
  <c r="I142" i="34" s="1"/>
  <c r="F126" i="34"/>
  <c r="F147" i="34" s="1"/>
  <c r="E112" i="32"/>
  <c r="E133" i="32" s="1"/>
  <c r="D115" i="32"/>
  <c r="D136" i="32" s="1"/>
  <c r="F117" i="32"/>
  <c r="F138" i="32" s="1"/>
  <c r="H119" i="32"/>
  <c r="H140" i="32" s="1"/>
  <c r="C122" i="32"/>
  <c r="C143" i="32" s="1"/>
  <c r="E124" i="32"/>
  <c r="E145" i="32" s="1"/>
  <c r="G126" i="32"/>
  <c r="G147" i="32" s="1"/>
  <c r="D112" i="31"/>
  <c r="D133" i="31" s="1"/>
  <c r="F114" i="31"/>
  <c r="F135" i="31" s="1"/>
  <c r="H116" i="31"/>
  <c r="H137" i="31" s="1"/>
  <c r="C119" i="31"/>
  <c r="C140" i="31" s="1"/>
  <c r="F116" i="31"/>
  <c r="F137" i="31" s="1"/>
  <c r="C121" i="31"/>
  <c r="C142" i="31" s="1"/>
  <c r="G125" i="31"/>
  <c r="G146" i="31" s="1"/>
  <c r="C125" i="30"/>
  <c r="C146" i="30" s="1"/>
  <c r="E127" i="30"/>
  <c r="E148" i="30" s="1"/>
  <c r="H117" i="31"/>
  <c r="H138" i="31" s="1"/>
  <c r="E122" i="31"/>
  <c r="E143" i="31" s="1"/>
  <c r="I126" i="31"/>
  <c r="I147" i="31" s="1"/>
  <c r="F111" i="30"/>
  <c r="F132" i="30" s="1"/>
  <c r="H113" i="30"/>
  <c r="H134" i="30" s="1"/>
  <c r="C116" i="30"/>
  <c r="C137" i="30" s="1"/>
  <c r="E118" i="30"/>
  <c r="E139" i="30" s="1"/>
  <c r="G120" i="30"/>
  <c r="G141" i="30" s="1"/>
  <c r="I122" i="30"/>
  <c r="I143" i="30" s="1"/>
  <c r="D125" i="30"/>
  <c r="D146" i="30" s="1"/>
  <c r="F127" i="30"/>
  <c r="F148" i="30" s="1"/>
  <c r="E111" i="31"/>
  <c r="E132" i="31" s="1"/>
  <c r="I115" i="31"/>
  <c r="I136" i="31" s="1"/>
  <c r="F120" i="31"/>
  <c r="F141" i="31" s="1"/>
  <c r="C125" i="31"/>
  <c r="C146" i="31" s="1"/>
  <c r="H120" i="31"/>
  <c r="H141" i="31" s="1"/>
  <c r="C123" i="31"/>
  <c r="C144" i="31" s="1"/>
  <c r="E125" i="31"/>
  <c r="E146" i="31" s="1"/>
  <c r="G127" i="31"/>
  <c r="G148" i="31" s="1"/>
  <c r="E117" i="30"/>
  <c r="E138" i="30" s="1"/>
  <c r="G119" i="30"/>
  <c r="G140" i="30" s="1"/>
  <c r="D124" i="30"/>
  <c r="D145" i="30" s="1"/>
  <c r="F126" i="30"/>
  <c r="F147" i="30" s="1"/>
  <c r="I123" i="29"/>
  <c r="I144" i="29" s="1"/>
  <c r="D117" i="31"/>
  <c r="D138" i="31" s="1"/>
  <c r="H121" i="31"/>
  <c r="H142" i="31" s="1"/>
  <c r="E126" i="31"/>
  <c r="E147" i="31" s="1"/>
  <c r="C113" i="40"/>
  <c r="C134" i="40" s="1"/>
  <c r="D113" i="40"/>
  <c r="D134" i="40" s="1"/>
  <c r="F113" i="40"/>
  <c r="F134" i="40" s="1"/>
  <c r="G123" i="35"/>
  <c r="G144" i="35" s="1"/>
  <c r="G115" i="35"/>
  <c r="G136" i="35" s="1"/>
  <c r="I117" i="35"/>
  <c r="I138" i="35" s="1"/>
  <c r="C123" i="35"/>
  <c r="C144" i="35" s="1"/>
  <c r="I66" i="37"/>
  <c r="C112" i="37"/>
  <c r="C133" i="37" s="1"/>
  <c r="D117" i="37"/>
  <c r="D138" i="37" s="1"/>
  <c r="G116" i="37"/>
  <c r="G137" i="37" s="1"/>
  <c r="I116" i="41"/>
  <c r="I137" i="41" s="1"/>
  <c r="I125" i="41"/>
  <c r="I146" i="41" s="1"/>
  <c r="I113" i="38"/>
  <c r="I134" i="38" s="1"/>
  <c r="C123" i="38"/>
  <c r="C144" i="38" s="1"/>
  <c r="E116" i="38"/>
  <c r="E137" i="38" s="1"/>
  <c r="I120" i="38"/>
  <c r="I141" i="38" s="1"/>
  <c r="F125" i="38"/>
  <c r="F146" i="38" s="1"/>
  <c r="I111" i="36"/>
  <c r="I132" i="36" s="1"/>
  <c r="C119" i="36"/>
  <c r="C140" i="36" s="1"/>
  <c r="E121" i="36"/>
  <c r="E142" i="36" s="1"/>
  <c r="G123" i="36"/>
  <c r="G144" i="36" s="1"/>
  <c r="I125" i="36"/>
  <c r="I146" i="36" s="1"/>
  <c r="H119" i="36"/>
  <c r="H140" i="36" s="1"/>
  <c r="C122" i="36"/>
  <c r="C143" i="36" s="1"/>
  <c r="E124" i="36"/>
  <c r="E145" i="36" s="1"/>
  <c r="G126" i="36"/>
  <c r="G147" i="36" s="1"/>
  <c r="D114" i="32"/>
  <c r="D135" i="32" s="1"/>
  <c r="E114" i="32"/>
  <c r="E135" i="32" s="1"/>
  <c r="H113" i="32"/>
  <c r="H134" i="32" s="1"/>
  <c r="H112" i="32"/>
  <c r="H133" i="32" s="1"/>
  <c r="I114" i="30"/>
  <c r="I135" i="30" s="1"/>
  <c r="I70" i="29"/>
  <c r="I124" i="29"/>
  <c r="I145" i="29" s="1"/>
  <c r="E111" i="40"/>
  <c r="E132" i="40" s="1"/>
  <c r="G113" i="40"/>
  <c r="G134" i="40" s="1"/>
  <c r="C111" i="40"/>
  <c r="C132" i="40" s="1"/>
  <c r="E114" i="40"/>
  <c r="E135" i="40" s="1"/>
  <c r="F115" i="40"/>
  <c r="F136" i="40" s="1"/>
  <c r="G116" i="40"/>
  <c r="G137" i="40" s="1"/>
  <c r="H117" i="40"/>
  <c r="H138" i="40" s="1"/>
  <c r="I118" i="40"/>
  <c r="I139" i="40" s="1"/>
  <c r="C120" i="40"/>
  <c r="C141" i="40" s="1"/>
  <c r="D121" i="40"/>
  <c r="D142" i="40" s="1"/>
  <c r="E122" i="40"/>
  <c r="E143" i="40" s="1"/>
  <c r="F123" i="40"/>
  <c r="F144" i="40" s="1"/>
  <c r="G124" i="40"/>
  <c r="G145" i="40" s="1"/>
  <c r="H112" i="40"/>
  <c r="H133" i="40" s="1"/>
  <c r="C115" i="40"/>
  <c r="C136" i="40" s="1"/>
  <c r="E117" i="40"/>
  <c r="E138" i="40" s="1"/>
  <c r="G119" i="40"/>
  <c r="G140" i="40" s="1"/>
  <c r="I121" i="40"/>
  <c r="I142" i="40" s="1"/>
  <c r="D124" i="40"/>
  <c r="D145" i="40" s="1"/>
  <c r="I112" i="40"/>
  <c r="I133" i="40" s="1"/>
  <c r="H115" i="40"/>
  <c r="H136" i="40" s="1"/>
  <c r="C118" i="40"/>
  <c r="C139" i="40" s="1"/>
  <c r="E120" i="40"/>
  <c r="E141" i="40" s="1"/>
  <c r="G122" i="40"/>
  <c r="G143" i="40" s="1"/>
  <c r="I124" i="40"/>
  <c r="I145" i="40" s="1"/>
  <c r="I115" i="40"/>
  <c r="I136" i="40" s="1"/>
  <c r="C117" i="40"/>
  <c r="C138" i="40" s="1"/>
  <c r="D118" i="40"/>
  <c r="D139" i="40" s="1"/>
  <c r="E119" i="40"/>
  <c r="E140" i="40" s="1"/>
  <c r="F120" i="40"/>
  <c r="F141" i="40" s="1"/>
  <c r="G121" i="40"/>
  <c r="G142" i="40" s="1"/>
  <c r="H122" i="40"/>
  <c r="H143" i="40" s="1"/>
  <c r="I123" i="40"/>
  <c r="I144" i="40" s="1"/>
  <c r="C125" i="40"/>
  <c r="C146" i="40" s="1"/>
  <c r="D126" i="40"/>
  <c r="D147" i="40" s="1"/>
  <c r="E127" i="40"/>
  <c r="E148" i="40" s="1"/>
  <c r="G116" i="35"/>
  <c r="G137" i="35" s="1"/>
  <c r="I118" i="35"/>
  <c r="I139" i="35" s="1"/>
  <c r="D121" i="35"/>
  <c r="D142" i="35" s="1"/>
  <c r="F123" i="35"/>
  <c r="F144" i="35" s="1"/>
  <c r="H125" i="35"/>
  <c r="H146" i="35" s="1"/>
  <c r="I125" i="35"/>
  <c r="I146" i="35" s="1"/>
  <c r="G111" i="35"/>
  <c r="G132" i="35" s="1"/>
  <c r="I113" i="35"/>
  <c r="I134" i="35" s="1"/>
  <c r="D116" i="35"/>
  <c r="D137" i="35" s="1"/>
  <c r="F118" i="35"/>
  <c r="F139" i="35" s="1"/>
  <c r="E125" i="35"/>
  <c r="E146" i="35" s="1"/>
  <c r="I66" i="35"/>
  <c r="I111" i="37"/>
  <c r="I132" i="37" s="1"/>
  <c r="I87" i="37"/>
  <c r="C113" i="37"/>
  <c r="C134" i="37" s="1"/>
  <c r="D114" i="37"/>
  <c r="D135" i="37" s="1"/>
  <c r="E115" i="37"/>
  <c r="E136" i="37" s="1"/>
  <c r="F116" i="37"/>
  <c r="F137" i="37" s="1"/>
  <c r="G117" i="37"/>
  <c r="G138" i="37" s="1"/>
  <c r="H118" i="37"/>
  <c r="H139" i="37" s="1"/>
  <c r="I119" i="37"/>
  <c r="I140" i="37" s="1"/>
  <c r="C121" i="37"/>
  <c r="C142" i="37" s="1"/>
  <c r="D122" i="37"/>
  <c r="D143" i="37" s="1"/>
  <c r="E123" i="37"/>
  <c r="E144" i="37" s="1"/>
  <c r="F124" i="37"/>
  <c r="F145" i="37" s="1"/>
  <c r="G125" i="37"/>
  <c r="G146" i="37" s="1"/>
  <c r="H126" i="37"/>
  <c r="H147" i="37" s="1"/>
  <c r="I127" i="37"/>
  <c r="I148" i="37" s="1"/>
  <c r="D120" i="35"/>
  <c r="D141" i="35" s="1"/>
  <c r="E114" i="37"/>
  <c r="E135" i="37" s="1"/>
  <c r="I120" i="41"/>
  <c r="I141" i="41" s="1"/>
  <c r="F111" i="37"/>
  <c r="F132" i="37" s="1"/>
  <c r="F119" i="37"/>
  <c r="F140" i="37" s="1"/>
  <c r="H121" i="37"/>
  <c r="H142" i="37" s="1"/>
  <c r="C124" i="37"/>
  <c r="C145" i="37" s="1"/>
  <c r="E126" i="37"/>
  <c r="E147" i="37" s="1"/>
  <c r="I66" i="41"/>
  <c r="I112" i="39"/>
  <c r="I133" i="39" s="1"/>
  <c r="D116" i="38"/>
  <c r="D137" i="38" s="1"/>
  <c r="E125" i="38"/>
  <c r="E146" i="38" s="1"/>
  <c r="I66" i="38"/>
  <c r="I113" i="39"/>
  <c r="I134" i="39" s="1"/>
  <c r="I117" i="39"/>
  <c r="I138" i="39" s="1"/>
  <c r="I121" i="39"/>
  <c r="I142" i="39" s="1"/>
  <c r="I125" i="39"/>
  <c r="I146" i="39" s="1"/>
  <c r="C111" i="38"/>
  <c r="C132" i="38" s="1"/>
  <c r="I117" i="38"/>
  <c r="I138" i="38" s="1"/>
  <c r="F122" i="38"/>
  <c r="F143" i="38" s="1"/>
  <c r="C127" i="38"/>
  <c r="C148" i="38" s="1"/>
  <c r="C111" i="36"/>
  <c r="C132" i="36" s="1"/>
  <c r="H112" i="36"/>
  <c r="H133" i="36" s="1"/>
  <c r="C115" i="36"/>
  <c r="C136" i="36" s="1"/>
  <c r="E117" i="36"/>
  <c r="E138" i="36" s="1"/>
  <c r="G119" i="36"/>
  <c r="G140" i="36" s="1"/>
  <c r="I121" i="36"/>
  <c r="I142" i="36" s="1"/>
  <c r="D124" i="36"/>
  <c r="D145" i="36" s="1"/>
  <c r="F126" i="36"/>
  <c r="F147" i="36" s="1"/>
  <c r="C118" i="36"/>
  <c r="C139" i="36" s="1"/>
  <c r="G122" i="36"/>
  <c r="G143" i="36" s="1"/>
  <c r="I124" i="36"/>
  <c r="I145" i="36" s="1"/>
  <c r="D127" i="36"/>
  <c r="D148" i="36" s="1"/>
  <c r="E111" i="33"/>
  <c r="E132" i="33" s="1"/>
  <c r="F112" i="33"/>
  <c r="F133" i="33" s="1"/>
  <c r="G113" i="33"/>
  <c r="G134" i="33" s="1"/>
  <c r="H114" i="33"/>
  <c r="H135" i="33" s="1"/>
  <c r="I115" i="33"/>
  <c r="I136" i="33" s="1"/>
  <c r="C117" i="33"/>
  <c r="C138" i="33" s="1"/>
  <c r="D118" i="33"/>
  <c r="D139" i="33" s="1"/>
  <c r="E119" i="33"/>
  <c r="E140" i="33" s="1"/>
  <c r="F120" i="33"/>
  <c r="F141" i="33" s="1"/>
  <c r="G121" i="33"/>
  <c r="G142" i="33" s="1"/>
  <c r="H122" i="33"/>
  <c r="H143" i="33" s="1"/>
  <c r="I123" i="33"/>
  <c r="I144" i="33" s="1"/>
  <c r="C125" i="33"/>
  <c r="C146" i="33" s="1"/>
  <c r="D126" i="33"/>
  <c r="D147" i="33" s="1"/>
  <c r="E127" i="33"/>
  <c r="E148" i="33" s="1"/>
  <c r="I114" i="33"/>
  <c r="I135" i="33" s="1"/>
  <c r="E111" i="32"/>
  <c r="E132" i="32" s="1"/>
  <c r="G115" i="34"/>
  <c r="G136" i="34" s="1"/>
  <c r="H116" i="34"/>
  <c r="H137" i="34" s="1"/>
  <c r="I117" i="34"/>
  <c r="I138" i="34" s="1"/>
  <c r="C119" i="34"/>
  <c r="C140" i="34" s="1"/>
  <c r="D120" i="34"/>
  <c r="D141" i="34" s="1"/>
  <c r="E121" i="34"/>
  <c r="E142" i="34" s="1"/>
  <c r="F122" i="34"/>
  <c r="F143" i="34" s="1"/>
  <c r="G123" i="34"/>
  <c r="G144" i="34" s="1"/>
  <c r="H124" i="34"/>
  <c r="H145" i="34" s="1"/>
  <c r="I125" i="34"/>
  <c r="I146" i="34" s="1"/>
  <c r="C127" i="34"/>
  <c r="C148" i="34" s="1"/>
  <c r="C111" i="32"/>
  <c r="C132" i="32" s="1"/>
  <c r="E113" i="32"/>
  <c r="E134" i="32" s="1"/>
  <c r="E118" i="33"/>
  <c r="E139" i="33" s="1"/>
  <c r="I122" i="33"/>
  <c r="I143" i="33" s="1"/>
  <c r="F127" i="33"/>
  <c r="F148" i="33" s="1"/>
  <c r="C114" i="32"/>
  <c r="C135" i="32" s="1"/>
  <c r="E116" i="32"/>
  <c r="E137" i="32" s="1"/>
  <c r="G118" i="32"/>
  <c r="G139" i="32" s="1"/>
  <c r="I120" i="32"/>
  <c r="I141" i="32" s="1"/>
  <c r="D123" i="32"/>
  <c r="D144" i="32" s="1"/>
  <c r="F125" i="32"/>
  <c r="F146" i="32" s="1"/>
  <c r="H127" i="32"/>
  <c r="H148" i="32" s="1"/>
  <c r="C111" i="31"/>
  <c r="C132" i="31" s="1"/>
  <c r="E113" i="31"/>
  <c r="E134" i="31" s="1"/>
  <c r="G115" i="31"/>
  <c r="G136" i="31" s="1"/>
  <c r="I117" i="31"/>
  <c r="I138" i="31" s="1"/>
  <c r="I112" i="29"/>
  <c r="I133" i="29" s="1"/>
  <c r="H111" i="31"/>
  <c r="H132" i="31" s="1"/>
  <c r="I112" i="31"/>
  <c r="I133" i="31" s="1"/>
  <c r="C114" i="31"/>
  <c r="C135" i="31" s="1"/>
  <c r="D115" i="31"/>
  <c r="D136" i="31" s="1"/>
  <c r="E116" i="31"/>
  <c r="E137" i="31" s="1"/>
  <c r="F117" i="31"/>
  <c r="F138" i="31" s="1"/>
  <c r="G118" i="31"/>
  <c r="G139" i="31" s="1"/>
  <c r="H119" i="31"/>
  <c r="H140" i="31" s="1"/>
  <c r="I120" i="31"/>
  <c r="I141" i="31" s="1"/>
  <c r="C122" i="31"/>
  <c r="C143" i="31" s="1"/>
  <c r="D123" i="31"/>
  <c r="D144" i="31" s="1"/>
  <c r="E124" i="31"/>
  <c r="E145" i="31" s="1"/>
  <c r="F125" i="31"/>
  <c r="F146" i="31" s="1"/>
  <c r="G126" i="31"/>
  <c r="G147" i="31" s="1"/>
  <c r="H127" i="31"/>
  <c r="H148" i="31" s="1"/>
  <c r="H112" i="30"/>
  <c r="H133" i="30" s="1"/>
  <c r="C115" i="30"/>
  <c r="C136" i="30" s="1"/>
  <c r="I111" i="40"/>
  <c r="I132" i="40" s="1"/>
  <c r="I87" i="40"/>
  <c r="D114" i="40"/>
  <c r="D135" i="40" s="1"/>
  <c r="G112" i="40"/>
  <c r="G133" i="40" s="1"/>
  <c r="D111" i="40"/>
  <c r="D132" i="40" s="1"/>
  <c r="I66" i="40"/>
  <c r="D117" i="35"/>
  <c r="D138" i="35" s="1"/>
  <c r="F119" i="35"/>
  <c r="F140" i="35" s="1"/>
  <c r="H121" i="35"/>
  <c r="H142" i="35" s="1"/>
  <c r="C124" i="35"/>
  <c r="C145" i="35" s="1"/>
  <c r="E126" i="35"/>
  <c r="E147" i="35" s="1"/>
  <c r="D112" i="35"/>
  <c r="D133" i="35" s="1"/>
  <c r="G127" i="35"/>
  <c r="G148" i="35" s="1"/>
  <c r="I70" i="35"/>
  <c r="I121" i="35"/>
  <c r="I142" i="35" s="1"/>
  <c r="I124" i="41"/>
  <c r="I145" i="41" s="1"/>
  <c r="I119" i="41"/>
  <c r="I140" i="41" s="1"/>
  <c r="I66" i="39"/>
  <c r="I116" i="39"/>
  <c r="I137" i="39" s="1"/>
  <c r="I87" i="39"/>
  <c r="F118" i="38"/>
  <c r="F139" i="38" s="1"/>
  <c r="G127" i="38"/>
  <c r="G148" i="38" s="1"/>
  <c r="I70" i="38"/>
  <c r="E113" i="38"/>
  <c r="E134" i="38" s="1"/>
  <c r="G118" i="38"/>
  <c r="G139" i="38" s="1"/>
  <c r="D123" i="38"/>
  <c r="D144" i="38" s="1"/>
  <c r="H127" i="38"/>
  <c r="H148" i="38" s="1"/>
  <c r="I73" i="36"/>
  <c r="G115" i="36"/>
  <c r="G136" i="36" s="1"/>
  <c r="D120" i="36"/>
  <c r="D141" i="36" s="1"/>
  <c r="H124" i="36"/>
  <c r="H145" i="36" s="1"/>
  <c r="F114" i="38"/>
  <c r="F135" i="38" s="1"/>
  <c r="H119" i="38"/>
  <c r="H140" i="38" s="1"/>
  <c r="E124" i="38"/>
  <c r="E145" i="38" s="1"/>
  <c r="I66" i="33"/>
  <c r="C112" i="32"/>
  <c r="C133" i="32" s="1"/>
  <c r="F111" i="32"/>
  <c r="F132" i="32" s="1"/>
  <c r="G111" i="32"/>
  <c r="G132" i="32" s="1"/>
  <c r="I113" i="32"/>
  <c r="I134" i="32" s="1"/>
  <c r="H113" i="33"/>
  <c r="H134" i="33" s="1"/>
  <c r="I71" i="32"/>
  <c r="I87" i="32" s="1"/>
  <c r="I111" i="31"/>
  <c r="I132" i="31" s="1"/>
  <c r="I87" i="31"/>
  <c r="I116" i="29"/>
  <c r="I137" i="29" s="1"/>
  <c r="F112" i="40"/>
  <c r="F133" i="40" s="1"/>
  <c r="H114" i="40"/>
  <c r="H135" i="40" s="1"/>
  <c r="I114" i="40"/>
  <c r="I135" i="40" s="1"/>
  <c r="C112" i="40"/>
  <c r="C133" i="40" s="1"/>
  <c r="D117" i="40"/>
  <c r="D138" i="40" s="1"/>
  <c r="F119" i="40"/>
  <c r="F140" i="40" s="1"/>
  <c r="H121" i="40"/>
  <c r="H142" i="40" s="1"/>
  <c r="C124" i="40"/>
  <c r="C145" i="40" s="1"/>
  <c r="E113" i="40"/>
  <c r="E134" i="40" s="1"/>
  <c r="G115" i="40"/>
  <c r="G136" i="40" s="1"/>
  <c r="I117" i="40"/>
  <c r="I138" i="40" s="1"/>
  <c r="D120" i="40"/>
  <c r="D141" i="40" s="1"/>
  <c r="F122" i="40"/>
  <c r="F143" i="40" s="1"/>
  <c r="H124" i="40"/>
  <c r="H145" i="40" s="1"/>
  <c r="H111" i="40"/>
  <c r="H132" i="40" s="1"/>
  <c r="G114" i="40"/>
  <c r="G135" i="40" s="1"/>
  <c r="F115" i="35"/>
  <c r="F136" i="35" s="1"/>
  <c r="H117" i="35"/>
  <c r="H138" i="35" s="1"/>
  <c r="C120" i="35"/>
  <c r="C141" i="35" s="1"/>
  <c r="E122" i="35"/>
  <c r="E143" i="35" s="1"/>
  <c r="G124" i="35"/>
  <c r="G145" i="35" s="1"/>
  <c r="I126" i="35"/>
  <c r="I147" i="35" s="1"/>
  <c r="E121" i="35"/>
  <c r="E142" i="35" s="1"/>
  <c r="H112" i="35"/>
  <c r="H133" i="35" s="1"/>
  <c r="C115" i="35"/>
  <c r="C136" i="35" s="1"/>
  <c r="E117" i="35"/>
  <c r="E138" i="35" s="1"/>
  <c r="H120" i="35"/>
  <c r="H141" i="35" s="1"/>
  <c r="F122" i="35"/>
  <c r="F143" i="35" s="1"/>
  <c r="I112" i="41"/>
  <c r="I133" i="41" s="1"/>
  <c r="I118" i="37"/>
  <c r="I139" i="37" s="1"/>
  <c r="D121" i="37"/>
  <c r="D142" i="37" s="1"/>
  <c r="F123" i="37"/>
  <c r="F144" i="37" s="1"/>
  <c r="H125" i="37"/>
  <c r="H146" i="37" s="1"/>
  <c r="I123" i="41"/>
  <c r="I144" i="41" s="1"/>
  <c r="I117" i="41"/>
  <c r="I138" i="41" s="1"/>
  <c r="G111" i="38"/>
  <c r="G132" i="38" s="1"/>
  <c r="H120" i="38"/>
  <c r="H141" i="38" s="1"/>
  <c r="G115" i="38"/>
  <c r="G136" i="38" s="1"/>
  <c r="D120" i="38"/>
  <c r="D141" i="38" s="1"/>
  <c r="H124" i="38"/>
  <c r="H145" i="38" s="1"/>
  <c r="I113" i="36"/>
  <c r="I134" i="36" s="1"/>
  <c r="D116" i="36"/>
  <c r="D137" i="36" s="1"/>
  <c r="C115" i="38"/>
  <c r="C136" i="38" s="1"/>
  <c r="D119" i="36"/>
  <c r="D140" i="36" s="1"/>
  <c r="H123" i="36"/>
  <c r="H144" i="36" s="1"/>
  <c r="I66" i="34"/>
  <c r="I70" i="33"/>
  <c r="F112" i="34"/>
  <c r="F133" i="34" s="1"/>
  <c r="H114" i="34"/>
  <c r="H135" i="34" s="1"/>
  <c r="C117" i="34"/>
  <c r="C138" i="34" s="1"/>
  <c r="E119" i="34"/>
  <c r="E140" i="34" s="1"/>
  <c r="G121" i="34"/>
  <c r="G142" i="34" s="1"/>
  <c r="I123" i="34"/>
  <c r="I144" i="34" s="1"/>
  <c r="D126" i="34"/>
  <c r="D147" i="34" s="1"/>
  <c r="I111" i="32"/>
  <c r="G113" i="32"/>
  <c r="G134" i="32" s="1"/>
  <c r="C113" i="32"/>
  <c r="C134" i="32" s="1"/>
  <c r="D112" i="32"/>
  <c r="D133" i="32" s="1"/>
  <c r="F114" i="32"/>
  <c r="F135" i="32" s="1"/>
  <c r="I66" i="31"/>
  <c r="E114" i="30"/>
  <c r="E135" i="30" s="1"/>
  <c r="I120" i="29"/>
  <c r="I141" i="29" s="1"/>
  <c r="D111" i="31"/>
  <c r="D132" i="31" s="1"/>
  <c r="E112" i="31"/>
  <c r="E133" i="31" s="1"/>
  <c r="F113" i="31"/>
  <c r="F134" i="31" s="1"/>
  <c r="G114" i="31"/>
  <c r="G135" i="31" s="1"/>
  <c r="H115" i="31"/>
  <c r="H136" i="31" s="1"/>
  <c r="I116" i="31"/>
  <c r="I137" i="31" s="1"/>
  <c r="C118" i="31"/>
  <c r="C139" i="31" s="1"/>
  <c r="D119" i="31"/>
  <c r="D140" i="31" s="1"/>
  <c r="E120" i="31"/>
  <c r="E141" i="31" s="1"/>
  <c r="F121" i="31"/>
  <c r="F142" i="31" s="1"/>
  <c r="G122" i="31"/>
  <c r="G143" i="31" s="1"/>
  <c r="H123" i="31"/>
  <c r="H144" i="31" s="1"/>
  <c r="I124" i="31"/>
  <c r="I145" i="31" s="1"/>
  <c r="C126" i="31"/>
  <c r="C147" i="31" s="1"/>
  <c r="D127" i="31"/>
  <c r="D148" i="31" s="1"/>
  <c r="I121" i="30"/>
  <c r="I142" i="30" s="1"/>
  <c r="D118" i="31"/>
  <c r="D139" i="31" s="1"/>
  <c r="E112" i="30"/>
  <c r="E133" i="30" s="1"/>
  <c r="G114" i="30"/>
  <c r="G135" i="30" s="1"/>
  <c r="I116" i="30"/>
  <c r="I137" i="30" s="1"/>
  <c r="D119" i="30"/>
  <c r="D140" i="30" s="1"/>
  <c r="F121" i="30"/>
  <c r="F142" i="30" s="1"/>
  <c r="H123" i="30"/>
  <c r="H144" i="30" s="1"/>
  <c r="C126" i="30"/>
  <c r="C147" i="30" s="1"/>
  <c r="I11" i="1"/>
  <c r="I73" i="1" s="1"/>
  <c r="E11" i="1"/>
  <c r="E73" i="1" s="1"/>
  <c r="F14" i="1"/>
  <c r="F76" i="1" s="1"/>
  <c r="I15" i="1"/>
  <c r="I77" i="1" s="1"/>
  <c r="E15" i="1"/>
  <c r="E77" i="1" s="1"/>
  <c r="G20" i="1"/>
  <c r="G82" i="1" s="1"/>
  <c r="C20" i="1"/>
  <c r="C82" i="1" s="1"/>
  <c r="F19" i="1"/>
  <c r="F81" i="1" s="1"/>
  <c r="E23" i="1"/>
  <c r="E85" i="1" s="1"/>
  <c r="K24" i="2"/>
  <c r="J24" i="2"/>
  <c r="F24" i="2"/>
  <c r="I24" i="2"/>
  <c r="E24" i="2"/>
  <c r="H11" i="1"/>
  <c r="H73" i="1" s="1"/>
  <c r="D11" i="1"/>
  <c r="D73" i="1" s="1"/>
  <c r="I14" i="1"/>
  <c r="I76" i="1" s="1"/>
  <c r="E14" i="1"/>
  <c r="E76" i="1" s="1"/>
  <c r="H15" i="1"/>
  <c r="H77" i="1" s="1"/>
  <c r="D15" i="1"/>
  <c r="D77" i="1" s="1"/>
  <c r="F20" i="1"/>
  <c r="F82" i="1" s="1"/>
  <c r="I19" i="1"/>
  <c r="I81" i="1" s="1"/>
  <c r="E19" i="1"/>
  <c r="E81" i="1" s="1"/>
  <c r="I23" i="1"/>
  <c r="I85" i="1" s="1"/>
  <c r="I8" i="1"/>
  <c r="I70" i="1" s="1"/>
  <c r="C8" i="1"/>
  <c r="C70" i="1" s="1"/>
  <c r="F11" i="1"/>
  <c r="F73" i="1" s="1"/>
  <c r="L7" i="2"/>
  <c r="H24" i="2"/>
  <c r="G11" i="1"/>
  <c r="G73" i="1" s="1"/>
  <c r="C11" i="1"/>
  <c r="C73" i="1" s="1"/>
  <c r="H14" i="1"/>
  <c r="H76" i="1" s="1"/>
  <c r="D14" i="1"/>
  <c r="D76" i="1" s="1"/>
  <c r="G15" i="1"/>
  <c r="G77" i="1" s="1"/>
  <c r="C15" i="1"/>
  <c r="C77" i="1" s="1"/>
  <c r="I20" i="1"/>
  <c r="I82" i="1" s="1"/>
  <c r="E20" i="1"/>
  <c r="E82" i="1" s="1"/>
  <c r="H19" i="1"/>
  <c r="H81" i="1" s="1"/>
  <c r="D19" i="1"/>
  <c r="D81" i="1" s="1"/>
  <c r="F8" i="1"/>
  <c r="F70" i="1" s="1"/>
  <c r="C23" i="1"/>
  <c r="C85" i="1" s="1"/>
  <c r="D23" i="1"/>
  <c r="D85" i="1" s="1"/>
  <c r="G8" i="1"/>
  <c r="G70" i="1" s="1"/>
  <c r="G24" i="2"/>
  <c r="G14" i="1"/>
  <c r="G76" i="1" s="1"/>
  <c r="C14" i="1"/>
  <c r="C76" i="1" s="1"/>
  <c r="F15" i="1"/>
  <c r="F77" i="1" s="1"/>
  <c r="H20" i="1"/>
  <c r="H82" i="1" s="1"/>
  <c r="D20" i="1"/>
  <c r="D82" i="1" s="1"/>
  <c r="G19" i="1"/>
  <c r="G81" i="1" s="1"/>
  <c r="C19" i="1"/>
  <c r="C81" i="1" s="1"/>
  <c r="F23" i="1"/>
  <c r="F85" i="1" s="1"/>
  <c r="G23" i="1"/>
  <c r="G85" i="1" s="1"/>
  <c r="H23" i="1"/>
  <c r="H85" i="1" s="1"/>
  <c r="H8" i="1"/>
  <c r="H70" i="1" s="1"/>
  <c r="A2" i="8"/>
  <c r="E13" i="70"/>
  <c r="D12" i="70" s="1"/>
  <c r="D13" i="70"/>
  <c r="E12" i="70" s="1"/>
  <c r="F17" i="69"/>
  <c r="E17" i="69"/>
  <c r="F13" i="69"/>
  <c r="E12" i="69" s="1"/>
  <c r="E13" i="69"/>
  <c r="F12" i="69" s="1"/>
  <c r="E13" i="68"/>
  <c r="D12" i="68" s="1"/>
  <c r="D13" i="68"/>
  <c r="E12" i="68" s="1"/>
  <c r="E17" i="67"/>
  <c r="F17" i="67"/>
  <c r="F13" i="67"/>
  <c r="E12" i="67" s="1"/>
  <c r="E13" i="67"/>
  <c r="F12" i="67" s="1"/>
  <c r="E13" i="66"/>
  <c r="D12" i="66" s="1"/>
  <c r="D13" i="66"/>
  <c r="E12" i="66" s="1"/>
  <c r="F17" i="65"/>
  <c r="E17" i="65"/>
  <c r="F13" i="65"/>
  <c r="E12" i="65" s="1"/>
  <c r="E13" i="65"/>
  <c r="F12" i="65" s="1"/>
  <c r="E13" i="64"/>
  <c r="D12" i="64" s="1"/>
  <c r="D13" i="64"/>
  <c r="E12" i="64" s="1"/>
  <c r="F17" i="63"/>
  <c r="E17" i="63"/>
  <c r="F13" i="63"/>
  <c r="E12" i="63" s="1"/>
  <c r="E13" i="63"/>
  <c r="F12" i="63" s="1"/>
  <c r="E17" i="61"/>
  <c r="F17" i="61"/>
  <c r="F13" i="61"/>
  <c r="E12" i="61" s="1"/>
  <c r="E13" i="61"/>
  <c r="F12" i="61" s="1"/>
  <c r="E13" i="62"/>
  <c r="D12" i="62" s="1"/>
  <c r="D13" i="62"/>
  <c r="E12" i="62" s="1"/>
  <c r="E13" i="60"/>
  <c r="D12" i="60" s="1"/>
  <c r="D13" i="60"/>
  <c r="E12" i="60" s="1"/>
  <c r="F17" i="59"/>
  <c r="E17" i="59"/>
  <c r="F13" i="59"/>
  <c r="E12" i="59" s="1"/>
  <c r="E13" i="59"/>
  <c r="F12" i="59" s="1"/>
  <c r="E13" i="58"/>
  <c r="D12" i="58" s="1"/>
  <c r="D13" i="58"/>
  <c r="E12" i="58" s="1"/>
  <c r="F17" i="57"/>
  <c r="E17" i="57"/>
  <c r="F13" i="57"/>
  <c r="E12" i="57" s="1"/>
  <c r="E13" i="57"/>
  <c r="F12" i="57" s="1"/>
  <c r="E13" i="56"/>
  <c r="D12" i="56" s="1"/>
  <c r="D13" i="56"/>
  <c r="E12" i="56" s="1"/>
  <c r="E17" i="55"/>
  <c r="F17" i="55"/>
  <c r="F13" i="55"/>
  <c r="E12" i="55" s="1"/>
  <c r="E13" i="55"/>
  <c r="F12" i="55" s="1"/>
  <c r="F17" i="53"/>
  <c r="E17" i="53"/>
  <c r="F13" i="53"/>
  <c r="E12" i="53" s="1"/>
  <c r="E13" i="53"/>
  <c r="F12" i="53" s="1"/>
  <c r="E13" i="52"/>
  <c r="D12" i="52" s="1"/>
  <c r="D13" i="52"/>
  <c r="E12" i="52" s="1"/>
  <c r="E13" i="54"/>
  <c r="D12" i="54" s="1"/>
  <c r="D13" i="54"/>
  <c r="E12" i="54" s="1"/>
  <c r="F17" i="51"/>
  <c r="E17" i="51"/>
  <c r="F13" i="51"/>
  <c r="E12" i="51" s="1"/>
  <c r="E13" i="51"/>
  <c r="F12" i="51" s="1"/>
  <c r="F17" i="49"/>
  <c r="E17" i="49"/>
  <c r="F13" i="49"/>
  <c r="E12" i="49" s="1"/>
  <c r="E13" i="49"/>
  <c r="F12" i="49" s="1"/>
  <c r="E13" i="50"/>
  <c r="D12" i="50" s="1"/>
  <c r="D13" i="50"/>
  <c r="E12" i="50" s="1"/>
  <c r="E17" i="45"/>
  <c r="F17" i="46"/>
  <c r="E17" i="46"/>
  <c r="F13" i="46"/>
  <c r="E12" i="46" s="1"/>
  <c r="E13" i="46"/>
  <c r="F12" i="46" s="1"/>
  <c r="E13" i="48"/>
  <c r="D12" i="48" s="1"/>
  <c r="D13" i="48"/>
  <c r="E12" i="48" s="1"/>
  <c r="F17" i="45"/>
  <c r="F13" i="45"/>
  <c r="E12" i="45" s="1"/>
  <c r="E13" i="45"/>
  <c r="F12" i="45" s="1"/>
  <c r="E13" i="44"/>
  <c r="D12" i="44" s="1"/>
  <c r="D13" i="44"/>
  <c r="E12" i="44" s="1"/>
  <c r="E13" i="43"/>
  <c r="D12" i="43" s="1"/>
  <c r="D13" i="43"/>
  <c r="E12" i="43" s="1"/>
  <c r="F12" i="42"/>
  <c r="E12" i="42"/>
  <c r="C20" i="16"/>
  <c r="F2" i="51" l="1"/>
  <c r="G2" i="76"/>
  <c r="B2" i="19"/>
  <c r="B2" i="18"/>
  <c r="F4" i="69"/>
  <c r="A12" i="69" s="1"/>
  <c r="G4" i="76"/>
  <c r="A12" i="76" s="1"/>
  <c r="N20" i="16"/>
  <c r="I66" i="2"/>
  <c r="J66" i="2"/>
  <c r="H66" i="2"/>
  <c r="K66" i="2"/>
  <c r="H87" i="1"/>
  <c r="E87" i="1"/>
  <c r="G87" i="1"/>
  <c r="I87" i="1"/>
  <c r="F87" i="1"/>
  <c r="C87" i="1"/>
  <c r="D87" i="1"/>
  <c r="G66" i="2"/>
  <c r="L49" i="2"/>
  <c r="E66" i="2"/>
  <c r="F66" i="2"/>
  <c r="F2" i="53"/>
  <c r="D17" i="64"/>
  <c r="D17" i="60"/>
  <c r="D17" i="52"/>
  <c r="E17" i="58"/>
  <c r="E17" i="66"/>
  <c r="D17" i="68"/>
  <c r="I128" i="30"/>
  <c r="I128" i="39"/>
  <c r="I149" i="39"/>
  <c r="I149" i="31"/>
  <c r="I149" i="30"/>
  <c r="I128" i="40"/>
  <c r="I128" i="37"/>
  <c r="I112" i="32"/>
  <c r="I133" i="32" s="1"/>
  <c r="I114" i="36"/>
  <c r="I135" i="36" s="1"/>
  <c r="I149" i="36" s="1"/>
  <c r="I87" i="35"/>
  <c r="I111" i="35"/>
  <c r="I128" i="35" s="1"/>
  <c r="I149" i="40"/>
  <c r="I149" i="37"/>
  <c r="I149" i="41"/>
  <c r="I111" i="38"/>
  <c r="I128" i="38" s="1"/>
  <c r="I87" i="38"/>
  <c r="I87" i="36"/>
  <c r="I128" i="34"/>
  <c r="I132" i="32"/>
  <c r="I111" i="33"/>
  <c r="I128" i="33" s="1"/>
  <c r="I87" i="33"/>
  <c r="I128" i="31"/>
  <c r="I87" i="29"/>
  <c r="I111" i="29"/>
  <c r="I128" i="29" s="1"/>
  <c r="I149" i="34"/>
  <c r="I128" i="41"/>
  <c r="G25" i="1"/>
  <c r="E25" i="1"/>
  <c r="D25" i="1"/>
  <c r="I25" i="1"/>
  <c r="H25" i="1"/>
  <c r="F25" i="1"/>
  <c r="C25" i="1"/>
  <c r="D17" i="70"/>
  <c r="F2" i="45"/>
  <c r="E2" i="23"/>
  <c r="F4" i="53"/>
  <c r="A12" i="53" s="1"/>
  <c r="F4" i="9"/>
  <c r="E4" i="64" s="1"/>
  <c r="A12" i="64" s="1"/>
  <c r="F2" i="69"/>
  <c r="E4" i="23"/>
  <c r="F2" i="46"/>
  <c r="F2" i="49"/>
  <c r="F4" i="59"/>
  <c r="A12" i="59" s="1"/>
  <c r="F2" i="65"/>
  <c r="F4" i="65"/>
  <c r="A12" i="65" s="1"/>
  <c r="F4" i="49"/>
  <c r="A12" i="49" s="1"/>
  <c r="F4" i="42"/>
  <c r="A12" i="42" s="1"/>
  <c r="E17" i="52"/>
  <c r="E17" i="68"/>
  <c r="F2" i="55"/>
  <c r="F2" i="61"/>
  <c r="F2" i="57"/>
  <c r="F2" i="59"/>
  <c r="F2" i="63"/>
  <c r="F2" i="67"/>
  <c r="F2" i="9"/>
  <c r="E2" i="72" s="1"/>
  <c r="F2" i="42"/>
  <c r="F4" i="45"/>
  <c r="A12" i="45" s="1"/>
  <c r="F4" i="46"/>
  <c r="A12" i="46" s="1"/>
  <c r="F4" i="51"/>
  <c r="A12" i="51" s="1"/>
  <c r="F4" i="57"/>
  <c r="A12" i="57" s="1"/>
  <c r="F4" i="63"/>
  <c r="A12" i="63" s="1"/>
  <c r="F4" i="55"/>
  <c r="A12" i="55" s="1"/>
  <c r="F4" i="61"/>
  <c r="A12" i="61" s="1"/>
  <c r="F4" i="67"/>
  <c r="A12" i="67" s="1"/>
  <c r="E17" i="70"/>
  <c r="D17" i="66"/>
  <c r="E17" i="64"/>
  <c r="E17" i="62"/>
  <c r="D17" i="62"/>
  <c r="E17" i="60"/>
  <c r="D17" i="58"/>
  <c r="E17" i="56"/>
  <c r="D17" i="56"/>
  <c r="E17" i="44"/>
  <c r="E17" i="54"/>
  <c r="D17" i="54"/>
  <c r="E17" i="50"/>
  <c r="D17" i="50"/>
  <c r="D17" i="48"/>
  <c r="E17" i="48"/>
  <c r="D17" i="44"/>
  <c r="E17" i="43"/>
  <c r="D17" i="43"/>
  <c r="B45" i="40"/>
  <c r="B41" i="40"/>
  <c r="C41" i="40" s="1"/>
  <c r="D41" i="40" s="1"/>
  <c r="E41" i="40" s="1"/>
  <c r="F41" i="40" s="1"/>
  <c r="G41" i="40" s="1"/>
  <c r="H41" i="40" s="1"/>
  <c r="B42" i="40"/>
  <c r="C42" i="40" s="1"/>
  <c r="D42" i="40" s="1"/>
  <c r="E42" i="40" s="1"/>
  <c r="F42" i="40" s="1"/>
  <c r="G42" i="40" s="1"/>
  <c r="H42" i="40" s="1"/>
  <c r="B43" i="40"/>
  <c r="C43" i="40" s="1"/>
  <c r="D43" i="40" s="1"/>
  <c r="E43" i="40" s="1"/>
  <c r="F43" i="40" s="1"/>
  <c r="G43" i="40" s="1"/>
  <c r="H43" i="40" s="1"/>
  <c r="B44" i="40"/>
  <c r="C44" i="40" s="1"/>
  <c r="D44" i="40" s="1"/>
  <c r="E44" i="40" s="1"/>
  <c r="F44" i="40" s="1"/>
  <c r="G44" i="40" s="1"/>
  <c r="H44" i="40" s="1"/>
  <c r="B40" i="40"/>
  <c r="C40" i="40" s="1"/>
  <c r="D40" i="40" s="1"/>
  <c r="E40" i="40" s="1"/>
  <c r="F40" i="40" s="1"/>
  <c r="G40" i="40" s="1"/>
  <c r="H40" i="40" s="1"/>
  <c r="B35" i="40"/>
  <c r="C35" i="40" s="1"/>
  <c r="D35" i="40" s="1"/>
  <c r="E35" i="40" s="1"/>
  <c r="F35" i="40" s="1"/>
  <c r="G35" i="40" s="1"/>
  <c r="H35" i="40" s="1"/>
  <c r="B36" i="40"/>
  <c r="C36" i="40" s="1"/>
  <c r="D36" i="40" s="1"/>
  <c r="E36" i="40" s="1"/>
  <c r="F36" i="40" s="1"/>
  <c r="G36" i="40" s="1"/>
  <c r="H36" i="40" s="1"/>
  <c r="B37" i="40"/>
  <c r="C37" i="40" s="1"/>
  <c r="D37" i="40" s="1"/>
  <c r="E37" i="40" s="1"/>
  <c r="F37" i="40" s="1"/>
  <c r="G37" i="40" s="1"/>
  <c r="H37" i="40" s="1"/>
  <c r="B38" i="40"/>
  <c r="B39" i="40"/>
  <c r="C39" i="40" s="1"/>
  <c r="D39" i="40" s="1"/>
  <c r="E39" i="40" s="1"/>
  <c r="F39" i="40" s="1"/>
  <c r="G39" i="40" s="1"/>
  <c r="H39" i="40" s="1"/>
  <c r="B34" i="40"/>
  <c r="C34" i="40" s="1"/>
  <c r="D34" i="40" s="1"/>
  <c r="E34" i="40" s="1"/>
  <c r="F34" i="40" s="1"/>
  <c r="G34" i="40" s="1"/>
  <c r="H34" i="40" s="1"/>
  <c r="B30" i="40"/>
  <c r="C30" i="40" s="1"/>
  <c r="D30" i="40" s="1"/>
  <c r="E30" i="40" s="1"/>
  <c r="F30" i="40" s="1"/>
  <c r="G30" i="40" s="1"/>
  <c r="H30" i="40" s="1"/>
  <c r="B31" i="40"/>
  <c r="C31" i="40" s="1"/>
  <c r="D31" i="40" s="1"/>
  <c r="E31" i="40" s="1"/>
  <c r="F31" i="40" s="1"/>
  <c r="G31" i="40" s="1"/>
  <c r="H31" i="40" s="1"/>
  <c r="B32" i="40"/>
  <c r="C32" i="40" s="1"/>
  <c r="D32" i="40" s="1"/>
  <c r="E32" i="40" s="1"/>
  <c r="F32" i="40" s="1"/>
  <c r="G32" i="40" s="1"/>
  <c r="H32" i="40" s="1"/>
  <c r="B33" i="40"/>
  <c r="C33" i="40" s="1"/>
  <c r="D33" i="40" s="1"/>
  <c r="E33" i="40" s="1"/>
  <c r="F33" i="40" s="1"/>
  <c r="G33" i="40" s="1"/>
  <c r="H33" i="40" s="1"/>
  <c r="B29" i="40"/>
  <c r="C29" i="40" s="1"/>
  <c r="D29" i="40" s="1"/>
  <c r="E29" i="40" s="1"/>
  <c r="F29" i="40" s="1"/>
  <c r="G29" i="40" s="1"/>
  <c r="H29" i="40" s="1"/>
  <c r="B45" i="35"/>
  <c r="C45" i="35" s="1"/>
  <c r="D45" i="35" s="1"/>
  <c r="E45" i="35" s="1"/>
  <c r="F45" i="35" s="1"/>
  <c r="G45" i="35" s="1"/>
  <c r="H45" i="35" s="1"/>
  <c r="B41" i="35"/>
  <c r="C41" i="35" s="1"/>
  <c r="D41" i="35" s="1"/>
  <c r="E41" i="35" s="1"/>
  <c r="F41" i="35" s="1"/>
  <c r="G41" i="35" s="1"/>
  <c r="H41" i="35" s="1"/>
  <c r="B42" i="35"/>
  <c r="C42" i="35" s="1"/>
  <c r="D42" i="35" s="1"/>
  <c r="E42" i="35" s="1"/>
  <c r="F42" i="35" s="1"/>
  <c r="G42" i="35" s="1"/>
  <c r="H42" i="35" s="1"/>
  <c r="B43" i="35"/>
  <c r="C43" i="35" s="1"/>
  <c r="D43" i="35" s="1"/>
  <c r="E43" i="35" s="1"/>
  <c r="F43" i="35" s="1"/>
  <c r="G43" i="35" s="1"/>
  <c r="H43" i="35" s="1"/>
  <c r="B44" i="35"/>
  <c r="C44" i="35" s="1"/>
  <c r="D44" i="35" s="1"/>
  <c r="E44" i="35" s="1"/>
  <c r="F44" i="35" s="1"/>
  <c r="G44" i="35" s="1"/>
  <c r="H44" i="35" s="1"/>
  <c r="B40" i="35"/>
  <c r="C40" i="35" s="1"/>
  <c r="D40" i="35" s="1"/>
  <c r="E40" i="35" s="1"/>
  <c r="F40" i="35" s="1"/>
  <c r="G40" i="35" s="1"/>
  <c r="H40" i="35" s="1"/>
  <c r="B35" i="35"/>
  <c r="C35" i="35" s="1"/>
  <c r="D35" i="35" s="1"/>
  <c r="E35" i="35" s="1"/>
  <c r="F35" i="35" s="1"/>
  <c r="G35" i="35" s="1"/>
  <c r="H35" i="35" s="1"/>
  <c r="B36" i="35"/>
  <c r="C36" i="35" s="1"/>
  <c r="D36" i="35" s="1"/>
  <c r="E36" i="35" s="1"/>
  <c r="F36" i="35" s="1"/>
  <c r="G36" i="35" s="1"/>
  <c r="H36" i="35" s="1"/>
  <c r="B37" i="35"/>
  <c r="C37" i="35" s="1"/>
  <c r="D37" i="35" s="1"/>
  <c r="E37" i="35" s="1"/>
  <c r="F37" i="35" s="1"/>
  <c r="G37" i="35" s="1"/>
  <c r="H37" i="35" s="1"/>
  <c r="B38" i="35"/>
  <c r="C38" i="35" s="1"/>
  <c r="D38" i="35" s="1"/>
  <c r="E38" i="35" s="1"/>
  <c r="F38" i="35" s="1"/>
  <c r="G38" i="35" s="1"/>
  <c r="H38" i="35" s="1"/>
  <c r="B39" i="35"/>
  <c r="C39" i="35" s="1"/>
  <c r="D39" i="35" s="1"/>
  <c r="E39" i="35" s="1"/>
  <c r="F39" i="35" s="1"/>
  <c r="G39" i="35" s="1"/>
  <c r="H39" i="35" s="1"/>
  <c r="B34" i="35"/>
  <c r="C34" i="35" s="1"/>
  <c r="D34" i="35" s="1"/>
  <c r="E34" i="35" s="1"/>
  <c r="F34" i="35" s="1"/>
  <c r="G34" i="35" s="1"/>
  <c r="H34" i="35" s="1"/>
  <c r="B30" i="35"/>
  <c r="C30" i="35" s="1"/>
  <c r="D30" i="35" s="1"/>
  <c r="E30" i="35" s="1"/>
  <c r="F30" i="35" s="1"/>
  <c r="G30" i="35" s="1"/>
  <c r="H30" i="35" s="1"/>
  <c r="B31" i="35"/>
  <c r="B32" i="35"/>
  <c r="C32" i="35" s="1"/>
  <c r="D32" i="35" s="1"/>
  <c r="E32" i="35" s="1"/>
  <c r="F32" i="35" s="1"/>
  <c r="G32" i="35" s="1"/>
  <c r="H32" i="35" s="1"/>
  <c r="B33" i="35"/>
  <c r="C33" i="35" s="1"/>
  <c r="D33" i="35" s="1"/>
  <c r="E33" i="35" s="1"/>
  <c r="F33" i="35" s="1"/>
  <c r="G33" i="35" s="1"/>
  <c r="H33" i="35" s="1"/>
  <c r="B29" i="35"/>
  <c r="C29" i="35" s="1"/>
  <c r="D29" i="35" s="1"/>
  <c r="E29" i="35" s="1"/>
  <c r="F29" i="35" s="1"/>
  <c r="G29" i="35" s="1"/>
  <c r="H29" i="35" s="1"/>
  <c r="B45" i="37"/>
  <c r="C45" i="37" s="1"/>
  <c r="D45" i="37" s="1"/>
  <c r="E45" i="37" s="1"/>
  <c r="F45" i="37" s="1"/>
  <c r="G45" i="37" s="1"/>
  <c r="H45" i="37" s="1"/>
  <c r="B41" i="37"/>
  <c r="C41" i="37" s="1"/>
  <c r="D41" i="37" s="1"/>
  <c r="E41" i="37" s="1"/>
  <c r="F41" i="37" s="1"/>
  <c r="G41" i="37" s="1"/>
  <c r="H41" i="37" s="1"/>
  <c r="B42" i="37"/>
  <c r="C42" i="37" s="1"/>
  <c r="D42" i="37" s="1"/>
  <c r="E42" i="37" s="1"/>
  <c r="F42" i="37" s="1"/>
  <c r="G42" i="37" s="1"/>
  <c r="H42" i="37" s="1"/>
  <c r="B43" i="37"/>
  <c r="C43" i="37" s="1"/>
  <c r="D43" i="37" s="1"/>
  <c r="E43" i="37" s="1"/>
  <c r="F43" i="37" s="1"/>
  <c r="G43" i="37" s="1"/>
  <c r="H43" i="37" s="1"/>
  <c r="B44" i="37"/>
  <c r="C44" i="37" s="1"/>
  <c r="D44" i="37" s="1"/>
  <c r="E44" i="37" s="1"/>
  <c r="F44" i="37" s="1"/>
  <c r="G44" i="37" s="1"/>
  <c r="H44" i="37" s="1"/>
  <c r="B40" i="37"/>
  <c r="C40" i="37" s="1"/>
  <c r="D40" i="37" s="1"/>
  <c r="E40" i="37" s="1"/>
  <c r="F40" i="37" s="1"/>
  <c r="G40" i="37" s="1"/>
  <c r="H40" i="37" s="1"/>
  <c r="B35" i="37"/>
  <c r="C35" i="37" s="1"/>
  <c r="D35" i="37" s="1"/>
  <c r="E35" i="37" s="1"/>
  <c r="F35" i="37" s="1"/>
  <c r="G35" i="37" s="1"/>
  <c r="H35" i="37" s="1"/>
  <c r="B36" i="37"/>
  <c r="C36" i="37" s="1"/>
  <c r="D36" i="37" s="1"/>
  <c r="E36" i="37" s="1"/>
  <c r="F36" i="37" s="1"/>
  <c r="G36" i="37" s="1"/>
  <c r="H36" i="37" s="1"/>
  <c r="B37" i="37"/>
  <c r="C37" i="37" s="1"/>
  <c r="D37" i="37" s="1"/>
  <c r="E37" i="37" s="1"/>
  <c r="F37" i="37" s="1"/>
  <c r="G37" i="37" s="1"/>
  <c r="H37" i="37" s="1"/>
  <c r="B38" i="37"/>
  <c r="C38" i="37" s="1"/>
  <c r="D38" i="37" s="1"/>
  <c r="E38" i="37" s="1"/>
  <c r="F38" i="37" s="1"/>
  <c r="G38" i="37" s="1"/>
  <c r="H38" i="37" s="1"/>
  <c r="B39" i="37"/>
  <c r="C39" i="37" s="1"/>
  <c r="D39" i="37" s="1"/>
  <c r="E39" i="37" s="1"/>
  <c r="F39" i="37" s="1"/>
  <c r="G39" i="37" s="1"/>
  <c r="H39" i="37" s="1"/>
  <c r="B34" i="37"/>
  <c r="C34" i="37" s="1"/>
  <c r="D34" i="37" s="1"/>
  <c r="E34" i="37" s="1"/>
  <c r="F34" i="37" s="1"/>
  <c r="G34" i="37" s="1"/>
  <c r="H34" i="37" s="1"/>
  <c r="B30" i="37"/>
  <c r="C30" i="37" s="1"/>
  <c r="D30" i="37" s="1"/>
  <c r="E30" i="37" s="1"/>
  <c r="F30" i="37" s="1"/>
  <c r="G30" i="37" s="1"/>
  <c r="H30" i="37" s="1"/>
  <c r="B31" i="37"/>
  <c r="C31" i="37" s="1"/>
  <c r="D31" i="37" s="1"/>
  <c r="E31" i="37" s="1"/>
  <c r="F31" i="37" s="1"/>
  <c r="G31" i="37" s="1"/>
  <c r="H31" i="37" s="1"/>
  <c r="B32" i="37"/>
  <c r="C32" i="37" s="1"/>
  <c r="D32" i="37" s="1"/>
  <c r="E32" i="37" s="1"/>
  <c r="F32" i="37" s="1"/>
  <c r="G32" i="37" s="1"/>
  <c r="H32" i="37" s="1"/>
  <c r="B33" i="37"/>
  <c r="C33" i="37" s="1"/>
  <c r="D33" i="37" s="1"/>
  <c r="E33" i="37" s="1"/>
  <c r="F33" i="37" s="1"/>
  <c r="G33" i="37" s="1"/>
  <c r="H33" i="37" s="1"/>
  <c r="B29" i="37"/>
  <c r="C29" i="37" s="1"/>
  <c r="D29" i="37" s="1"/>
  <c r="E29" i="37" s="1"/>
  <c r="F29" i="37" s="1"/>
  <c r="G29" i="37" s="1"/>
  <c r="H29" i="37" s="1"/>
  <c r="B45" i="41"/>
  <c r="C45" i="41" s="1"/>
  <c r="D45" i="41" s="1"/>
  <c r="E45" i="41" s="1"/>
  <c r="F45" i="41" s="1"/>
  <c r="G45" i="41" s="1"/>
  <c r="H45" i="41" s="1"/>
  <c r="B41" i="41"/>
  <c r="C41" i="41" s="1"/>
  <c r="D41" i="41" s="1"/>
  <c r="E41" i="41" s="1"/>
  <c r="F41" i="41" s="1"/>
  <c r="G41" i="41" s="1"/>
  <c r="H41" i="41" s="1"/>
  <c r="B42" i="41"/>
  <c r="C42" i="41" s="1"/>
  <c r="D42" i="41" s="1"/>
  <c r="E42" i="41" s="1"/>
  <c r="F42" i="41" s="1"/>
  <c r="G42" i="41" s="1"/>
  <c r="H42" i="41" s="1"/>
  <c r="B43" i="41"/>
  <c r="C43" i="41" s="1"/>
  <c r="D43" i="41" s="1"/>
  <c r="E43" i="41" s="1"/>
  <c r="F43" i="41" s="1"/>
  <c r="G43" i="41" s="1"/>
  <c r="H43" i="41" s="1"/>
  <c r="B44" i="41"/>
  <c r="C44" i="41" s="1"/>
  <c r="D44" i="41" s="1"/>
  <c r="E44" i="41" s="1"/>
  <c r="F44" i="41" s="1"/>
  <c r="G44" i="41" s="1"/>
  <c r="H44" i="41" s="1"/>
  <c r="B40" i="41"/>
  <c r="C40" i="41" s="1"/>
  <c r="D40" i="41" s="1"/>
  <c r="E40" i="41" s="1"/>
  <c r="F40" i="41" s="1"/>
  <c r="G40" i="41" s="1"/>
  <c r="H40" i="41" s="1"/>
  <c r="B35" i="41"/>
  <c r="C35" i="41" s="1"/>
  <c r="D35" i="41" s="1"/>
  <c r="E35" i="41" s="1"/>
  <c r="F35" i="41" s="1"/>
  <c r="G35" i="41" s="1"/>
  <c r="H35" i="41" s="1"/>
  <c r="B36" i="41"/>
  <c r="C36" i="41" s="1"/>
  <c r="D36" i="41" s="1"/>
  <c r="E36" i="41" s="1"/>
  <c r="F36" i="41" s="1"/>
  <c r="G36" i="41" s="1"/>
  <c r="H36" i="41" s="1"/>
  <c r="B37" i="41"/>
  <c r="C37" i="41" s="1"/>
  <c r="D37" i="41" s="1"/>
  <c r="E37" i="41" s="1"/>
  <c r="F37" i="41" s="1"/>
  <c r="G37" i="41" s="1"/>
  <c r="H37" i="41" s="1"/>
  <c r="B38" i="41"/>
  <c r="C38" i="41" s="1"/>
  <c r="D38" i="41" s="1"/>
  <c r="E38" i="41" s="1"/>
  <c r="F38" i="41" s="1"/>
  <c r="G38" i="41" s="1"/>
  <c r="H38" i="41" s="1"/>
  <c r="B39" i="41"/>
  <c r="C39" i="41" s="1"/>
  <c r="D39" i="41" s="1"/>
  <c r="E39" i="41" s="1"/>
  <c r="F39" i="41" s="1"/>
  <c r="G39" i="41" s="1"/>
  <c r="H39" i="41" s="1"/>
  <c r="B34" i="41"/>
  <c r="C34" i="41" s="1"/>
  <c r="D34" i="41" s="1"/>
  <c r="E34" i="41" s="1"/>
  <c r="F34" i="41" s="1"/>
  <c r="G34" i="41" s="1"/>
  <c r="H34" i="41" s="1"/>
  <c r="B30" i="41"/>
  <c r="C30" i="41" s="1"/>
  <c r="D30" i="41" s="1"/>
  <c r="E30" i="41" s="1"/>
  <c r="F30" i="41" s="1"/>
  <c r="G30" i="41" s="1"/>
  <c r="H30" i="41" s="1"/>
  <c r="B31" i="41"/>
  <c r="C31" i="41" s="1"/>
  <c r="D31" i="41" s="1"/>
  <c r="E31" i="41" s="1"/>
  <c r="F31" i="41" s="1"/>
  <c r="G31" i="41" s="1"/>
  <c r="H31" i="41" s="1"/>
  <c r="B32" i="41"/>
  <c r="C32" i="41" s="1"/>
  <c r="D32" i="41" s="1"/>
  <c r="E32" i="41" s="1"/>
  <c r="F32" i="41" s="1"/>
  <c r="G32" i="41" s="1"/>
  <c r="H32" i="41" s="1"/>
  <c r="B33" i="41"/>
  <c r="C33" i="41" s="1"/>
  <c r="D33" i="41" s="1"/>
  <c r="E33" i="41" s="1"/>
  <c r="F33" i="41" s="1"/>
  <c r="G33" i="41" s="1"/>
  <c r="H33" i="41" s="1"/>
  <c r="B29" i="41"/>
  <c r="C29" i="41" s="1"/>
  <c r="D29" i="41" s="1"/>
  <c r="E29" i="41" s="1"/>
  <c r="F29" i="41" s="1"/>
  <c r="G29" i="41" s="1"/>
  <c r="H29" i="41" s="1"/>
  <c r="B45" i="39"/>
  <c r="C45" i="39" s="1"/>
  <c r="D45" i="39" s="1"/>
  <c r="E45" i="39" s="1"/>
  <c r="F45" i="39" s="1"/>
  <c r="G45" i="39" s="1"/>
  <c r="H45" i="39" s="1"/>
  <c r="B41" i="39"/>
  <c r="C41" i="39" s="1"/>
  <c r="D41" i="39" s="1"/>
  <c r="E41" i="39" s="1"/>
  <c r="F41" i="39" s="1"/>
  <c r="G41" i="39" s="1"/>
  <c r="H41" i="39" s="1"/>
  <c r="B42" i="39"/>
  <c r="C42" i="39" s="1"/>
  <c r="D42" i="39" s="1"/>
  <c r="E42" i="39" s="1"/>
  <c r="F42" i="39" s="1"/>
  <c r="G42" i="39" s="1"/>
  <c r="H42" i="39" s="1"/>
  <c r="B43" i="39"/>
  <c r="C43" i="39" s="1"/>
  <c r="D43" i="39" s="1"/>
  <c r="E43" i="39" s="1"/>
  <c r="F43" i="39" s="1"/>
  <c r="G43" i="39" s="1"/>
  <c r="H43" i="39" s="1"/>
  <c r="B44" i="39"/>
  <c r="C44" i="39" s="1"/>
  <c r="D44" i="39" s="1"/>
  <c r="E44" i="39" s="1"/>
  <c r="F44" i="39" s="1"/>
  <c r="G44" i="39" s="1"/>
  <c r="H44" i="39" s="1"/>
  <c r="B40" i="39"/>
  <c r="C40" i="39" s="1"/>
  <c r="D40" i="39" s="1"/>
  <c r="E40" i="39" s="1"/>
  <c r="F40" i="39" s="1"/>
  <c r="G40" i="39" s="1"/>
  <c r="H40" i="39" s="1"/>
  <c r="B35" i="39"/>
  <c r="C35" i="39" s="1"/>
  <c r="D35" i="39" s="1"/>
  <c r="E35" i="39" s="1"/>
  <c r="F35" i="39" s="1"/>
  <c r="G35" i="39" s="1"/>
  <c r="H35" i="39" s="1"/>
  <c r="B36" i="39"/>
  <c r="C36" i="39" s="1"/>
  <c r="D36" i="39" s="1"/>
  <c r="E36" i="39" s="1"/>
  <c r="F36" i="39" s="1"/>
  <c r="G36" i="39" s="1"/>
  <c r="H36" i="39" s="1"/>
  <c r="B37" i="39"/>
  <c r="C37" i="39" s="1"/>
  <c r="D37" i="39" s="1"/>
  <c r="E37" i="39" s="1"/>
  <c r="F37" i="39" s="1"/>
  <c r="G37" i="39" s="1"/>
  <c r="H37" i="39" s="1"/>
  <c r="B38" i="39"/>
  <c r="C38" i="39" s="1"/>
  <c r="D38" i="39" s="1"/>
  <c r="E38" i="39" s="1"/>
  <c r="F38" i="39" s="1"/>
  <c r="G38" i="39" s="1"/>
  <c r="H38" i="39" s="1"/>
  <c r="B39" i="39"/>
  <c r="C39" i="39" s="1"/>
  <c r="D39" i="39" s="1"/>
  <c r="E39" i="39" s="1"/>
  <c r="F39" i="39" s="1"/>
  <c r="G39" i="39" s="1"/>
  <c r="H39" i="39" s="1"/>
  <c r="B34" i="39"/>
  <c r="C34" i="39" s="1"/>
  <c r="D34" i="39" s="1"/>
  <c r="E34" i="39" s="1"/>
  <c r="F34" i="39" s="1"/>
  <c r="G34" i="39" s="1"/>
  <c r="H34" i="39" s="1"/>
  <c r="B30" i="39"/>
  <c r="C30" i="39" s="1"/>
  <c r="D30" i="39" s="1"/>
  <c r="E30" i="39" s="1"/>
  <c r="F30" i="39" s="1"/>
  <c r="G30" i="39" s="1"/>
  <c r="H30" i="39" s="1"/>
  <c r="B31" i="39"/>
  <c r="C31" i="39" s="1"/>
  <c r="D31" i="39" s="1"/>
  <c r="E31" i="39" s="1"/>
  <c r="F31" i="39" s="1"/>
  <c r="G31" i="39" s="1"/>
  <c r="H31" i="39" s="1"/>
  <c r="B32" i="39"/>
  <c r="C32" i="39" s="1"/>
  <c r="D32" i="39" s="1"/>
  <c r="E32" i="39" s="1"/>
  <c r="F32" i="39" s="1"/>
  <c r="G32" i="39" s="1"/>
  <c r="H32" i="39" s="1"/>
  <c r="B33" i="39"/>
  <c r="C33" i="39" s="1"/>
  <c r="D33" i="39" s="1"/>
  <c r="E33" i="39" s="1"/>
  <c r="F33" i="39" s="1"/>
  <c r="G33" i="39" s="1"/>
  <c r="H33" i="39" s="1"/>
  <c r="B29" i="39"/>
  <c r="C29" i="39" s="1"/>
  <c r="D29" i="39" s="1"/>
  <c r="E29" i="39" s="1"/>
  <c r="F29" i="39" s="1"/>
  <c r="G29" i="39" s="1"/>
  <c r="H29" i="39" s="1"/>
  <c r="B45" i="38"/>
  <c r="C45" i="38" s="1"/>
  <c r="D45" i="38" s="1"/>
  <c r="E45" i="38" s="1"/>
  <c r="F45" i="38" s="1"/>
  <c r="G45" i="38" s="1"/>
  <c r="H45" i="38" s="1"/>
  <c r="B41" i="38"/>
  <c r="C41" i="38" s="1"/>
  <c r="D41" i="38" s="1"/>
  <c r="E41" i="38" s="1"/>
  <c r="F41" i="38" s="1"/>
  <c r="G41" i="38" s="1"/>
  <c r="H41" i="38" s="1"/>
  <c r="B42" i="38"/>
  <c r="C42" i="38" s="1"/>
  <c r="D42" i="38" s="1"/>
  <c r="E42" i="38" s="1"/>
  <c r="F42" i="38" s="1"/>
  <c r="G42" i="38" s="1"/>
  <c r="H42" i="38" s="1"/>
  <c r="B43" i="38"/>
  <c r="C43" i="38" s="1"/>
  <c r="D43" i="38" s="1"/>
  <c r="E43" i="38" s="1"/>
  <c r="F43" i="38" s="1"/>
  <c r="G43" i="38" s="1"/>
  <c r="H43" i="38" s="1"/>
  <c r="B44" i="38"/>
  <c r="C44" i="38" s="1"/>
  <c r="D44" i="38" s="1"/>
  <c r="E44" i="38" s="1"/>
  <c r="F44" i="38" s="1"/>
  <c r="G44" i="38" s="1"/>
  <c r="H44" i="38" s="1"/>
  <c r="B40" i="38"/>
  <c r="C40" i="38" s="1"/>
  <c r="D40" i="38" s="1"/>
  <c r="E40" i="38" s="1"/>
  <c r="F40" i="38" s="1"/>
  <c r="G40" i="38" s="1"/>
  <c r="H40" i="38" s="1"/>
  <c r="B35" i="38"/>
  <c r="C35" i="38" s="1"/>
  <c r="D35" i="38" s="1"/>
  <c r="E35" i="38" s="1"/>
  <c r="F35" i="38" s="1"/>
  <c r="G35" i="38" s="1"/>
  <c r="H35" i="38" s="1"/>
  <c r="B36" i="38"/>
  <c r="C36" i="38" s="1"/>
  <c r="D36" i="38" s="1"/>
  <c r="E36" i="38" s="1"/>
  <c r="F36" i="38" s="1"/>
  <c r="G36" i="38" s="1"/>
  <c r="H36" i="38" s="1"/>
  <c r="B37" i="38"/>
  <c r="C37" i="38" s="1"/>
  <c r="D37" i="38" s="1"/>
  <c r="E37" i="38" s="1"/>
  <c r="F37" i="38" s="1"/>
  <c r="G37" i="38" s="1"/>
  <c r="H37" i="38" s="1"/>
  <c r="B38" i="38"/>
  <c r="C38" i="38" s="1"/>
  <c r="D38" i="38" s="1"/>
  <c r="E38" i="38" s="1"/>
  <c r="F38" i="38" s="1"/>
  <c r="G38" i="38" s="1"/>
  <c r="H38" i="38" s="1"/>
  <c r="B39" i="38"/>
  <c r="C39" i="38" s="1"/>
  <c r="D39" i="38" s="1"/>
  <c r="E39" i="38" s="1"/>
  <c r="F39" i="38" s="1"/>
  <c r="G39" i="38" s="1"/>
  <c r="H39" i="38" s="1"/>
  <c r="B34" i="38"/>
  <c r="C34" i="38" s="1"/>
  <c r="D34" i="38" s="1"/>
  <c r="E34" i="38" s="1"/>
  <c r="F34" i="38" s="1"/>
  <c r="G34" i="38" s="1"/>
  <c r="H34" i="38" s="1"/>
  <c r="B30" i="38"/>
  <c r="C30" i="38" s="1"/>
  <c r="D30" i="38" s="1"/>
  <c r="E30" i="38" s="1"/>
  <c r="F30" i="38" s="1"/>
  <c r="G30" i="38" s="1"/>
  <c r="H30" i="38" s="1"/>
  <c r="B31" i="38"/>
  <c r="C31" i="38" s="1"/>
  <c r="D31" i="38" s="1"/>
  <c r="E31" i="38" s="1"/>
  <c r="F31" i="38" s="1"/>
  <c r="G31" i="38" s="1"/>
  <c r="H31" i="38" s="1"/>
  <c r="B32" i="38"/>
  <c r="C32" i="38" s="1"/>
  <c r="D32" i="38" s="1"/>
  <c r="E32" i="38" s="1"/>
  <c r="F32" i="38" s="1"/>
  <c r="G32" i="38" s="1"/>
  <c r="H32" i="38" s="1"/>
  <c r="B33" i="38"/>
  <c r="C33" i="38" s="1"/>
  <c r="D33" i="38" s="1"/>
  <c r="E33" i="38" s="1"/>
  <c r="F33" i="38" s="1"/>
  <c r="G33" i="38" s="1"/>
  <c r="H33" i="38" s="1"/>
  <c r="B29" i="38"/>
  <c r="C29" i="38" s="1"/>
  <c r="D29" i="38" s="1"/>
  <c r="E29" i="38" s="1"/>
  <c r="F29" i="38" s="1"/>
  <c r="G29" i="38" s="1"/>
  <c r="H29" i="38" s="1"/>
  <c r="B45" i="36"/>
  <c r="C45" i="36" s="1"/>
  <c r="D45" i="36" s="1"/>
  <c r="E45" i="36" s="1"/>
  <c r="F45" i="36" s="1"/>
  <c r="G45" i="36" s="1"/>
  <c r="H45" i="36" s="1"/>
  <c r="B41" i="36"/>
  <c r="C41" i="36" s="1"/>
  <c r="D41" i="36" s="1"/>
  <c r="E41" i="36" s="1"/>
  <c r="F41" i="36" s="1"/>
  <c r="G41" i="36" s="1"/>
  <c r="H41" i="36" s="1"/>
  <c r="B42" i="36"/>
  <c r="C42" i="36" s="1"/>
  <c r="D42" i="36" s="1"/>
  <c r="E42" i="36" s="1"/>
  <c r="F42" i="36" s="1"/>
  <c r="G42" i="36" s="1"/>
  <c r="H42" i="36" s="1"/>
  <c r="B43" i="36"/>
  <c r="C43" i="36" s="1"/>
  <c r="D43" i="36" s="1"/>
  <c r="E43" i="36" s="1"/>
  <c r="F43" i="36" s="1"/>
  <c r="G43" i="36" s="1"/>
  <c r="H43" i="36" s="1"/>
  <c r="B44" i="36"/>
  <c r="C44" i="36" s="1"/>
  <c r="D44" i="36" s="1"/>
  <c r="E44" i="36" s="1"/>
  <c r="F44" i="36" s="1"/>
  <c r="G44" i="36" s="1"/>
  <c r="H44" i="36" s="1"/>
  <c r="B40" i="36"/>
  <c r="C40" i="36" s="1"/>
  <c r="D40" i="36" s="1"/>
  <c r="E40" i="36" s="1"/>
  <c r="F40" i="36" s="1"/>
  <c r="G40" i="36" s="1"/>
  <c r="H40" i="36" s="1"/>
  <c r="B35" i="36"/>
  <c r="C35" i="36" s="1"/>
  <c r="D35" i="36" s="1"/>
  <c r="E35" i="36" s="1"/>
  <c r="F35" i="36" s="1"/>
  <c r="G35" i="36" s="1"/>
  <c r="H35" i="36" s="1"/>
  <c r="B36" i="36"/>
  <c r="C36" i="36" s="1"/>
  <c r="D36" i="36" s="1"/>
  <c r="E36" i="36" s="1"/>
  <c r="F36" i="36" s="1"/>
  <c r="G36" i="36" s="1"/>
  <c r="H36" i="36" s="1"/>
  <c r="B37" i="36"/>
  <c r="C37" i="36" s="1"/>
  <c r="D37" i="36" s="1"/>
  <c r="E37" i="36" s="1"/>
  <c r="F37" i="36" s="1"/>
  <c r="G37" i="36" s="1"/>
  <c r="H37" i="36" s="1"/>
  <c r="B38" i="36"/>
  <c r="C38" i="36" s="1"/>
  <c r="D38" i="36" s="1"/>
  <c r="E38" i="36" s="1"/>
  <c r="F38" i="36" s="1"/>
  <c r="G38" i="36" s="1"/>
  <c r="H38" i="36" s="1"/>
  <c r="B39" i="36"/>
  <c r="C39" i="36" s="1"/>
  <c r="D39" i="36" s="1"/>
  <c r="E39" i="36" s="1"/>
  <c r="F39" i="36" s="1"/>
  <c r="G39" i="36" s="1"/>
  <c r="H39" i="36" s="1"/>
  <c r="B34" i="36"/>
  <c r="C34" i="36" s="1"/>
  <c r="D34" i="36" s="1"/>
  <c r="E34" i="36" s="1"/>
  <c r="F34" i="36" s="1"/>
  <c r="G34" i="36" s="1"/>
  <c r="H34" i="36" s="1"/>
  <c r="B30" i="36"/>
  <c r="C30" i="36" s="1"/>
  <c r="D30" i="36" s="1"/>
  <c r="E30" i="36" s="1"/>
  <c r="F30" i="36" s="1"/>
  <c r="G30" i="36" s="1"/>
  <c r="H30" i="36" s="1"/>
  <c r="B31" i="36"/>
  <c r="C31" i="36" s="1"/>
  <c r="D31" i="36" s="1"/>
  <c r="E31" i="36" s="1"/>
  <c r="F31" i="36" s="1"/>
  <c r="G31" i="36" s="1"/>
  <c r="H31" i="36" s="1"/>
  <c r="B32" i="36"/>
  <c r="C32" i="36" s="1"/>
  <c r="D32" i="36" s="1"/>
  <c r="E32" i="36" s="1"/>
  <c r="F32" i="36" s="1"/>
  <c r="G32" i="36" s="1"/>
  <c r="H32" i="36" s="1"/>
  <c r="B33" i="36"/>
  <c r="C33" i="36" s="1"/>
  <c r="D33" i="36" s="1"/>
  <c r="E33" i="36" s="1"/>
  <c r="F33" i="36" s="1"/>
  <c r="G33" i="36" s="1"/>
  <c r="H33" i="36" s="1"/>
  <c r="B29" i="36"/>
  <c r="C29" i="36" s="1"/>
  <c r="D29" i="36" s="1"/>
  <c r="E29" i="36" s="1"/>
  <c r="F29" i="36" s="1"/>
  <c r="G29" i="36" s="1"/>
  <c r="H29" i="36" s="1"/>
  <c r="B45" i="34"/>
  <c r="C45" i="34" s="1"/>
  <c r="D45" i="34" s="1"/>
  <c r="E45" i="34" s="1"/>
  <c r="F45" i="34" s="1"/>
  <c r="G45" i="34" s="1"/>
  <c r="H45" i="34" s="1"/>
  <c r="B41" i="34"/>
  <c r="C41" i="34" s="1"/>
  <c r="D41" i="34" s="1"/>
  <c r="E41" i="34" s="1"/>
  <c r="F41" i="34" s="1"/>
  <c r="G41" i="34" s="1"/>
  <c r="H41" i="34" s="1"/>
  <c r="B42" i="34"/>
  <c r="C42" i="34" s="1"/>
  <c r="D42" i="34" s="1"/>
  <c r="E42" i="34" s="1"/>
  <c r="F42" i="34" s="1"/>
  <c r="G42" i="34" s="1"/>
  <c r="H42" i="34" s="1"/>
  <c r="B43" i="34"/>
  <c r="C43" i="34" s="1"/>
  <c r="D43" i="34" s="1"/>
  <c r="E43" i="34" s="1"/>
  <c r="F43" i="34" s="1"/>
  <c r="G43" i="34" s="1"/>
  <c r="H43" i="34" s="1"/>
  <c r="B44" i="34"/>
  <c r="B40" i="34"/>
  <c r="C40" i="34" s="1"/>
  <c r="D40" i="34" s="1"/>
  <c r="E40" i="34" s="1"/>
  <c r="F40" i="34" s="1"/>
  <c r="G40" i="34" s="1"/>
  <c r="H40" i="34" s="1"/>
  <c r="B35" i="34"/>
  <c r="C35" i="34" s="1"/>
  <c r="D35" i="34" s="1"/>
  <c r="E35" i="34" s="1"/>
  <c r="F35" i="34" s="1"/>
  <c r="G35" i="34" s="1"/>
  <c r="H35" i="34" s="1"/>
  <c r="B36" i="34"/>
  <c r="C36" i="34" s="1"/>
  <c r="D36" i="34" s="1"/>
  <c r="E36" i="34" s="1"/>
  <c r="F36" i="34" s="1"/>
  <c r="G36" i="34" s="1"/>
  <c r="H36" i="34" s="1"/>
  <c r="B37" i="34"/>
  <c r="C37" i="34" s="1"/>
  <c r="D37" i="34" s="1"/>
  <c r="E37" i="34" s="1"/>
  <c r="F37" i="34" s="1"/>
  <c r="G37" i="34" s="1"/>
  <c r="H37" i="34" s="1"/>
  <c r="B38" i="34"/>
  <c r="C38" i="34" s="1"/>
  <c r="D38" i="34" s="1"/>
  <c r="E38" i="34" s="1"/>
  <c r="F38" i="34" s="1"/>
  <c r="G38" i="34" s="1"/>
  <c r="H38" i="34" s="1"/>
  <c r="B39" i="34"/>
  <c r="C39" i="34" s="1"/>
  <c r="D39" i="34" s="1"/>
  <c r="E39" i="34" s="1"/>
  <c r="F39" i="34" s="1"/>
  <c r="G39" i="34" s="1"/>
  <c r="H39" i="34" s="1"/>
  <c r="B34" i="34"/>
  <c r="C34" i="34" s="1"/>
  <c r="D34" i="34" s="1"/>
  <c r="E34" i="34" s="1"/>
  <c r="F34" i="34" s="1"/>
  <c r="G34" i="34" s="1"/>
  <c r="H34" i="34" s="1"/>
  <c r="B30" i="34"/>
  <c r="C30" i="34" s="1"/>
  <c r="D30" i="34" s="1"/>
  <c r="E30" i="34" s="1"/>
  <c r="F30" i="34" s="1"/>
  <c r="G30" i="34" s="1"/>
  <c r="H30" i="34" s="1"/>
  <c r="B31" i="34"/>
  <c r="C31" i="34" s="1"/>
  <c r="D31" i="34" s="1"/>
  <c r="E31" i="34" s="1"/>
  <c r="F31" i="34" s="1"/>
  <c r="G31" i="34" s="1"/>
  <c r="H31" i="34" s="1"/>
  <c r="B32" i="34"/>
  <c r="C32" i="34" s="1"/>
  <c r="D32" i="34" s="1"/>
  <c r="E32" i="34" s="1"/>
  <c r="F32" i="34" s="1"/>
  <c r="G32" i="34" s="1"/>
  <c r="H32" i="34" s="1"/>
  <c r="B33" i="34"/>
  <c r="C33" i="34" s="1"/>
  <c r="D33" i="34" s="1"/>
  <c r="E33" i="34" s="1"/>
  <c r="F33" i="34" s="1"/>
  <c r="G33" i="34" s="1"/>
  <c r="H33" i="34" s="1"/>
  <c r="B29" i="34"/>
  <c r="C29" i="34" s="1"/>
  <c r="D29" i="34" s="1"/>
  <c r="E29" i="34" s="1"/>
  <c r="F29" i="34" s="1"/>
  <c r="G29" i="34" s="1"/>
  <c r="H29" i="34" s="1"/>
  <c r="B45" i="33"/>
  <c r="C45" i="33" s="1"/>
  <c r="D45" i="33" s="1"/>
  <c r="E45" i="33" s="1"/>
  <c r="F45" i="33" s="1"/>
  <c r="G45" i="33" s="1"/>
  <c r="H45" i="33" s="1"/>
  <c r="B41" i="33"/>
  <c r="C41" i="33" s="1"/>
  <c r="D41" i="33" s="1"/>
  <c r="E41" i="33" s="1"/>
  <c r="F41" i="33" s="1"/>
  <c r="G41" i="33" s="1"/>
  <c r="H41" i="33" s="1"/>
  <c r="B42" i="33"/>
  <c r="C42" i="33" s="1"/>
  <c r="D42" i="33" s="1"/>
  <c r="E42" i="33" s="1"/>
  <c r="F42" i="33" s="1"/>
  <c r="G42" i="33" s="1"/>
  <c r="H42" i="33" s="1"/>
  <c r="B43" i="33"/>
  <c r="C43" i="33" s="1"/>
  <c r="D43" i="33" s="1"/>
  <c r="E43" i="33" s="1"/>
  <c r="F43" i="33" s="1"/>
  <c r="G43" i="33" s="1"/>
  <c r="H43" i="33" s="1"/>
  <c r="B44" i="33"/>
  <c r="C44" i="33" s="1"/>
  <c r="D44" i="33" s="1"/>
  <c r="E44" i="33" s="1"/>
  <c r="F44" i="33" s="1"/>
  <c r="G44" i="33" s="1"/>
  <c r="H44" i="33" s="1"/>
  <c r="B40" i="33"/>
  <c r="C40" i="33" s="1"/>
  <c r="D40" i="33" s="1"/>
  <c r="E40" i="33" s="1"/>
  <c r="F40" i="33" s="1"/>
  <c r="G40" i="33" s="1"/>
  <c r="H40" i="33" s="1"/>
  <c r="B35" i="33"/>
  <c r="C35" i="33" s="1"/>
  <c r="D35" i="33" s="1"/>
  <c r="E35" i="33" s="1"/>
  <c r="F35" i="33" s="1"/>
  <c r="G35" i="33" s="1"/>
  <c r="H35" i="33" s="1"/>
  <c r="B36" i="33"/>
  <c r="C36" i="33" s="1"/>
  <c r="D36" i="33" s="1"/>
  <c r="E36" i="33" s="1"/>
  <c r="F36" i="33" s="1"/>
  <c r="G36" i="33" s="1"/>
  <c r="H36" i="33" s="1"/>
  <c r="B37" i="33"/>
  <c r="C37" i="33" s="1"/>
  <c r="D37" i="33" s="1"/>
  <c r="E37" i="33" s="1"/>
  <c r="F37" i="33" s="1"/>
  <c r="G37" i="33" s="1"/>
  <c r="H37" i="33" s="1"/>
  <c r="B38" i="33"/>
  <c r="C38" i="33" s="1"/>
  <c r="D38" i="33" s="1"/>
  <c r="E38" i="33" s="1"/>
  <c r="F38" i="33" s="1"/>
  <c r="G38" i="33" s="1"/>
  <c r="H38" i="33" s="1"/>
  <c r="B39" i="33"/>
  <c r="C39" i="33" s="1"/>
  <c r="D39" i="33" s="1"/>
  <c r="E39" i="33" s="1"/>
  <c r="F39" i="33" s="1"/>
  <c r="G39" i="33" s="1"/>
  <c r="H39" i="33" s="1"/>
  <c r="B34" i="33"/>
  <c r="C34" i="33" s="1"/>
  <c r="D34" i="33" s="1"/>
  <c r="E34" i="33" s="1"/>
  <c r="F34" i="33" s="1"/>
  <c r="G34" i="33" s="1"/>
  <c r="H34" i="33" s="1"/>
  <c r="B30" i="33"/>
  <c r="C30" i="33" s="1"/>
  <c r="D30" i="33" s="1"/>
  <c r="E30" i="33" s="1"/>
  <c r="F30" i="33" s="1"/>
  <c r="G30" i="33" s="1"/>
  <c r="H30" i="33" s="1"/>
  <c r="B31" i="33"/>
  <c r="C31" i="33" s="1"/>
  <c r="D31" i="33" s="1"/>
  <c r="E31" i="33" s="1"/>
  <c r="F31" i="33" s="1"/>
  <c r="G31" i="33" s="1"/>
  <c r="H31" i="33" s="1"/>
  <c r="B32" i="33"/>
  <c r="C32" i="33" s="1"/>
  <c r="D32" i="33" s="1"/>
  <c r="E32" i="33" s="1"/>
  <c r="F32" i="33" s="1"/>
  <c r="G32" i="33" s="1"/>
  <c r="H32" i="33" s="1"/>
  <c r="B33" i="33"/>
  <c r="C33" i="33" s="1"/>
  <c r="D33" i="33" s="1"/>
  <c r="E33" i="33" s="1"/>
  <c r="F33" i="33" s="1"/>
  <c r="G33" i="33" s="1"/>
  <c r="H33" i="33" s="1"/>
  <c r="B29" i="33"/>
  <c r="C29" i="33" s="1"/>
  <c r="D29" i="33" s="1"/>
  <c r="E29" i="33" s="1"/>
  <c r="F29" i="33" s="1"/>
  <c r="G29" i="33" s="1"/>
  <c r="H29" i="33" s="1"/>
  <c r="B45" i="32"/>
  <c r="C45" i="32" s="1"/>
  <c r="D45" i="32" s="1"/>
  <c r="E45" i="32" s="1"/>
  <c r="F45" i="32" s="1"/>
  <c r="G45" i="32" s="1"/>
  <c r="H45" i="32" s="1"/>
  <c r="B41" i="32"/>
  <c r="C41" i="32" s="1"/>
  <c r="D41" i="32" s="1"/>
  <c r="E41" i="32" s="1"/>
  <c r="F41" i="32" s="1"/>
  <c r="G41" i="32" s="1"/>
  <c r="H41" i="32" s="1"/>
  <c r="B42" i="32"/>
  <c r="C42" i="32" s="1"/>
  <c r="D42" i="32" s="1"/>
  <c r="E42" i="32" s="1"/>
  <c r="F42" i="32" s="1"/>
  <c r="G42" i="32" s="1"/>
  <c r="H42" i="32" s="1"/>
  <c r="B43" i="32"/>
  <c r="C43" i="32" s="1"/>
  <c r="D43" i="32" s="1"/>
  <c r="E43" i="32" s="1"/>
  <c r="F43" i="32" s="1"/>
  <c r="G43" i="32" s="1"/>
  <c r="H43" i="32" s="1"/>
  <c r="B44" i="32"/>
  <c r="C44" i="32" s="1"/>
  <c r="D44" i="32" s="1"/>
  <c r="E44" i="32" s="1"/>
  <c r="F44" i="32" s="1"/>
  <c r="G44" i="32" s="1"/>
  <c r="H44" i="32" s="1"/>
  <c r="B40" i="32"/>
  <c r="C40" i="32" s="1"/>
  <c r="D40" i="32" s="1"/>
  <c r="E40" i="32" s="1"/>
  <c r="F40" i="32" s="1"/>
  <c r="G40" i="32" s="1"/>
  <c r="H40" i="32" s="1"/>
  <c r="B35" i="32"/>
  <c r="C35" i="32" s="1"/>
  <c r="D35" i="32" s="1"/>
  <c r="E35" i="32" s="1"/>
  <c r="F35" i="32" s="1"/>
  <c r="G35" i="32" s="1"/>
  <c r="H35" i="32" s="1"/>
  <c r="B36" i="32"/>
  <c r="C36" i="32" s="1"/>
  <c r="D36" i="32" s="1"/>
  <c r="E36" i="32" s="1"/>
  <c r="F36" i="32" s="1"/>
  <c r="G36" i="32" s="1"/>
  <c r="H36" i="32" s="1"/>
  <c r="B37" i="32"/>
  <c r="C37" i="32" s="1"/>
  <c r="D37" i="32" s="1"/>
  <c r="E37" i="32" s="1"/>
  <c r="F37" i="32" s="1"/>
  <c r="G37" i="32" s="1"/>
  <c r="H37" i="32" s="1"/>
  <c r="B38" i="32"/>
  <c r="C38" i="32" s="1"/>
  <c r="D38" i="32" s="1"/>
  <c r="E38" i="32" s="1"/>
  <c r="F38" i="32" s="1"/>
  <c r="G38" i="32" s="1"/>
  <c r="H38" i="32" s="1"/>
  <c r="B39" i="32"/>
  <c r="C39" i="32" s="1"/>
  <c r="D39" i="32" s="1"/>
  <c r="E39" i="32" s="1"/>
  <c r="F39" i="32" s="1"/>
  <c r="G39" i="32" s="1"/>
  <c r="H39" i="32" s="1"/>
  <c r="B34" i="32"/>
  <c r="C34" i="32" s="1"/>
  <c r="D34" i="32" s="1"/>
  <c r="E34" i="32" s="1"/>
  <c r="F34" i="32" s="1"/>
  <c r="G34" i="32" s="1"/>
  <c r="H34" i="32" s="1"/>
  <c r="B30" i="32"/>
  <c r="C30" i="32" s="1"/>
  <c r="D30" i="32" s="1"/>
  <c r="E30" i="32" s="1"/>
  <c r="F30" i="32" s="1"/>
  <c r="G30" i="32" s="1"/>
  <c r="H30" i="32" s="1"/>
  <c r="B31" i="32"/>
  <c r="C31" i="32" s="1"/>
  <c r="D31" i="32" s="1"/>
  <c r="E31" i="32" s="1"/>
  <c r="F31" i="32" s="1"/>
  <c r="G31" i="32" s="1"/>
  <c r="H31" i="32" s="1"/>
  <c r="B32" i="32"/>
  <c r="C32" i="32" s="1"/>
  <c r="D32" i="32" s="1"/>
  <c r="E32" i="32" s="1"/>
  <c r="F32" i="32" s="1"/>
  <c r="G32" i="32" s="1"/>
  <c r="H32" i="32" s="1"/>
  <c r="B33" i="32"/>
  <c r="C33" i="32" s="1"/>
  <c r="D33" i="32" s="1"/>
  <c r="E33" i="32" s="1"/>
  <c r="F33" i="32" s="1"/>
  <c r="G33" i="32" s="1"/>
  <c r="H33" i="32" s="1"/>
  <c r="B29" i="32"/>
  <c r="C29" i="32" s="1"/>
  <c r="D29" i="32" s="1"/>
  <c r="E29" i="32" s="1"/>
  <c r="F29" i="32" s="1"/>
  <c r="G29" i="32" s="1"/>
  <c r="H29" i="32" s="1"/>
  <c r="B45" i="31"/>
  <c r="C45" i="31" s="1"/>
  <c r="D45" i="31" s="1"/>
  <c r="E45" i="31" s="1"/>
  <c r="F45" i="31" s="1"/>
  <c r="G45" i="31" s="1"/>
  <c r="H45" i="31" s="1"/>
  <c r="B41" i="31"/>
  <c r="C41" i="31" s="1"/>
  <c r="D41" i="31" s="1"/>
  <c r="E41" i="31" s="1"/>
  <c r="F41" i="31" s="1"/>
  <c r="G41" i="31" s="1"/>
  <c r="H41" i="31" s="1"/>
  <c r="B42" i="31"/>
  <c r="C42" i="31" s="1"/>
  <c r="D42" i="31" s="1"/>
  <c r="E42" i="31" s="1"/>
  <c r="F42" i="31" s="1"/>
  <c r="G42" i="31" s="1"/>
  <c r="H42" i="31" s="1"/>
  <c r="B43" i="31"/>
  <c r="C43" i="31" s="1"/>
  <c r="D43" i="31" s="1"/>
  <c r="E43" i="31" s="1"/>
  <c r="F43" i="31" s="1"/>
  <c r="G43" i="31" s="1"/>
  <c r="H43" i="31" s="1"/>
  <c r="B44" i="31"/>
  <c r="C44" i="31" s="1"/>
  <c r="D44" i="31" s="1"/>
  <c r="E44" i="31" s="1"/>
  <c r="F44" i="31" s="1"/>
  <c r="G44" i="31" s="1"/>
  <c r="H44" i="31" s="1"/>
  <c r="B40" i="31"/>
  <c r="B35" i="31"/>
  <c r="C35" i="31" s="1"/>
  <c r="D35" i="31" s="1"/>
  <c r="E35" i="31" s="1"/>
  <c r="F35" i="31" s="1"/>
  <c r="G35" i="31" s="1"/>
  <c r="H35" i="31" s="1"/>
  <c r="B36" i="31"/>
  <c r="C36" i="31" s="1"/>
  <c r="D36" i="31" s="1"/>
  <c r="E36" i="31" s="1"/>
  <c r="F36" i="31" s="1"/>
  <c r="G36" i="31" s="1"/>
  <c r="H36" i="31" s="1"/>
  <c r="B37" i="31"/>
  <c r="C37" i="31" s="1"/>
  <c r="D37" i="31" s="1"/>
  <c r="E37" i="31" s="1"/>
  <c r="F37" i="31" s="1"/>
  <c r="G37" i="31" s="1"/>
  <c r="H37" i="31" s="1"/>
  <c r="B38" i="31"/>
  <c r="C38" i="31" s="1"/>
  <c r="D38" i="31" s="1"/>
  <c r="E38" i="31" s="1"/>
  <c r="F38" i="31" s="1"/>
  <c r="G38" i="31" s="1"/>
  <c r="H38" i="31" s="1"/>
  <c r="B39" i="31"/>
  <c r="C39" i="31" s="1"/>
  <c r="D39" i="31" s="1"/>
  <c r="E39" i="31" s="1"/>
  <c r="F39" i="31" s="1"/>
  <c r="G39" i="31" s="1"/>
  <c r="H39" i="31" s="1"/>
  <c r="B34" i="31"/>
  <c r="C34" i="31" s="1"/>
  <c r="D34" i="31" s="1"/>
  <c r="E34" i="31" s="1"/>
  <c r="F34" i="31" s="1"/>
  <c r="G34" i="31" s="1"/>
  <c r="H34" i="31" s="1"/>
  <c r="B30" i="31"/>
  <c r="C30" i="31" s="1"/>
  <c r="D30" i="31" s="1"/>
  <c r="E30" i="31" s="1"/>
  <c r="F30" i="31" s="1"/>
  <c r="G30" i="31" s="1"/>
  <c r="H30" i="31" s="1"/>
  <c r="B31" i="31"/>
  <c r="C31" i="31" s="1"/>
  <c r="D31" i="31" s="1"/>
  <c r="E31" i="31" s="1"/>
  <c r="F31" i="31" s="1"/>
  <c r="G31" i="31" s="1"/>
  <c r="H31" i="31" s="1"/>
  <c r="B32" i="31"/>
  <c r="C32" i="31" s="1"/>
  <c r="D32" i="31" s="1"/>
  <c r="E32" i="31" s="1"/>
  <c r="F32" i="31" s="1"/>
  <c r="G32" i="31" s="1"/>
  <c r="H32" i="31" s="1"/>
  <c r="B33" i="31"/>
  <c r="C33" i="31" s="1"/>
  <c r="D33" i="31" s="1"/>
  <c r="E33" i="31" s="1"/>
  <c r="F33" i="31" s="1"/>
  <c r="G33" i="31" s="1"/>
  <c r="H33" i="31" s="1"/>
  <c r="B29" i="31"/>
  <c r="C29" i="31" s="1"/>
  <c r="D29" i="31" s="1"/>
  <c r="E29" i="31" s="1"/>
  <c r="F29" i="31" s="1"/>
  <c r="G29" i="31" s="1"/>
  <c r="H29" i="31" s="1"/>
  <c r="B45" i="30"/>
  <c r="C45" i="30" s="1"/>
  <c r="D45" i="30" s="1"/>
  <c r="E45" i="30" s="1"/>
  <c r="F45" i="30" s="1"/>
  <c r="G45" i="30" s="1"/>
  <c r="H45" i="30" s="1"/>
  <c r="B41" i="30"/>
  <c r="C41" i="30" s="1"/>
  <c r="D41" i="30" s="1"/>
  <c r="E41" i="30" s="1"/>
  <c r="F41" i="30" s="1"/>
  <c r="G41" i="30" s="1"/>
  <c r="H41" i="30" s="1"/>
  <c r="B42" i="30"/>
  <c r="C42" i="30" s="1"/>
  <c r="D42" i="30" s="1"/>
  <c r="E42" i="30" s="1"/>
  <c r="F42" i="30" s="1"/>
  <c r="G42" i="30" s="1"/>
  <c r="H42" i="30" s="1"/>
  <c r="B43" i="30"/>
  <c r="C43" i="30" s="1"/>
  <c r="D43" i="30" s="1"/>
  <c r="E43" i="30" s="1"/>
  <c r="F43" i="30" s="1"/>
  <c r="G43" i="30" s="1"/>
  <c r="H43" i="30" s="1"/>
  <c r="B44" i="30"/>
  <c r="C44" i="30" s="1"/>
  <c r="D44" i="30" s="1"/>
  <c r="E44" i="30" s="1"/>
  <c r="F44" i="30" s="1"/>
  <c r="G44" i="30" s="1"/>
  <c r="H44" i="30" s="1"/>
  <c r="B40" i="30"/>
  <c r="C40" i="30" s="1"/>
  <c r="D40" i="30" s="1"/>
  <c r="E40" i="30" s="1"/>
  <c r="F40" i="30" s="1"/>
  <c r="G40" i="30" s="1"/>
  <c r="H40" i="30" s="1"/>
  <c r="B35" i="30"/>
  <c r="C35" i="30" s="1"/>
  <c r="D35" i="30" s="1"/>
  <c r="E35" i="30" s="1"/>
  <c r="F35" i="30" s="1"/>
  <c r="G35" i="30" s="1"/>
  <c r="H35" i="30" s="1"/>
  <c r="B36" i="30"/>
  <c r="C36" i="30" s="1"/>
  <c r="D36" i="30" s="1"/>
  <c r="E36" i="30" s="1"/>
  <c r="F36" i="30" s="1"/>
  <c r="G36" i="30" s="1"/>
  <c r="H36" i="30" s="1"/>
  <c r="B37" i="30"/>
  <c r="C37" i="30" s="1"/>
  <c r="D37" i="30" s="1"/>
  <c r="E37" i="30" s="1"/>
  <c r="F37" i="30" s="1"/>
  <c r="G37" i="30" s="1"/>
  <c r="H37" i="30" s="1"/>
  <c r="B38" i="30"/>
  <c r="C38" i="30" s="1"/>
  <c r="D38" i="30" s="1"/>
  <c r="E38" i="30" s="1"/>
  <c r="F38" i="30" s="1"/>
  <c r="G38" i="30" s="1"/>
  <c r="H38" i="30" s="1"/>
  <c r="B39" i="30"/>
  <c r="C39" i="30" s="1"/>
  <c r="D39" i="30" s="1"/>
  <c r="E39" i="30" s="1"/>
  <c r="F39" i="30" s="1"/>
  <c r="G39" i="30" s="1"/>
  <c r="H39" i="30" s="1"/>
  <c r="B34" i="30"/>
  <c r="C34" i="30" s="1"/>
  <c r="D34" i="30" s="1"/>
  <c r="E34" i="30" s="1"/>
  <c r="F34" i="30" s="1"/>
  <c r="G34" i="30" s="1"/>
  <c r="H34" i="30" s="1"/>
  <c r="B30" i="30"/>
  <c r="C30" i="30" s="1"/>
  <c r="D30" i="30" s="1"/>
  <c r="E30" i="30" s="1"/>
  <c r="F30" i="30" s="1"/>
  <c r="G30" i="30" s="1"/>
  <c r="H30" i="30" s="1"/>
  <c r="B31" i="30"/>
  <c r="C31" i="30" s="1"/>
  <c r="D31" i="30" s="1"/>
  <c r="E31" i="30" s="1"/>
  <c r="F31" i="30" s="1"/>
  <c r="G31" i="30" s="1"/>
  <c r="H31" i="30" s="1"/>
  <c r="B32" i="30"/>
  <c r="C32" i="30" s="1"/>
  <c r="D32" i="30" s="1"/>
  <c r="E32" i="30" s="1"/>
  <c r="F32" i="30" s="1"/>
  <c r="G32" i="30" s="1"/>
  <c r="H32" i="30" s="1"/>
  <c r="B33" i="30"/>
  <c r="C33" i="30" s="1"/>
  <c r="D33" i="30" s="1"/>
  <c r="E33" i="30" s="1"/>
  <c r="F33" i="30" s="1"/>
  <c r="G33" i="30" s="1"/>
  <c r="H33" i="30" s="1"/>
  <c r="B29" i="30"/>
  <c r="C29" i="30" s="1"/>
  <c r="D29" i="30" s="1"/>
  <c r="E29" i="30" s="1"/>
  <c r="F29" i="30" s="1"/>
  <c r="G29" i="30" s="1"/>
  <c r="H29" i="30" s="1"/>
  <c r="C45" i="40"/>
  <c r="D45" i="40" s="1"/>
  <c r="E45" i="40" s="1"/>
  <c r="F45" i="40" s="1"/>
  <c r="G45" i="40" s="1"/>
  <c r="H45" i="40" s="1"/>
  <c r="C38" i="40"/>
  <c r="D38" i="40" s="1"/>
  <c r="E38" i="40" s="1"/>
  <c r="F38" i="40" s="1"/>
  <c r="G38" i="40" s="1"/>
  <c r="H38" i="40" s="1"/>
  <c r="C31" i="35"/>
  <c r="D31" i="35" s="1"/>
  <c r="E31" i="35" s="1"/>
  <c r="F31" i="35" s="1"/>
  <c r="G31" i="35" s="1"/>
  <c r="H31" i="35" s="1"/>
  <c r="C44" i="34"/>
  <c r="D44" i="34" s="1"/>
  <c r="E44" i="34" s="1"/>
  <c r="F44" i="34" s="1"/>
  <c r="G44" i="34" s="1"/>
  <c r="H44" i="34" s="1"/>
  <c r="C40" i="31"/>
  <c r="D40" i="31" s="1"/>
  <c r="E40" i="31" s="1"/>
  <c r="F40" i="31" s="1"/>
  <c r="G40" i="31" s="1"/>
  <c r="H40" i="31" s="1"/>
  <c r="B45" i="29"/>
  <c r="C45" i="29" s="1"/>
  <c r="D45" i="29" s="1"/>
  <c r="E45" i="29" s="1"/>
  <c r="F45" i="29" s="1"/>
  <c r="G45" i="29" s="1"/>
  <c r="H45" i="29" s="1"/>
  <c r="B41" i="29"/>
  <c r="C41" i="29" s="1"/>
  <c r="D41" i="29" s="1"/>
  <c r="E41" i="29" s="1"/>
  <c r="F41" i="29" s="1"/>
  <c r="G41" i="29" s="1"/>
  <c r="H41" i="29" s="1"/>
  <c r="B42" i="29"/>
  <c r="C42" i="29" s="1"/>
  <c r="D42" i="29" s="1"/>
  <c r="E42" i="29" s="1"/>
  <c r="F42" i="29" s="1"/>
  <c r="G42" i="29" s="1"/>
  <c r="H42" i="29" s="1"/>
  <c r="B43" i="29"/>
  <c r="C43" i="29" s="1"/>
  <c r="D43" i="29" s="1"/>
  <c r="E43" i="29" s="1"/>
  <c r="F43" i="29" s="1"/>
  <c r="G43" i="29" s="1"/>
  <c r="H43" i="29" s="1"/>
  <c r="B44" i="29"/>
  <c r="C44" i="29" s="1"/>
  <c r="D44" i="29" s="1"/>
  <c r="E44" i="29" s="1"/>
  <c r="F44" i="29" s="1"/>
  <c r="G44" i="29" s="1"/>
  <c r="H44" i="29" s="1"/>
  <c r="B40" i="29"/>
  <c r="C40" i="29" s="1"/>
  <c r="D40" i="29" s="1"/>
  <c r="E40" i="29" s="1"/>
  <c r="F40" i="29" s="1"/>
  <c r="G40" i="29" s="1"/>
  <c r="H40" i="29" s="1"/>
  <c r="B35" i="29"/>
  <c r="C35" i="29" s="1"/>
  <c r="D35" i="29" s="1"/>
  <c r="E35" i="29" s="1"/>
  <c r="F35" i="29" s="1"/>
  <c r="G35" i="29" s="1"/>
  <c r="H35" i="29" s="1"/>
  <c r="B36" i="29"/>
  <c r="C36" i="29" s="1"/>
  <c r="D36" i="29" s="1"/>
  <c r="E36" i="29" s="1"/>
  <c r="F36" i="29" s="1"/>
  <c r="G36" i="29" s="1"/>
  <c r="H36" i="29" s="1"/>
  <c r="B37" i="29"/>
  <c r="C37" i="29" s="1"/>
  <c r="D37" i="29" s="1"/>
  <c r="E37" i="29" s="1"/>
  <c r="F37" i="29" s="1"/>
  <c r="G37" i="29" s="1"/>
  <c r="H37" i="29" s="1"/>
  <c r="B38" i="29"/>
  <c r="C38" i="29" s="1"/>
  <c r="D38" i="29" s="1"/>
  <c r="E38" i="29" s="1"/>
  <c r="F38" i="29" s="1"/>
  <c r="G38" i="29" s="1"/>
  <c r="H38" i="29" s="1"/>
  <c r="B39" i="29"/>
  <c r="C39" i="29" s="1"/>
  <c r="D39" i="29" s="1"/>
  <c r="E39" i="29" s="1"/>
  <c r="F39" i="29" s="1"/>
  <c r="G39" i="29" s="1"/>
  <c r="H39" i="29" s="1"/>
  <c r="B34" i="29"/>
  <c r="C34" i="29" s="1"/>
  <c r="D34" i="29" s="1"/>
  <c r="E34" i="29" s="1"/>
  <c r="F34" i="29" s="1"/>
  <c r="G34" i="29" s="1"/>
  <c r="H34" i="29" s="1"/>
  <c r="B30" i="29"/>
  <c r="C30" i="29" s="1"/>
  <c r="D30" i="29" s="1"/>
  <c r="E30" i="29" s="1"/>
  <c r="F30" i="29" s="1"/>
  <c r="G30" i="29" s="1"/>
  <c r="H30" i="29" s="1"/>
  <c r="B31" i="29"/>
  <c r="C31" i="29" s="1"/>
  <c r="D31" i="29" s="1"/>
  <c r="E31" i="29" s="1"/>
  <c r="F31" i="29" s="1"/>
  <c r="G31" i="29" s="1"/>
  <c r="H31" i="29" s="1"/>
  <c r="B32" i="29"/>
  <c r="C32" i="29" s="1"/>
  <c r="D32" i="29" s="1"/>
  <c r="E32" i="29" s="1"/>
  <c r="F32" i="29" s="1"/>
  <c r="G32" i="29" s="1"/>
  <c r="H32" i="29" s="1"/>
  <c r="B33" i="29"/>
  <c r="C33" i="29" s="1"/>
  <c r="D33" i="29" s="1"/>
  <c r="E33" i="29" s="1"/>
  <c r="F33" i="29" s="1"/>
  <c r="G33" i="29" s="1"/>
  <c r="H33" i="29" s="1"/>
  <c r="B29" i="29"/>
  <c r="C29" i="29" s="1"/>
  <c r="D29" i="29" s="1"/>
  <c r="E29" i="29" s="1"/>
  <c r="F29" i="29" s="1"/>
  <c r="G29" i="29" s="1"/>
  <c r="H29" i="29" s="1"/>
  <c r="D81" i="28"/>
  <c r="E81" i="28" s="1"/>
  <c r="E101" i="28" s="1"/>
  <c r="E122" i="28" s="1"/>
  <c r="D76" i="28"/>
  <c r="E76" i="28" s="1"/>
  <c r="E96" i="28" s="1"/>
  <c r="E117" i="28" s="1"/>
  <c r="D79" i="28"/>
  <c r="D73" i="28"/>
  <c r="E73" i="28" s="1"/>
  <c r="E93" i="28" s="1"/>
  <c r="E114" i="28" s="1"/>
  <c r="E70" i="28"/>
  <c r="E90" i="28" s="1"/>
  <c r="E111" i="28" s="1"/>
  <c r="D81" i="2"/>
  <c r="E81" i="2" s="1"/>
  <c r="E101" i="2" s="1"/>
  <c r="E122" i="2" s="1"/>
  <c r="D76" i="2"/>
  <c r="E76" i="2" s="1"/>
  <c r="E96" i="2" s="1"/>
  <c r="E117" i="2" s="1"/>
  <c r="D79" i="2"/>
  <c r="D73" i="2"/>
  <c r="E73" i="2" s="1"/>
  <c r="E93" i="2" s="1"/>
  <c r="E114" i="2" s="1"/>
  <c r="D70" i="2"/>
  <c r="D90" i="2" s="1"/>
  <c r="D111" i="2" s="1"/>
  <c r="E4" i="70" l="1"/>
  <c r="A12" i="70" s="1"/>
  <c r="E4" i="72"/>
  <c r="A12" i="72" s="1"/>
  <c r="I128" i="32"/>
  <c r="E4" i="52"/>
  <c r="A12" i="52" s="1"/>
  <c r="I128" i="36"/>
  <c r="F81" i="2"/>
  <c r="F101" i="2" s="1"/>
  <c r="F122" i="2" s="1"/>
  <c r="J40" i="30"/>
  <c r="I40" i="30"/>
  <c r="J40" i="33"/>
  <c r="I40" i="33"/>
  <c r="J40" i="41"/>
  <c r="I40" i="41"/>
  <c r="J40" i="29"/>
  <c r="I40" i="29"/>
  <c r="J40" i="31"/>
  <c r="I40" i="31"/>
  <c r="J40" i="38"/>
  <c r="I40" i="38"/>
  <c r="J40" i="40"/>
  <c r="I40" i="40"/>
  <c r="J40" i="34"/>
  <c r="I40" i="34"/>
  <c r="J40" i="37"/>
  <c r="I40" i="37"/>
  <c r="F81" i="28"/>
  <c r="F101" i="28" s="1"/>
  <c r="F122" i="28" s="1"/>
  <c r="E163" i="28"/>
  <c r="E184" i="28" s="1"/>
  <c r="J40" i="36"/>
  <c r="I40" i="36"/>
  <c r="J40" i="39"/>
  <c r="I40" i="39"/>
  <c r="J40" i="32"/>
  <c r="I40" i="32"/>
  <c r="J40" i="35"/>
  <c r="I40" i="35"/>
  <c r="E4" i="68"/>
  <c r="A12" i="68" s="1"/>
  <c r="E4" i="50"/>
  <c r="A12" i="50" s="1"/>
  <c r="E4" i="62"/>
  <c r="A12" i="62" s="1"/>
  <c r="E4" i="44"/>
  <c r="A12" i="44" s="1"/>
  <c r="E4" i="60"/>
  <c r="A12" i="60" s="1"/>
  <c r="E4" i="43"/>
  <c r="A12" i="43" s="1"/>
  <c r="J45" i="29"/>
  <c r="I45" i="29"/>
  <c r="J45" i="30"/>
  <c r="I45" i="30"/>
  <c r="J45" i="31"/>
  <c r="I45" i="31"/>
  <c r="J45" i="35"/>
  <c r="I45" i="35"/>
  <c r="J45" i="32"/>
  <c r="I45" i="32"/>
  <c r="J45" i="33"/>
  <c r="I45" i="33"/>
  <c r="J45" i="40"/>
  <c r="I45" i="40"/>
  <c r="J45" i="34"/>
  <c r="I45" i="34"/>
  <c r="J45" i="38"/>
  <c r="I45" i="38"/>
  <c r="J45" i="41"/>
  <c r="I45" i="41"/>
  <c r="J45" i="36"/>
  <c r="I45" i="36"/>
  <c r="J45" i="37"/>
  <c r="I45" i="37"/>
  <c r="J45" i="39"/>
  <c r="I45" i="39"/>
  <c r="J41" i="29"/>
  <c r="I41" i="29"/>
  <c r="J44" i="29"/>
  <c r="I44" i="29"/>
  <c r="J41" i="30"/>
  <c r="I41" i="30"/>
  <c r="J43" i="29"/>
  <c r="I43" i="29"/>
  <c r="J44" i="30"/>
  <c r="I44" i="30"/>
  <c r="J42" i="31"/>
  <c r="I42" i="31"/>
  <c r="J42" i="32"/>
  <c r="I42" i="32"/>
  <c r="J43" i="33"/>
  <c r="I43" i="33"/>
  <c r="J41" i="34"/>
  <c r="I41" i="34"/>
  <c r="J42" i="38"/>
  <c r="I42" i="38"/>
  <c r="J43" i="41"/>
  <c r="I43" i="41"/>
  <c r="J41" i="35"/>
  <c r="I41" i="35"/>
  <c r="J42" i="40"/>
  <c r="I42" i="40"/>
  <c r="J41" i="32"/>
  <c r="I41" i="32"/>
  <c r="J43" i="34"/>
  <c r="I43" i="34"/>
  <c r="J42" i="39"/>
  <c r="I42" i="39"/>
  <c r="J44" i="37"/>
  <c r="I44" i="37"/>
  <c r="J43" i="32"/>
  <c r="I43" i="32"/>
  <c r="J44" i="33"/>
  <c r="I44" i="33"/>
  <c r="J42" i="34"/>
  <c r="I42" i="34"/>
  <c r="J41" i="36"/>
  <c r="I41" i="36"/>
  <c r="J43" i="38"/>
  <c r="I43" i="38"/>
  <c r="J41" i="39"/>
  <c r="I41" i="39"/>
  <c r="J44" i="41"/>
  <c r="I44" i="41"/>
  <c r="J41" i="37"/>
  <c r="I41" i="37"/>
  <c r="J42" i="35"/>
  <c r="I42" i="35"/>
  <c r="J44" i="40"/>
  <c r="I44" i="40"/>
  <c r="J43" i="36"/>
  <c r="I43" i="36"/>
  <c r="J42" i="29"/>
  <c r="I42" i="29"/>
  <c r="J42" i="30"/>
  <c r="I42" i="30"/>
  <c r="J44" i="31"/>
  <c r="I44" i="31"/>
  <c r="J44" i="32"/>
  <c r="I44" i="32"/>
  <c r="J41" i="33"/>
  <c r="I41" i="33"/>
  <c r="J44" i="34"/>
  <c r="I44" i="34"/>
  <c r="J42" i="36"/>
  <c r="I42" i="36"/>
  <c r="J44" i="38"/>
  <c r="I44" i="38"/>
  <c r="J43" i="39"/>
  <c r="I43" i="39"/>
  <c r="J41" i="41"/>
  <c r="I41" i="41"/>
  <c r="J42" i="37"/>
  <c r="I42" i="37"/>
  <c r="J43" i="35"/>
  <c r="I43" i="35"/>
  <c r="J43" i="31"/>
  <c r="I43" i="31"/>
  <c r="J43" i="30"/>
  <c r="I43" i="30"/>
  <c r="J41" i="31"/>
  <c r="I41" i="31"/>
  <c r="J42" i="33"/>
  <c r="I42" i="33"/>
  <c r="J44" i="36"/>
  <c r="I44" i="36"/>
  <c r="J41" i="38"/>
  <c r="I41" i="38"/>
  <c r="J44" i="39"/>
  <c r="I44" i="39"/>
  <c r="J42" i="41"/>
  <c r="I42" i="41"/>
  <c r="J43" i="37"/>
  <c r="I43" i="37"/>
  <c r="J44" i="35"/>
  <c r="I44" i="35"/>
  <c r="J41" i="40"/>
  <c r="I41" i="40"/>
  <c r="J43" i="40"/>
  <c r="I43" i="40"/>
  <c r="J37" i="30"/>
  <c r="I37" i="30"/>
  <c r="J38" i="31"/>
  <c r="I38" i="31"/>
  <c r="J35" i="32"/>
  <c r="I35" i="32"/>
  <c r="J34" i="33"/>
  <c r="I34" i="33"/>
  <c r="J36" i="33"/>
  <c r="I36" i="33"/>
  <c r="J37" i="34"/>
  <c r="I37" i="34"/>
  <c r="J39" i="35"/>
  <c r="I39" i="35"/>
  <c r="J35" i="35"/>
  <c r="I35" i="35"/>
  <c r="J36" i="40"/>
  <c r="I36" i="40"/>
  <c r="J37" i="36"/>
  <c r="I37" i="36"/>
  <c r="J38" i="38"/>
  <c r="I38" i="38"/>
  <c r="J34" i="41"/>
  <c r="I34" i="41"/>
  <c r="J36" i="41"/>
  <c r="I36" i="41"/>
  <c r="J39" i="30"/>
  <c r="I39" i="30"/>
  <c r="J35" i="30"/>
  <c r="I35" i="30"/>
  <c r="J37" i="32"/>
  <c r="I37" i="32"/>
  <c r="J38" i="33"/>
  <c r="I38" i="33"/>
  <c r="J39" i="34"/>
  <c r="I39" i="34"/>
  <c r="J35" i="34"/>
  <c r="I35" i="34"/>
  <c r="J37" i="39"/>
  <c r="I37" i="39"/>
  <c r="J35" i="37"/>
  <c r="I35" i="37"/>
  <c r="F76" i="2"/>
  <c r="F96" i="2" s="1"/>
  <c r="F117" i="2" s="1"/>
  <c r="F76" i="28"/>
  <c r="F96" i="28" s="1"/>
  <c r="F117" i="28" s="1"/>
  <c r="E158" i="28"/>
  <c r="E179" i="28" s="1"/>
  <c r="J36" i="29"/>
  <c r="I36" i="29"/>
  <c r="J35" i="29"/>
  <c r="I35" i="29"/>
  <c r="J34" i="30"/>
  <c r="I34" i="30"/>
  <c r="J34" i="31"/>
  <c r="I34" i="31"/>
  <c r="J34" i="32"/>
  <c r="I34" i="32"/>
  <c r="J39" i="33"/>
  <c r="I39" i="33"/>
  <c r="J38" i="34"/>
  <c r="I38" i="34"/>
  <c r="J37" i="38"/>
  <c r="I37" i="38"/>
  <c r="J39" i="39"/>
  <c r="I39" i="39"/>
  <c r="J35" i="41"/>
  <c r="I35" i="41"/>
  <c r="J39" i="37"/>
  <c r="I39" i="37"/>
  <c r="J38" i="35"/>
  <c r="I38" i="35"/>
  <c r="J35" i="40"/>
  <c r="I35" i="40"/>
  <c r="J39" i="40"/>
  <c r="I39" i="40"/>
  <c r="J34" i="36"/>
  <c r="I34" i="36"/>
  <c r="J36" i="36"/>
  <c r="I36" i="36"/>
  <c r="J38" i="29"/>
  <c r="I38" i="29"/>
  <c r="J35" i="31"/>
  <c r="I35" i="31"/>
  <c r="J34" i="38"/>
  <c r="I34" i="38"/>
  <c r="J36" i="37"/>
  <c r="I36" i="37"/>
  <c r="J34" i="37"/>
  <c r="I34" i="37"/>
  <c r="J37" i="29"/>
  <c r="I37" i="29"/>
  <c r="J36" i="31"/>
  <c r="I36" i="31"/>
  <c r="J36" i="34"/>
  <c r="I36" i="34"/>
  <c r="J35" i="38"/>
  <c r="I35" i="38"/>
  <c r="J35" i="39"/>
  <c r="I35" i="39"/>
  <c r="J37" i="37"/>
  <c r="I37" i="37"/>
  <c r="J37" i="40"/>
  <c r="I37" i="40"/>
  <c r="J34" i="39"/>
  <c r="I34" i="39"/>
  <c r="J36" i="30"/>
  <c r="I36" i="30"/>
  <c r="J36" i="32"/>
  <c r="I36" i="32"/>
  <c r="J37" i="33"/>
  <c r="I37" i="33"/>
  <c r="J38" i="36"/>
  <c r="I38" i="36"/>
  <c r="J39" i="38"/>
  <c r="I39" i="38"/>
  <c r="J38" i="41"/>
  <c r="I38" i="41"/>
  <c r="J36" i="35"/>
  <c r="I36" i="35"/>
  <c r="J34" i="29"/>
  <c r="I34" i="29"/>
  <c r="J39" i="36"/>
  <c r="I39" i="36"/>
  <c r="J36" i="38"/>
  <c r="I36" i="38"/>
  <c r="J38" i="39"/>
  <c r="I38" i="39"/>
  <c r="J39" i="41"/>
  <c r="I39" i="41"/>
  <c r="J38" i="37"/>
  <c r="I38" i="37"/>
  <c r="J37" i="35"/>
  <c r="I37" i="35"/>
  <c r="J34" i="40"/>
  <c r="I34" i="40"/>
  <c r="J38" i="40"/>
  <c r="I38" i="40"/>
  <c r="J37" i="31"/>
  <c r="I37" i="31"/>
  <c r="J38" i="32"/>
  <c r="I38" i="32"/>
  <c r="J36" i="39"/>
  <c r="I36" i="39"/>
  <c r="J37" i="41"/>
  <c r="I37" i="41"/>
  <c r="J39" i="29"/>
  <c r="I39" i="29"/>
  <c r="J38" i="30"/>
  <c r="I38" i="30"/>
  <c r="J39" i="31"/>
  <c r="I39" i="31"/>
  <c r="J39" i="32"/>
  <c r="I39" i="32"/>
  <c r="J35" i="33"/>
  <c r="I35" i="33"/>
  <c r="J34" i="34"/>
  <c r="I34" i="34"/>
  <c r="J35" i="36"/>
  <c r="I35" i="36"/>
  <c r="J34" i="35"/>
  <c r="I34" i="35"/>
  <c r="J33" i="29"/>
  <c r="I33" i="29"/>
  <c r="J29" i="30"/>
  <c r="I29" i="30"/>
  <c r="J33" i="30"/>
  <c r="I33" i="30"/>
  <c r="J33" i="31"/>
  <c r="I33" i="31"/>
  <c r="J29" i="32"/>
  <c r="I29" i="32"/>
  <c r="J33" i="32"/>
  <c r="I33" i="32"/>
  <c r="J29" i="34"/>
  <c r="I29" i="34"/>
  <c r="J33" i="34"/>
  <c r="I33" i="34"/>
  <c r="J29" i="36"/>
  <c r="I29" i="36"/>
  <c r="J33" i="36"/>
  <c r="I33" i="36"/>
  <c r="J31" i="38"/>
  <c r="I31" i="38"/>
  <c r="J31" i="39"/>
  <c r="I31" i="39"/>
  <c r="J30" i="41"/>
  <c r="I30" i="41"/>
  <c r="J33" i="37"/>
  <c r="I33" i="37"/>
  <c r="J33" i="35"/>
  <c r="I33" i="35"/>
  <c r="J29" i="40"/>
  <c r="I29" i="40"/>
  <c r="J29" i="31"/>
  <c r="I29" i="31"/>
  <c r="J32" i="33"/>
  <c r="I32" i="33"/>
  <c r="J32" i="35"/>
  <c r="I32" i="35"/>
  <c r="F73" i="2"/>
  <c r="F93" i="2" s="1"/>
  <c r="F114" i="2" s="1"/>
  <c r="J32" i="29"/>
  <c r="I32" i="29"/>
  <c r="J30" i="30"/>
  <c r="I30" i="30"/>
  <c r="J30" i="31"/>
  <c r="I30" i="31"/>
  <c r="J30" i="32"/>
  <c r="I30" i="32"/>
  <c r="J29" i="33"/>
  <c r="I29" i="33"/>
  <c r="J30" i="34"/>
  <c r="I30" i="34"/>
  <c r="J30" i="36"/>
  <c r="I30" i="36"/>
  <c r="J32" i="38"/>
  <c r="I32" i="38"/>
  <c r="J32" i="39"/>
  <c r="I32" i="39"/>
  <c r="J31" i="41"/>
  <c r="I31" i="41"/>
  <c r="J29" i="35"/>
  <c r="I29" i="35"/>
  <c r="J30" i="40"/>
  <c r="I30" i="40"/>
  <c r="J29" i="37"/>
  <c r="I29" i="37"/>
  <c r="J30" i="37"/>
  <c r="I30" i="37"/>
  <c r="J31" i="30"/>
  <c r="I31" i="30"/>
  <c r="J31" i="32"/>
  <c r="I31" i="32"/>
  <c r="J31" i="34"/>
  <c r="I31" i="34"/>
  <c r="J31" i="36"/>
  <c r="I31" i="36"/>
  <c r="J29" i="38"/>
  <c r="I29" i="38"/>
  <c r="J29" i="39"/>
  <c r="I29" i="39"/>
  <c r="J33" i="39"/>
  <c r="I33" i="39"/>
  <c r="J32" i="41"/>
  <c r="I32" i="41"/>
  <c r="J31" i="37"/>
  <c r="I31" i="37"/>
  <c r="J30" i="35"/>
  <c r="I30" i="35"/>
  <c r="J32" i="40"/>
  <c r="I32" i="40"/>
  <c r="J30" i="33"/>
  <c r="I30" i="33"/>
  <c r="J33" i="38"/>
  <c r="I33" i="38"/>
  <c r="J31" i="40"/>
  <c r="I31" i="40"/>
  <c r="F70" i="28"/>
  <c r="F90" i="28" s="1"/>
  <c r="F111" i="28" s="1"/>
  <c r="E152" i="28"/>
  <c r="E173" i="28" s="1"/>
  <c r="J31" i="29"/>
  <c r="I31" i="29"/>
  <c r="J31" i="31"/>
  <c r="I31" i="31"/>
  <c r="J31" i="33"/>
  <c r="I31" i="33"/>
  <c r="F73" i="28"/>
  <c r="F93" i="28" s="1"/>
  <c r="F114" i="28" s="1"/>
  <c r="E155" i="28"/>
  <c r="E176" i="28" s="1"/>
  <c r="J29" i="29"/>
  <c r="I29" i="29"/>
  <c r="J30" i="29"/>
  <c r="I30" i="29"/>
  <c r="J32" i="30"/>
  <c r="I32" i="30"/>
  <c r="J32" i="31"/>
  <c r="I32" i="31"/>
  <c r="J32" i="32"/>
  <c r="I32" i="32"/>
  <c r="J33" i="33"/>
  <c r="I33" i="33"/>
  <c r="J32" i="34"/>
  <c r="I32" i="34"/>
  <c r="J32" i="36"/>
  <c r="I32" i="36"/>
  <c r="J30" i="38"/>
  <c r="I30" i="38"/>
  <c r="J30" i="39"/>
  <c r="I30" i="39"/>
  <c r="J29" i="41"/>
  <c r="I29" i="41"/>
  <c r="J33" i="41"/>
  <c r="I33" i="41"/>
  <c r="J32" i="37"/>
  <c r="I32" i="37"/>
  <c r="J31" i="35"/>
  <c r="I31" i="35"/>
  <c r="J33" i="40"/>
  <c r="I33" i="40"/>
  <c r="I149" i="32"/>
  <c r="I132" i="29"/>
  <c r="I149" i="29" s="1"/>
  <c r="I132" i="38"/>
  <c r="I149" i="38" s="1"/>
  <c r="I132" i="35"/>
  <c r="I149" i="35" s="1"/>
  <c r="I132" i="33"/>
  <c r="I149" i="33" s="1"/>
  <c r="E4" i="58"/>
  <c r="A12" i="58" s="1"/>
  <c r="E4" i="56"/>
  <c r="A12" i="56" s="1"/>
  <c r="E4" i="48"/>
  <c r="A12" i="48" s="1"/>
  <c r="E4" i="54"/>
  <c r="A12" i="54" s="1"/>
  <c r="E4" i="66"/>
  <c r="A12" i="66" s="1"/>
  <c r="E79" i="28"/>
  <c r="E99" i="28" s="1"/>
  <c r="E120" i="28" s="1"/>
  <c r="E79" i="2"/>
  <c r="E99" i="2" s="1"/>
  <c r="E120" i="2" s="1"/>
  <c r="E2" i="68"/>
  <c r="E2" i="64"/>
  <c r="E2" i="54"/>
  <c r="E2" i="50"/>
  <c r="E2" i="44"/>
  <c r="E2" i="66"/>
  <c r="E2" i="62"/>
  <c r="E2" i="56"/>
  <c r="E2" i="70"/>
  <c r="E2" i="60"/>
  <c r="E2" i="58"/>
  <c r="E2" i="52"/>
  <c r="E2" i="48"/>
  <c r="E2" i="43"/>
  <c r="B24" i="40"/>
  <c r="B20" i="40"/>
  <c r="B21" i="40"/>
  <c r="B22" i="40"/>
  <c r="B23" i="40"/>
  <c r="B19" i="40"/>
  <c r="B14" i="40"/>
  <c r="B15" i="40"/>
  <c r="B16" i="40"/>
  <c r="B17" i="40"/>
  <c r="B18" i="40"/>
  <c r="B13" i="40"/>
  <c r="B12" i="40"/>
  <c r="B9" i="40"/>
  <c r="B10" i="40"/>
  <c r="B11" i="40"/>
  <c r="B8" i="40"/>
  <c r="B24" i="35"/>
  <c r="B20" i="35"/>
  <c r="B21" i="35"/>
  <c r="B22" i="35"/>
  <c r="B23" i="35"/>
  <c r="B19" i="35"/>
  <c r="B14" i="35"/>
  <c r="B15" i="35"/>
  <c r="B16" i="35"/>
  <c r="B17" i="35"/>
  <c r="B18" i="35"/>
  <c r="B13" i="35"/>
  <c r="B12" i="35"/>
  <c r="B9" i="35"/>
  <c r="B10" i="35"/>
  <c r="B11" i="35"/>
  <c r="B8" i="35"/>
  <c r="B24" i="37"/>
  <c r="B20" i="37"/>
  <c r="B21" i="37"/>
  <c r="B22" i="37"/>
  <c r="B23" i="37"/>
  <c r="B19" i="37"/>
  <c r="B14" i="37"/>
  <c r="B15" i="37"/>
  <c r="B16" i="37"/>
  <c r="B17" i="37"/>
  <c r="B18" i="37"/>
  <c r="B13" i="37"/>
  <c r="B12" i="37"/>
  <c r="B9" i="37"/>
  <c r="B10" i="37"/>
  <c r="B11" i="37"/>
  <c r="B8" i="37"/>
  <c r="B24" i="41"/>
  <c r="B20" i="41"/>
  <c r="B21" i="41"/>
  <c r="B22" i="41"/>
  <c r="B23" i="41"/>
  <c r="B19" i="41"/>
  <c r="B14" i="41"/>
  <c r="B15" i="41"/>
  <c r="B16" i="41"/>
  <c r="B17" i="41"/>
  <c r="B18" i="41"/>
  <c r="B13" i="41"/>
  <c r="B12" i="41"/>
  <c r="B9" i="41"/>
  <c r="B10" i="41"/>
  <c r="B11" i="41"/>
  <c r="B8" i="41"/>
  <c r="B24" i="39"/>
  <c r="B20" i="39"/>
  <c r="B21" i="39"/>
  <c r="B22" i="39"/>
  <c r="B23" i="39"/>
  <c r="B19" i="39"/>
  <c r="B14" i="39"/>
  <c r="B15" i="39"/>
  <c r="B16" i="39"/>
  <c r="B17" i="39"/>
  <c r="B18" i="39"/>
  <c r="B13" i="39"/>
  <c r="B12" i="39"/>
  <c r="B9" i="39"/>
  <c r="B10" i="39"/>
  <c r="B11" i="39"/>
  <c r="B8" i="39"/>
  <c r="B24" i="38"/>
  <c r="B20" i="38"/>
  <c r="B21" i="38"/>
  <c r="B22" i="38"/>
  <c r="B23" i="38"/>
  <c r="B19" i="38"/>
  <c r="B14" i="38"/>
  <c r="B15" i="38"/>
  <c r="B16" i="38"/>
  <c r="B17" i="38"/>
  <c r="B18" i="38"/>
  <c r="B13" i="38"/>
  <c r="B12" i="38"/>
  <c r="B9" i="38"/>
  <c r="B10" i="38"/>
  <c r="B11" i="38"/>
  <c r="B8" i="38"/>
  <c r="B24" i="36"/>
  <c r="B20" i="36"/>
  <c r="B21" i="36"/>
  <c r="B22" i="36"/>
  <c r="B23" i="36"/>
  <c r="B19" i="36"/>
  <c r="B14" i="36"/>
  <c r="B15" i="36"/>
  <c r="B16" i="36"/>
  <c r="B17" i="36"/>
  <c r="B18" i="36"/>
  <c r="B13" i="36"/>
  <c r="B12" i="36"/>
  <c r="B9" i="36"/>
  <c r="B10" i="36"/>
  <c r="B11" i="36"/>
  <c r="B8" i="36"/>
  <c r="B24" i="34"/>
  <c r="B20" i="34"/>
  <c r="B21" i="34"/>
  <c r="B22" i="34"/>
  <c r="B23" i="34"/>
  <c r="B19" i="34"/>
  <c r="B14" i="34"/>
  <c r="B15" i="34"/>
  <c r="B16" i="34"/>
  <c r="B17" i="34"/>
  <c r="B18" i="34"/>
  <c r="B13" i="34"/>
  <c r="B12" i="34"/>
  <c r="B9" i="34"/>
  <c r="B10" i="34"/>
  <c r="B11" i="34"/>
  <c r="B8" i="34"/>
  <c r="B24" i="33"/>
  <c r="B20" i="33"/>
  <c r="B21" i="33"/>
  <c r="B22" i="33"/>
  <c r="B23" i="33"/>
  <c r="B19" i="33"/>
  <c r="B14" i="33"/>
  <c r="B15" i="33"/>
  <c r="B16" i="33"/>
  <c r="B17" i="33"/>
  <c r="B18" i="33"/>
  <c r="B13" i="33"/>
  <c r="B12" i="33"/>
  <c r="B9" i="33"/>
  <c r="B10" i="33"/>
  <c r="B11" i="33"/>
  <c r="B8" i="33"/>
  <c r="B24" i="32"/>
  <c r="B20" i="32"/>
  <c r="B21" i="32"/>
  <c r="B22" i="32"/>
  <c r="B23" i="32"/>
  <c r="B19" i="32"/>
  <c r="B14" i="32"/>
  <c r="B15" i="32"/>
  <c r="B16" i="32"/>
  <c r="B17" i="32"/>
  <c r="B18" i="32"/>
  <c r="B13" i="32"/>
  <c r="B12" i="32"/>
  <c r="B9" i="32"/>
  <c r="B10" i="32"/>
  <c r="B11" i="32"/>
  <c r="B8" i="32"/>
  <c r="B24" i="31"/>
  <c r="B20" i="31"/>
  <c r="B21" i="31"/>
  <c r="B22" i="31"/>
  <c r="B23" i="31"/>
  <c r="B19" i="31"/>
  <c r="B14" i="31"/>
  <c r="B15" i="31"/>
  <c r="B16" i="31"/>
  <c r="B17" i="31"/>
  <c r="B18" i="31"/>
  <c r="B13" i="31"/>
  <c r="B12" i="31"/>
  <c r="B9" i="31"/>
  <c r="B10" i="31"/>
  <c r="B11" i="31"/>
  <c r="B8" i="31"/>
  <c r="B24" i="30"/>
  <c r="B20" i="30"/>
  <c r="B21" i="30"/>
  <c r="B22" i="30"/>
  <c r="B23" i="30"/>
  <c r="B19" i="30"/>
  <c r="B14" i="30"/>
  <c r="B15" i="30"/>
  <c r="B16" i="30"/>
  <c r="B17" i="30"/>
  <c r="B18" i="30"/>
  <c r="B13" i="30"/>
  <c r="B12" i="30"/>
  <c r="B9" i="30"/>
  <c r="B10" i="30"/>
  <c r="B11" i="30"/>
  <c r="B8" i="30"/>
  <c r="B24" i="29"/>
  <c r="B20" i="29"/>
  <c r="B21" i="29"/>
  <c r="B22" i="29"/>
  <c r="B23" i="29"/>
  <c r="B19" i="29"/>
  <c r="B14" i="29"/>
  <c r="B15" i="29"/>
  <c r="B16" i="29"/>
  <c r="B17" i="29"/>
  <c r="B18" i="29"/>
  <c r="B13" i="29"/>
  <c r="B12" i="29"/>
  <c r="B9" i="29"/>
  <c r="B10" i="29"/>
  <c r="B11" i="29"/>
  <c r="B8" i="29"/>
  <c r="D23" i="28"/>
  <c r="D65" i="28" s="1"/>
  <c r="D18" i="28"/>
  <c r="D60" i="28" s="1"/>
  <c r="D19" i="28"/>
  <c r="D61" i="28" s="1"/>
  <c r="D20" i="28"/>
  <c r="D21" i="28"/>
  <c r="D22" i="28"/>
  <c r="D13" i="28"/>
  <c r="D55" i="28" s="1"/>
  <c r="D14" i="28"/>
  <c r="D56" i="28" s="1"/>
  <c r="D15" i="28"/>
  <c r="D16" i="28"/>
  <c r="D17" i="28"/>
  <c r="D12" i="28"/>
  <c r="D11" i="28"/>
  <c r="D8" i="28"/>
  <c r="D9" i="28"/>
  <c r="D10" i="28"/>
  <c r="D52" i="28" s="1"/>
  <c r="D7" i="28"/>
  <c r="D49" i="28" s="1"/>
  <c r="C385" i="16"/>
  <c r="C359" i="16"/>
  <c r="C333" i="16"/>
  <c r="C307" i="16"/>
  <c r="C281" i="16"/>
  <c r="C255" i="16"/>
  <c r="C229" i="16"/>
  <c r="C203" i="16"/>
  <c r="C177" i="16"/>
  <c r="C151" i="16"/>
  <c r="C125" i="16"/>
  <c r="C99" i="16"/>
  <c r="C73" i="16"/>
  <c r="C47" i="16"/>
  <c r="C21" i="16"/>
  <c r="AK7" i="8"/>
  <c r="AL7" i="8"/>
  <c r="AM7" i="8"/>
  <c r="AN7" i="8"/>
  <c r="AO7" i="8"/>
  <c r="AP7" i="8"/>
  <c r="AQ7" i="8"/>
  <c r="AR7" i="8"/>
  <c r="AS7" i="8"/>
  <c r="AT7" i="8"/>
  <c r="AU7" i="8"/>
  <c r="AV7" i="8"/>
  <c r="AW7" i="8"/>
  <c r="AX7" i="8"/>
  <c r="AJ7" i="8"/>
  <c r="L60" i="28" l="1"/>
  <c r="D101" i="28"/>
  <c r="D122" i="28" s="1"/>
  <c r="L65" i="28"/>
  <c r="D90" i="28"/>
  <c r="D111" i="28" s="1"/>
  <c r="L52" i="28"/>
  <c r="D93" i="28"/>
  <c r="D114" i="28" s="1"/>
  <c r="L56" i="28"/>
  <c r="L55" i="28"/>
  <c r="D96" i="28"/>
  <c r="D117" i="28" s="1"/>
  <c r="L61" i="28"/>
  <c r="L8" i="28"/>
  <c r="D50" i="28"/>
  <c r="L22" i="28"/>
  <c r="D64" i="28"/>
  <c r="L12" i="28"/>
  <c r="D54" i="28"/>
  <c r="L20" i="28"/>
  <c r="D62" i="28"/>
  <c r="L9" i="28"/>
  <c r="D51" i="28"/>
  <c r="L17" i="28"/>
  <c r="D59" i="28"/>
  <c r="L16" i="28"/>
  <c r="D58" i="28"/>
  <c r="L49" i="28"/>
  <c r="L11" i="28"/>
  <c r="D53" i="28"/>
  <c r="L15" i="28"/>
  <c r="D57" i="28"/>
  <c r="L21" i="28"/>
  <c r="D63" i="28"/>
  <c r="G81" i="28"/>
  <c r="G101" i="28" s="1"/>
  <c r="G122" i="28" s="1"/>
  <c r="F163" i="28"/>
  <c r="F184" i="28" s="1"/>
  <c r="G81" i="2"/>
  <c r="G101" i="2" s="1"/>
  <c r="G122" i="2" s="1"/>
  <c r="L23" i="28"/>
  <c r="G76" i="2"/>
  <c r="G96" i="2" s="1"/>
  <c r="G117" i="2" s="1"/>
  <c r="G76" i="28"/>
  <c r="G96" i="28" s="1"/>
  <c r="G117" i="28" s="1"/>
  <c r="F158" i="28"/>
  <c r="F179" i="28" s="1"/>
  <c r="G73" i="28"/>
  <c r="G93" i="28" s="1"/>
  <c r="G114" i="28" s="1"/>
  <c r="F155" i="28"/>
  <c r="F176" i="28" s="1"/>
  <c r="G73" i="2"/>
  <c r="G93" i="2" s="1"/>
  <c r="G114" i="2" s="1"/>
  <c r="G70" i="28"/>
  <c r="G90" i="28" s="1"/>
  <c r="G111" i="28" s="1"/>
  <c r="F152" i="28"/>
  <c r="F173" i="28" s="1"/>
  <c r="L10" i="28"/>
  <c r="L14" i="28"/>
  <c r="L13" i="28"/>
  <c r="L19" i="28"/>
  <c r="L18" i="28"/>
  <c r="L7" i="28"/>
  <c r="F79" i="28"/>
  <c r="F99" i="28" s="1"/>
  <c r="F120" i="28" s="1"/>
  <c r="F79" i="2"/>
  <c r="F99" i="2" s="1"/>
  <c r="F120" i="2" s="1"/>
  <c r="D24" i="28"/>
  <c r="N410" i="16"/>
  <c r="N384" i="16"/>
  <c r="N358" i="16"/>
  <c r="N332" i="16"/>
  <c r="N306" i="16"/>
  <c r="N280" i="16"/>
  <c r="N254" i="16"/>
  <c r="N228" i="16"/>
  <c r="N202" i="16"/>
  <c r="N176" i="16"/>
  <c r="N150" i="16"/>
  <c r="N124" i="16"/>
  <c r="N98" i="16"/>
  <c r="N72" i="16"/>
  <c r="N46" i="16"/>
  <c r="C46" i="16"/>
  <c r="C72" i="16"/>
  <c r="C98" i="16"/>
  <c r="C124" i="16"/>
  <c r="C150" i="16"/>
  <c r="C176" i="16"/>
  <c r="C202" i="16"/>
  <c r="C228" i="16"/>
  <c r="C410" i="16"/>
  <c r="C384" i="16"/>
  <c r="C358" i="16"/>
  <c r="C332" i="16"/>
  <c r="C306" i="16"/>
  <c r="C280" i="16"/>
  <c r="C254" i="16"/>
  <c r="G64" i="41"/>
  <c r="E64" i="41"/>
  <c r="C64" i="41"/>
  <c r="D63" i="41"/>
  <c r="H62" i="41"/>
  <c r="G62" i="41"/>
  <c r="E62" i="41"/>
  <c r="C62" i="41"/>
  <c r="G60" i="41"/>
  <c r="C60" i="41"/>
  <c r="G59" i="41"/>
  <c r="C59" i="41"/>
  <c r="G58" i="41"/>
  <c r="C58" i="41"/>
  <c r="G57" i="41"/>
  <c r="C57" i="41"/>
  <c r="G56" i="41"/>
  <c r="C56" i="41"/>
  <c r="G55" i="41"/>
  <c r="C55" i="41"/>
  <c r="G54" i="41"/>
  <c r="C54" i="41"/>
  <c r="G53" i="41"/>
  <c r="C53" i="41"/>
  <c r="G52" i="41"/>
  <c r="C52" i="41"/>
  <c r="G51" i="41"/>
  <c r="C51" i="41"/>
  <c r="G50" i="41"/>
  <c r="C50" i="41"/>
  <c r="G49" i="41"/>
  <c r="A4" i="41"/>
  <c r="J21" i="40"/>
  <c r="B60" i="40"/>
  <c r="B59" i="40"/>
  <c r="B58" i="40"/>
  <c r="B57" i="40"/>
  <c r="B56" i="40"/>
  <c r="B52" i="40"/>
  <c r="A4" i="40"/>
  <c r="J23" i="39"/>
  <c r="J19" i="39"/>
  <c r="J15" i="39"/>
  <c r="J11" i="39"/>
  <c r="A4" i="39"/>
  <c r="J23" i="38"/>
  <c r="B63" i="38"/>
  <c r="B61" i="38"/>
  <c r="J19" i="38"/>
  <c r="J15" i="38"/>
  <c r="J11" i="38"/>
  <c r="A4" i="38"/>
  <c r="B60" i="37"/>
  <c r="B81" i="37" s="1"/>
  <c r="B59" i="37"/>
  <c r="B58" i="37"/>
  <c r="B57" i="37"/>
  <c r="J15" i="37"/>
  <c r="B56" i="37"/>
  <c r="B55" i="37"/>
  <c r="B54" i="37"/>
  <c r="B53" i="37"/>
  <c r="J11" i="37"/>
  <c r="B52" i="37"/>
  <c r="B51" i="37"/>
  <c r="B50" i="37"/>
  <c r="B49" i="37"/>
  <c r="A4" i="37"/>
  <c r="B60" i="36"/>
  <c r="B59" i="36"/>
  <c r="B58" i="36"/>
  <c r="B57" i="36"/>
  <c r="B56" i="36"/>
  <c r="B55" i="36"/>
  <c r="B54" i="36"/>
  <c r="B53" i="36"/>
  <c r="B52" i="36"/>
  <c r="B51" i="36"/>
  <c r="B50" i="36"/>
  <c r="B49" i="36"/>
  <c r="A4" i="36"/>
  <c r="E25" i="35"/>
  <c r="A4" i="35"/>
  <c r="J24" i="34"/>
  <c r="J21" i="34"/>
  <c r="J18" i="34"/>
  <c r="J17" i="34"/>
  <c r="J14" i="34"/>
  <c r="J10" i="34"/>
  <c r="A4" i="34"/>
  <c r="J14" i="33"/>
  <c r="J10" i="33"/>
  <c r="A4" i="33"/>
  <c r="J23" i="32"/>
  <c r="J21" i="32"/>
  <c r="J17" i="32"/>
  <c r="B57" i="32"/>
  <c r="B55" i="32"/>
  <c r="J13" i="32"/>
  <c r="B53" i="32"/>
  <c r="B51" i="32"/>
  <c r="J9" i="32"/>
  <c r="B49" i="32"/>
  <c r="A4" i="32"/>
  <c r="J24" i="31"/>
  <c r="J20" i="31"/>
  <c r="J16" i="31"/>
  <c r="G25" i="31"/>
  <c r="C25" i="31"/>
  <c r="A4" i="31"/>
  <c r="B65" i="30"/>
  <c r="J23" i="30"/>
  <c r="B64" i="30"/>
  <c r="B63" i="30"/>
  <c r="B62" i="30"/>
  <c r="B61" i="30"/>
  <c r="B60" i="30"/>
  <c r="B58" i="30"/>
  <c r="B56" i="30"/>
  <c r="B54" i="30"/>
  <c r="B52" i="30"/>
  <c r="J10" i="30"/>
  <c r="B50" i="30"/>
  <c r="A4" i="30"/>
  <c r="B60" i="29"/>
  <c r="B59" i="29"/>
  <c r="B80" i="29" s="1"/>
  <c r="B58" i="29"/>
  <c r="B57" i="29"/>
  <c r="B78" i="29" s="1"/>
  <c r="B56" i="29"/>
  <c r="B55" i="29"/>
  <c r="B76" i="29" s="1"/>
  <c r="B54" i="29"/>
  <c r="B53" i="29"/>
  <c r="B74" i="29" s="1"/>
  <c r="B52" i="29"/>
  <c r="B51" i="29"/>
  <c r="B72" i="29" s="1"/>
  <c r="B50" i="29"/>
  <c r="F25" i="29"/>
  <c r="D25" i="29"/>
  <c r="A4" i="29"/>
  <c r="L59" i="28" l="1"/>
  <c r="L62" i="28"/>
  <c r="L64" i="28"/>
  <c r="L57" i="28"/>
  <c r="L58" i="28"/>
  <c r="D99" i="28"/>
  <c r="D120" i="28" s="1"/>
  <c r="D161" i="28" s="1"/>
  <c r="D182" i="28" s="1"/>
  <c r="L51" i="28"/>
  <c r="L54" i="28"/>
  <c r="L50" i="28"/>
  <c r="L63" i="28"/>
  <c r="L53" i="28"/>
  <c r="D66" i="28"/>
  <c r="H81" i="2"/>
  <c r="H101" i="2" s="1"/>
  <c r="H122" i="2" s="1"/>
  <c r="H81" i="28"/>
  <c r="H101" i="28" s="1"/>
  <c r="H122" i="28" s="1"/>
  <c r="G163" i="28"/>
  <c r="G184" i="28" s="1"/>
  <c r="H76" i="28"/>
  <c r="H96" i="28" s="1"/>
  <c r="H117" i="28" s="1"/>
  <c r="G158" i="28"/>
  <c r="G179" i="28" s="1"/>
  <c r="H76" i="2"/>
  <c r="H96" i="2" s="1"/>
  <c r="H117" i="2" s="1"/>
  <c r="H73" i="2"/>
  <c r="H93" i="2" s="1"/>
  <c r="H114" i="2" s="1"/>
  <c r="H70" i="28"/>
  <c r="H90" i="28" s="1"/>
  <c r="H111" i="28" s="1"/>
  <c r="G152" i="28"/>
  <c r="G173" i="28" s="1"/>
  <c r="H73" i="28"/>
  <c r="H93" i="28" s="1"/>
  <c r="H114" i="28" s="1"/>
  <c r="G155" i="28"/>
  <c r="G176" i="28" s="1"/>
  <c r="L24" i="28"/>
  <c r="G79" i="28"/>
  <c r="G99" i="28" s="1"/>
  <c r="G120" i="28" s="1"/>
  <c r="G79" i="2"/>
  <c r="G99" i="2" s="1"/>
  <c r="G120" i="2" s="1"/>
  <c r="E25" i="31"/>
  <c r="D25" i="35"/>
  <c r="C25" i="29"/>
  <c r="C25" i="35"/>
  <c r="H25" i="35"/>
  <c r="F25" i="40"/>
  <c r="B25" i="29"/>
  <c r="J9" i="29"/>
  <c r="F74" i="29"/>
  <c r="F115" i="29" s="1"/>
  <c r="F136" i="29" s="1"/>
  <c r="F77" i="29"/>
  <c r="F118" i="29" s="1"/>
  <c r="F139" i="29" s="1"/>
  <c r="F76" i="29"/>
  <c r="F117" i="29" s="1"/>
  <c r="F138" i="29" s="1"/>
  <c r="B49" i="29"/>
  <c r="B70" i="29" s="1"/>
  <c r="B111" i="29" s="1"/>
  <c r="B132" i="29" s="1"/>
  <c r="F72" i="29"/>
  <c r="F113" i="29" s="1"/>
  <c r="F134" i="29" s="1"/>
  <c r="F80" i="29"/>
  <c r="F121" i="29" s="1"/>
  <c r="F142" i="29" s="1"/>
  <c r="F71" i="29"/>
  <c r="F75" i="29"/>
  <c r="F116" i="29" s="1"/>
  <c r="F137" i="29" s="1"/>
  <c r="F79" i="29"/>
  <c r="F120" i="29" s="1"/>
  <c r="F141" i="29" s="1"/>
  <c r="F83" i="29"/>
  <c r="F124" i="29" s="1"/>
  <c r="F145" i="29" s="1"/>
  <c r="F73" i="29"/>
  <c r="F114" i="29" s="1"/>
  <c r="F135" i="29" s="1"/>
  <c r="F78" i="29"/>
  <c r="F81" i="29"/>
  <c r="F122" i="29" s="1"/>
  <c r="F143" i="29" s="1"/>
  <c r="J18" i="30"/>
  <c r="J22" i="30"/>
  <c r="J9" i="30"/>
  <c r="J17" i="30"/>
  <c r="J21" i="30"/>
  <c r="J16" i="30"/>
  <c r="J24" i="30"/>
  <c r="J9" i="31"/>
  <c r="J12" i="31"/>
  <c r="J13" i="31"/>
  <c r="J17" i="31"/>
  <c r="J21" i="31"/>
  <c r="J11" i="31"/>
  <c r="J15" i="31"/>
  <c r="J19" i="31"/>
  <c r="J23" i="31"/>
  <c r="J10" i="31"/>
  <c r="J14" i="31"/>
  <c r="J18" i="31"/>
  <c r="J22" i="31"/>
  <c r="J11" i="32"/>
  <c r="J15" i="32"/>
  <c r="J19" i="32"/>
  <c r="J22" i="32"/>
  <c r="J20" i="32"/>
  <c r="J24" i="32"/>
  <c r="J9" i="33"/>
  <c r="J13" i="33"/>
  <c r="J8" i="33"/>
  <c r="J12" i="33"/>
  <c r="J16" i="33"/>
  <c r="J11" i="33"/>
  <c r="J15" i="33"/>
  <c r="J22" i="34"/>
  <c r="J9" i="34"/>
  <c r="J13" i="34"/>
  <c r="J8" i="34"/>
  <c r="J12" i="34"/>
  <c r="J16" i="34"/>
  <c r="J20" i="34"/>
  <c r="J11" i="34"/>
  <c r="J15" i="34"/>
  <c r="J19" i="34"/>
  <c r="J23" i="34"/>
  <c r="J10" i="38"/>
  <c r="J14" i="38"/>
  <c r="J18" i="38"/>
  <c r="J9" i="38"/>
  <c r="J13" i="38"/>
  <c r="J17" i="38"/>
  <c r="J21" i="38"/>
  <c r="J8" i="38"/>
  <c r="F25" i="38"/>
  <c r="J12" i="38"/>
  <c r="J16" i="38"/>
  <c r="J8" i="39"/>
  <c r="F25" i="39"/>
  <c r="J12" i="39"/>
  <c r="J16" i="39"/>
  <c r="J20" i="39"/>
  <c r="J24" i="39"/>
  <c r="D25" i="39"/>
  <c r="J10" i="39"/>
  <c r="J14" i="39"/>
  <c r="J18" i="39"/>
  <c r="J22" i="39"/>
  <c r="E25" i="39"/>
  <c r="J9" i="39"/>
  <c r="J13" i="39"/>
  <c r="J17" i="39"/>
  <c r="J21" i="39"/>
  <c r="J24" i="41"/>
  <c r="J23" i="41"/>
  <c r="J10" i="37"/>
  <c r="J14" i="37"/>
  <c r="J9" i="37"/>
  <c r="J13" i="37"/>
  <c r="J17" i="37"/>
  <c r="J8" i="37"/>
  <c r="J12" i="37"/>
  <c r="J16" i="37"/>
  <c r="J12" i="35"/>
  <c r="J22" i="40"/>
  <c r="B50" i="40"/>
  <c r="B71" i="40" s="1"/>
  <c r="B112" i="40" s="1"/>
  <c r="B133" i="40" s="1"/>
  <c r="J20" i="40"/>
  <c r="J24" i="40"/>
  <c r="B73" i="40"/>
  <c r="B114" i="40" s="1"/>
  <c r="B135" i="40" s="1"/>
  <c r="J23" i="40"/>
  <c r="B54" i="40"/>
  <c r="B75" i="40" s="1"/>
  <c r="B116" i="40" s="1"/>
  <c r="D49" i="41"/>
  <c r="D70" i="41" s="1"/>
  <c r="D25" i="41"/>
  <c r="H49" i="41"/>
  <c r="H70" i="41" s="1"/>
  <c r="H25" i="41"/>
  <c r="D50" i="41"/>
  <c r="D71" i="41" s="1"/>
  <c r="H50" i="41"/>
  <c r="H71" i="41" s="1"/>
  <c r="D51" i="41"/>
  <c r="D72" i="41" s="1"/>
  <c r="H51" i="41"/>
  <c r="H72" i="41" s="1"/>
  <c r="D52" i="41"/>
  <c r="D73" i="41" s="1"/>
  <c r="H52" i="41"/>
  <c r="H73" i="41" s="1"/>
  <c r="D53" i="41"/>
  <c r="D74" i="41" s="1"/>
  <c r="H53" i="41"/>
  <c r="H74" i="41" s="1"/>
  <c r="D54" i="41"/>
  <c r="D75" i="41" s="1"/>
  <c r="H54" i="41"/>
  <c r="H75" i="41" s="1"/>
  <c r="D55" i="41"/>
  <c r="D76" i="41" s="1"/>
  <c r="H55" i="41"/>
  <c r="H76" i="41" s="1"/>
  <c r="D56" i="41"/>
  <c r="D77" i="41" s="1"/>
  <c r="H56" i="41"/>
  <c r="H77" i="41" s="1"/>
  <c r="D57" i="41"/>
  <c r="D78" i="41" s="1"/>
  <c r="H57" i="41"/>
  <c r="H78" i="41" s="1"/>
  <c r="D58" i="41"/>
  <c r="D79" i="41" s="1"/>
  <c r="H58" i="41"/>
  <c r="H79" i="41" s="1"/>
  <c r="D59" i="41"/>
  <c r="D80" i="41" s="1"/>
  <c r="H59" i="41"/>
  <c r="H80" i="41" s="1"/>
  <c r="D60" i="41"/>
  <c r="D81" i="41" s="1"/>
  <c r="H60" i="41"/>
  <c r="H81" i="41" s="1"/>
  <c r="D61" i="41"/>
  <c r="D82" i="41" s="1"/>
  <c r="J20" i="41"/>
  <c r="E25" i="41"/>
  <c r="E49" i="41"/>
  <c r="E70" i="41" s="1"/>
  <c r="J8" i="41"/>
  <c r="E50" i="41"/>
  <c r="E71" i="41" s="1"/>
  <c r="J9" i="41"/>
  <c r="E51" i="41"/>
  <c r="E72" i="41" s="1"/>
  <c r="J10" i="41"/>
  <c r="E52" i="41"/>
  <c r="E73" i="41" s="1"/>
  <c r="J11" i="41"/>
  <c r="E53" i="41"/>
  <c r="E74" i="41" s="1"/>
  <c r="J12" i="41"/>
  <c r="E54" i="41"/>
  <c r="E75" i="41" s="1"/>
  <c r="J13" i="41"/>
  <c r="E55" i="41"/>
  <c r="E76" i="41" s="1"/>
  <c r="J14" i="41"/>
  <c r="E56" i="41"/>
  <c r="E77" i="41" s="1"/>
  <c r="J15" i="41"/>
  <c r="E57" i="41"/>
  <c r="E78" i="41" s="1"/>
  <c r="J16" i="41"/>
  <c r="E58" i="41"/>
  <c r="E79" i="41" s="1"/>
  <c r="J17" i="41"/>
  <c r="E59" i="41"/>
  <c r="E80" i="41" s="1"/>
  <c r="J18" i="41"/>
  <c r="E60" i="41"/>
  <c r="E81" i="41" s="1"/>
  <c r="J19" i="41"/>
  <c r="E61" i="41"/>
  <c r="E82" i="41" s="1"/>
  <c r="B49" i="41"/>
  <c r="B70" i="41" s="1"/>
  <c r="B25" i="41"/>
  <c r="F25" i="41"/>
  <c r="F49" i="41"/>
  <c r="F70" i="41" s="1"/>
  <c r="B50" i="41"/>
  <c r="B71" i="41" s="1"/>
  <c r="F50" i="41"/>
  <c r="F71" i="41" s="1"/>
  <c r="B51" i="41"/>
  <c r="B72" i="41" s="1"/>
  <c r="F51" i="41"/>
  <c r="F72" i="41" s="1"/>
  <c r="B52" i="41"/>
  <c r="B73" i="41" s="1"/>
  <c r="F52" i="41"/>
  <c r="F73" i="41" s="1"/>
  <c r="B53" i="41"/>
  <c r="B74" i="41" s="1"/>
  <c r="F53" i="41"/>
  <c r="F74" i="41" s="1"/>
  <c r="B54" i="41"/>
  <c r="B75" i="41" s="1"/>
  <c r="F54" i="41"/>
  <c r="F75" i="41" s="1"/>
  <c r="B55" i="41"/>
  <c r="B76" i="41" s="1"/>
  <c r="F55" i="41"/>
  <c r="F76" i="41" s="1"/>
  <c r="B56" i="41"/>
  <c r="B77" i="41" s="1"/>
  <c r="F56" i="41"/>
  <c r="F77" i="41" s="1"/>
  <c r="B57" i="41"/>
  <c r="B78" i="41" s="1"/>
  <c r="F57" i="41"/>
  <c r="F78" i="41" s="1"/>
  <c r="C49" i="41"/>
  <c r="C70" i="41" s="1"/>
  <c r="C25" i="41"/>
  <c r="B58" i="41"/>
  <c r="B79" i="41" s="1"/>
  <c r="E63" i="41"/>
  <c r="E84" i="41" s="1"/>
  <c r="E65" i="41"/>
  <c r="E86" i="41" s="1"/>
  <c r="H83" i="41"/>
  <c r="C85" i="41"/>
  <c r="E83" i="41"/>
  <c r="J21" i="41"/>
  <c r="J22" i="41"/>
  <c r="E85" i="41"/>
  <c r="H61" i="41"/>
  <c r="H82" i="41" s="1"/>
  <c r="H63" i="41"/>
  <c r="H84" i="41" s="1"/>
  <c r="H64" i="41"/>
  <c r="H85" i="41" s="1"/>
  <c r="H65" i="41"/>
  <c r="H86" i="41" s="1"/>
  <c r="G70" i="41"/>
  <c r="G71" i="41"/>
  <c r="G72" i="41"/>
  <c r="G73" i="41"/>
  <c r="G74" i="41"/>
  <c r="G75" i="41"/>
  <c r="G76" i="41"/>
  <c r="G77" i="41"/>
  <c r="G78" i="41"/>
  <c r="G79" i="41"/>
  <c r="G80" i="41"/>
  <c r="G81" i="41"/>
  <c r="D84" i="41"/>
  <c r="G85" i="41"/>
  <c r="F59" i="41"/>
  <c r="F80" i="41" s="1"/>
  <c r="B60" i="41"/>
  <c r="B81" i="41" s="1"/>
  <c r="F60" i="41"/>
  <c r="F81" i="41" s="1"/>
  <c r="B61" i="41"/>
  <c r="B82" i="41" s="1"/>
  <c r="F61" i="41"/>
  <c r="F82" i="41" s="1"/>
  <c r="B62" i="41"/>
  <c r="B83" i="41" s="1"/>
  <c r="F62" i="41"/>
  <c r="F83" i="41" s="1"/>
  <c r="B63" i="41"/>
  <c r="B84" i="41" s="1"/>
  <c r="F63" i="41"/>
  <c r="F84" i="41" s="1"/>
  <c r="B64" i="41"/>
  <c r="B85" i="41" s="1"/>
  <c r="F64" i="41"/>
  <c r="F85" i="41" s="1"/>
  <c r="B65" i="41"/>
  <c r="B86" i="41" s="1"/>
  <c r="F65" i="41"/>
  <c r="F86" i="41" s="1"/>
  <c r="B59" i="41"/>
  <c r="C83" i="41"/>
  <c r="C61" i="41"/>
  <c r="C82" i="41" s="1"/>
  <c r="G61" i="41"/>
  <c r="G82" i="41" s="1"/>
  <c r="C63" i="41"/>
  <c r="C84" i="41" s="1"/>
  <c r="G63" i="41"/>
  <c r="G84" i="41" s="1"/>
  <c r="C65" i="41"/>
  <c r="C86" i="41" s="1"/>
  <c r="G65" i="41"/>
  <c r="G25" i="41"/>
  <c r="F58" i="41"/>
  <c r="F79" i="41" s="1"/>
  <c r="D62" i="41"/>
  <c r="D83" i="41" s="1"/>
  <c r="D64" i="41"/>
  <c r="D85" i="41" s="1"/>
  <c r="D65" i="41"/>
  <c r="D86" i="41" s="1"/>
  <c r="C71" i="41"/>
  <c r="C72" i="41"/>
  <c r="C73" i="41"/>
  <c r="C74" i="41"/>
  <c r="C75" i="41"/>
  <c r="C76" i="41"/>
  <c r="C77" i="41"/>
  <c r="C78" i="41"/>
  <c r="C79" i="41"/>
  <c r="C80" i="41"/>
  <c r="C81" i="41"/>
  <c r="G83" i="41"/>
  <c r="G66" i="40"/>
  <c r="D25" i="40"/>
  <c r="J8" i="40"/>
  <c r="J9" i="40"/>
  <c r="J10" i="40"/>
  <c r="J11" i="40"/>
  <c r="J12" i="40"/>
  <c r="J13" i="40"/>
  <c r="J14" i="40"/>
  <c r="J15" i="40"/>
  <c r="J16" i="40"/>
  <c r="J17" i="40"/>
  <c r="J18" i="40"/>
  <c r="J19" i="40"/>
  <c r="E25" i="40"/>
  <c r="B77" i="40"/>
  <c r="B79" i="40"/>
  <c r="B81" i="40"/>
  <c r="B61" i="40"/>
  <c r="B82" i="40" s="1"/>
  <c r="B62" i="40"/>
  <c r="B83" i="40" s="1"/>
  <c r="B63" i="40"/>
  <c r="B64" i="40"/>
  <c r="B85" i="40" s="1"/>
  <c r="B65" i="40"/>
  <c r="B86" i="40" s="1"/>
  <c r="B25" i="40"/>
  <c r="B49" i="40"/>
  <c r="B70" i="40" s="1"/>
  <c r="B51" i="40"/>
  <c r="B53" i="40"/>
  <c r="B74" i="40" s="1"/>
  <c r="B55" i="40"/>
  <c r="B76" i="40" s="1"/>
  <c r="H25" i="40"/>
  <c r="C25" i="40"/>
  <c r="G25" i="40"/>
  <c r="B78" i="40"/>
  <c r="B80" i="40"/>
  <c r="C49" i="39"/>
  <c r="C25" i="39"/>
  <c r="G49" i="39"/>
  <c r="G25" i="39"/>
  <c r="C50" i="39"/>
  <c r="C71" i="39" s="1"/>
  <c r="G50" i="39"/>
  <c r="G71" i="39" s="1"/>
  <c r="C51" i="39"/>
  <c r="C72" i="39" s="1"/>
  <c r="G51" i="39"/>
  <c r="G72" i="39" s="1"/>
  <c r="C52" i="39"/>
  <c r="G52" i="39"/>
  <c r="C53" i="39"/>
  <c r="C74" i="39" s="1"/>
  <c r="G53" i="39"/>
  <c r="G74" i="39" s="1"/>
  <c r="C54" i="39"/>
  <c r="C75" i="39" s="1"/>
  <c r="G54" i="39"/>
  <c r="G75" i="39" s="1"/>
  <c r="C55" i="39"/>
  <c r="G55" i="39"/>
  <c r="C56" i="39"/>
  <c r="G56" i="39"/>
  <c r="C57" i="39"/>
  <c r="C78" i="39" s="1"/>
  <c r="G57" i="39"/>
  <c r="G78" i="39" s="1"/>
  <c r="C58" i="39"/>
  <c r="C79" i="39" s="1"/>
  <c r="G58" i="39"/>
  <c r="G79" i="39" s="1"/>
  <c r="C59" i="39"/>
  <c r="C80" i="39" s="1"/>
  <c r="G59" i="39"/>
  <c r="G80" i="39" s="1"/>
  <c r="C60" i="39"/>
  <c r="G60" i="39"/>
  <c r="C61" i="39"/>
  <c r="G61" i="39"/>
  <c r="C62" i="39"/>
  <c r="C83" i="39" s="1"/>
  <c r="G62" i="39"/>
  <c r="G83" i="39" s="1"/>
  <c r="C63" i="39"/>
  <c r="C84" i="39" s="1"/>
  <c r="G63" i="39"/>
  <c r="G84" i="39" s="1"/>
  <c r="C64" i="39"/>
  <c r="C85" i="39" s="1"/>
  <c r="G64" i="39"/>
  <c r="G85" i="39" s="1"/>
  <c r="D65" i="39"/>
  <c r="D86" i="39" s="1"/>
  <c r="H65" i="39"/>
  <c r="H86" i="39" s="1"/>
  <c r="D49" i="39"/>
  <c r="D50" i="39"/>
  <c r="D71" i="39" s="1"/>
  <c r="D51" i="39"/>
  <c r="D72" i="39" s="1"/>
  <c r="D52" i="39"/>
  <c r="D53" i="39"/>
  <c r="D74" i="39" s="1"/>
  <c r="D54" i="39"/>
  <c r="D75" i="39" s="1"/>
  <c r="D55" i="39"/>
  <c r="D56" i="39"/>
  <c r="D57" i="39"/>
  <c r="D78" i="39" s="1"/>
  <c r="D58" i="39"/>
  <c r="D79" i="39" s="1"/>
  <c r="D59" i="39"/>
  <c r="D80" i="39" s="1"/>
  <c r="D60" i="39"/>
  <c r="D61" i="39"/>
  <c r="D62" i="39"/>
  <c r="D83" i="39" s="1"/>
  <c r="D63" i="39"/>
  <c r="D84" i="39" s="1"/>
  <c r="D64" i="39"/>
  <c r="D85" i="39" s="1"/>
  <c r="E65" i="39"/>
  <c r="E86" i="39" s="1"/>
  <c r="E49" i="39"/>
  <c r="E50" i="39"/>
  <c r="E71" i="39" s="1"/>
  <c r="E51" i="39"/>
  <c r="E72" i="39" s="1"/>
  <c r="E52" i="39"/>
  <c r="E53" i="39"/>
  <c r="E74" i="39" s="1"/>
  <c r="E54" i="39"/>
  <c r="E75" i="39" s="1"/>
  <c r="E55" i="39"/>
  <c r="E56" i="39"/>
  <c r="E57" i="39"/>
  <c r="E78" i="39" s="1"/>
  <c r="E58" i="39"/>
  <c r="E79" i="39" s="1"/>
  <c r="E59" i="39"/>
  <c r="E80" i="39" s="1"/>
  <c r="E60" i="39"/>
  <c r="E61" i="39"/>
  <c r="E62" i="39"/>
  <c r="E83" i="39" s="1"/>
  <c r="E63" i="39"/>
  <c r="E84" i="39" s="1"/>
  <c r="E64" i="39"/>
  <c r="E85" i="39" s="1"/>
  <c r="B49" i="39"/>
  <c r="B70" i="39" s="1"/>
  <c r="F49" i="39"/>
  <c r="B50" i="39"/>
  <c r="B71" i="39" s="1"/>
  <c r="F50" i="39"/>
  <c r="F71" i="39" s="1"/>
  <c r="B51" i="39"/>
  <c r="B72" i="39" s="1"/>
  <c r="F51" i="39"/>
  <c r="F72" i="39" s="1"/>
  <c r="B52" i="39"/>
  <c r="B73" i="39" s="1"/>
  <c r="F52" i="39"/>
  <c r="B53" i="39"/>
  <c r="B74" i="39" s="1"/>
  <c r="F53" i="39"/>
  <c r="F74" i="39" s="1"/>
  <c r="B54" i="39"/>
  <c r="F54" i="39"/>
  <c r="F75" i="39" s="1"/>
  <c r="B55" i="39"/>
  <c r="B76" i="39" s="1"/>
  <c r="F55" i="39"/>
  <c r="B56" i="39"/>
  <c r="B77" i="39" s="1"/>
  <c r="F56" i="39"/>
  <c r="B57" i="39"/>
  <c r="B78" i="39" s="1"/>
  <c r="F57" i="39"/>
  <c r="F78" i="39" s="1"/>
  <c r="B58" i="39"/>
  <c r="F58" i="39"/>
  <c r="F79" i="39" s="1"/>
  <c r="B59" i="39"/>
  <c r="B80" i="39" s="1"/>
  <c r="F59" i="39"/>
  <c r="F80" i="39" s="1"/>
  <c r="B60" i="39"/>
  <c r="B81" i="39" s="1"/>
  <c r="F60" i="39"/>
  <c r="B61" i="39"/>
  <c r="B82" i="39" s="1"/>
  <c r="F61" i="39"/>
  <c r="B62" i="39"/>
  <c r="F62" i="39"/>
  <c r="F83" i="39" s="1"/>
  <c r="B63" i="39"/>
  <c r="B84" i="39" s="1"/>
  <c r="F63" i="39"/>
  <c r="F84" i="39" s="1"/>
  <c r="B64" i="39"/>
  <c r="B85" i="39" s="1"/>
  <c r="F64" i="39"/>
  <c r="F85" i="39" s="1"/>
  <c r="B65" i="39"/>
  <c r="B86" i="39" s="1"/>
  <c r="F65" i="39"/>
  <c r="F86" i="39" s="1"/>
  <c r="B25" i="39"/>
  <c r="H25" i="39"/>
  <c r="H49" i="39"/>
  <c r="H50" i="39"/>
  <c r="H71" i="39" s="1"/>
  <c r="H51" i="39"/>
  <c r="H72" i="39" s="1"/>
  <c r="H52" i="39"/>
  <c r="H53" i="39"/>
  <c r="H74" i="39" s="1"/>
  <c r="H54" i="39"/>
  <c r="H75" i="39" s="1"/>
  <c r="H55" i="39"/>
  <c r="H56" i="39"/>
  <c r="H57" i="39"/>
  <c r="H78" i="39" s="1"/>
  <c r="H58" i="39"/>
  <c r="H79" i="39" s="1"/>
  <c r="H59" i="39"/>
  <c r="H80" i="39" s="1"/>
  <c r="H60" i="39"/>
  <c r="H61" i="39"/>
  <c r="H62" i="39"/>
  <c r="H83" i="39" s="1"/>
  <c r="H63" i="39"/>
  <c r="H84" i="39" s="1"/>
  <c r="H64" i="39"/>
  <c r="H85" i="39" s="1"/>
  <c r="C65" i="39"/>
  <c r="C86" i="39" s="1"/>
  <c r="G65" i="39"/>
  <c r="G86" i="39" s="1"/>
  <c r="E25" i="38"/>
  <c r="B49" i="38"/>
  <c r="B70" i="38" s="1"/>
  <c r="B51" i="38"/>
  <c r="B72" i="38" s="1"/>
  <c r="B53" i="38"/>
  <c r="B74" i="38" s="1"/>
  <c r="B55" i="38"/>
  <c r="B76" i="38" s="1"/>
  <c r="B84" i="38"/>
  <c r="J20" i="38"/>
  <c r="J22" i="38"/>
  <c r="J24" i="38"/>
  <c r="B82" i="38"/>
  <c r="B25" i="38"/>
  <c r="H25" i="38"/>
  <c r="B50" i="38"/>
  <c r="B52" i="38"/>
  <c r="B54" i="38"/>
  <c r="B75" i="38" s="1"/>
  <c r="B56" i="38"/>
  <c r="B57" i="38"/>
  <c r="B58" i="38"/>
  <c r="B59" i="38"/>
  <c r="B80" i="38" s="1"/>
  <c r="B60" i="38"/>
  <c r="B62" i="38"/>
  <c r="B83" i="38" s="1"/>
  <c r="B64" i="38"/>
  <c r="B65" i="38"/>
  <c r="B86" i="38" s="1"/>
  <c r="C25" i="38"/>
  <c r="G25" i="38"/>
  <c r="D25" i="38"/>
  <c r="B61" i="37"/>
  <c r="B62" i="37"/>
  <c r="B83" i="37" s="1"/>
  <c r="B63" i="37"/>
  <c r="B64" i="37"/>
  <c r="B65" i="37"/>
  <c r="B25" i="37"/>
  <c r="F25" i="37"/>
  <c r="J51" i="37"/>
  <c r="J53" i="37"/>
  <c r="J55" i="37"/>
  <c r="J57" i="37"/>
  <c r="C25" i="37"/>
  <c r="G25" i="37"/>
  <c r="J49" i="37"/>
  <c r="B70" i="37"/>
  <c r="B71" i="37"/>
  <c r="B72" i="37"/>
  <c r="B73" i="37"/>
  <c r="B74" i="37"/>
  <c r="B75" i="37"/>
  <c r="B76" i="37"/>
  <c r="B77" i="37"/>
  <c r="B78" i="37"/>
  <c r="B79" i="37"/>
  <c r="B80" i="37"/>
  <c r="D25" i="37"/>
  <c r="H25" i="37"/>
  <c r="J18" i="37"/>
  <c r="J19" i="37"/>
  <c r="J20" i="37"/>
  <c r="J21" i="37"/>
  <c r="J22" i="37"/>
  <c r="J23" i="37"/>
  <c r="J24" i="37"/>
  <c r="E25" i="37"/>
  <c r="B122" i="37"/>
  <c r="B61" i="36"/>
  <c r="B82" i="36" s="1"/>
  <c r="B62" i="36"/>
  <c r="B83" i="36" s="1"/>
  <c r="B63" i="36"/>
  <c r="B84" i="36" s="1"/>
  <c r="B64" i="36"/>
  <c r="B85" i="36" s="1"/>
  <c r="B65" i="36"/>
  <c r="B25" i="36"/>
  <c r="F25" i="36"/>
  <c r="C25" i="36"/>
  <c r="B79" i="36"/>
  <c r="B81" i="36"/>
  <c r="D25" i="36"/>
  <c r="B70" i="36"/>
  <c r="B71" i="36"/>
  <c r="B72" i="36"/>
  <c r="B73" i="36"/>
  <c r="B74" i="36"/>
  <c r="B75" i="36"/>
  <c r="B76" i="36"/>
  <c r="B77" i="36"/>
  <c r="B78" i="36"/>
  <c r="J8" i="36"/>
  <c r="J9" i="36"/>
  <c r="J10" i="36"/>
  <c r="J11" i="36"/>
  <c r="J12" i="36"/>
  <c r="J13" i="36"/>
  <c r="J15" i="36"/>
  <c r="J16" i="36"/>
  <c r="J17" i="36"/>
  <c r="J18" i="36"/>
  <c r="J19" i="36"/>
  <c r="J20" i="36"/>
  <c r="J21" i="36"/>
  <c r="J22" i="36"/>
  <c r="J23" i="36"/>
  <c r="J24" i="36"/>
  <c r="E25" i="36"/>
  <c r="B80" i="36"/>
  <c r="J8" i="35"/>
  <c r="J9" i="35"/>
  <c r="J10" i="35"/>
  <c r="J11" i="35"/>
  <c r="J13" i="35"/>
  <c r="J14" i="35"/>
  <c r="J15" i="35"/>
  <c r="J16" i="35"/>
  <c r="J17" i="35"/>
  <c r="J18" i="35"/>
  <c r="J19" i="35"/>
  <c r="J20" i="35"/>
  <c r="J21" i="35"/>
  <c r="J22" i="35"/>
  <c r="J23" i="35"/>
  <c r="J24" i="35"/>
  <c r="G25" i="35"/>
  <c r="B49" i="35"/>
  <c r="B70" i="35" s="1"/>
  <c r="B25" i="35"/>
  <c r="F25" i="35"/>
  <c r="B50" i="35"/>
  <c r="B71" i="35" s="1"/>
  <c r="B51" i="35"/>
  <c r="B72" i="35" s="1"/>
  <c r="B52" i="35"/>
  <c r="B73" i="35" s="1"/>
  <c r="B53" i="35"/>
  <c r="B74" i="35" s="1"/>
  <c r="B54" i="35"/>
  <c r="B75" i="35" s="1"/>
  <c r="B55" i="35"/>
  <c r="B76" i="35" s="1"/>
  <c r="B56" i="35"/>
  <c r="B77" i="35" s="1"/>
  <c r="B57" i="35"/>
  <c r="B78" i="35" s="1"/>
  <c r="B58" i="35"/>
  <c r="B79" i="35" s="1"/>
  <c r="B59" i="35"/>
  <c r="B80" i="35" s="1"/>
  <c r="B60" i="35"/>
  <c r="B81" i="35" s="1"/>
  <c r="B61" i="35"/>
  <c r="B82" i="35" s="1"/>
  <c r="B62" i="35"/>
  <c r="B83" i="35" s="1"/>
  <c r="B63" i="35"/>
  <c r="B84" i="35" s="1"/>
  <c r="B64" i="35"/>
  <c r="B65" i="35"/>
  <c r="B86" i="35" s="1"/>
  <c r="D25" i="34"/>
  <c r="H25" i="34"/>
  <c r="B50" i="34"/>
  <c r="B71" i="34" s="1"/>
  <c r="B52" i="34"/>
  <c r="B73" i="34" s="1"/>
  <c r="B54" i="34"/>
  <c r="B75" i="34" s="1"/>
  <c r="B56" i="34"/>
  <c r="B77" i="34" s="1"/>
  <c r="B58" i="34"/>
  <c r="B79" i="34" s="1"/>
  <c r="B60" i="34"/>
  <c r="B81" i="34" s="1"/>
  <c r="E25" i="34"/>
  <c r="B25" i="34"/>
  <c r="F25" i="34"/>
  <c r="B49" i="34"/>
  <c r="B70" i="34" s="1"/>
  <c r="B51" i="34"/>
  <c r="B53" i="34"/>
  <c r="B55" i="34"/>
  <c r="B76" i="34" s="1"/>
  <c r="B57" i="34"/>
  <c r="B59" i="34"/>
  <c r="B80" i="34" s="1"/>
  <c r="B61" i="34"/>
  <c r="C25" i="34"/>
  <c r="G25" i="34"/>
  <c r="B62" i="34"/>
  <c r="B63" i="34"/>
  <c r="B64" i="34"/>
  <c r="B85" i="34" s="1"/>
  <c r="B65" i="34"/>
  <c r="B61" i="33"/>
  <c r="B82" i="33" s="1"/>
  <c r="J20" i="33"/>
  <c r="B65" i="33"/>
  <c r="J24" i="33"/>
  <c r="D25" i="33"/>
  <c r="H25" i="33"/>
  <c r="B60" i="33"/>
  <c r="J19" i="33"/>
  <c r="B64" i="33"/>
  <c r="B85" i="33" s="1"/>
  <c r="J23" i="33"/>
  <c r="G25" i="33"/>
  <c r="F25" i="33"/>
  <c r="E25" i="33"/>
  <c r="B59" i="33"/>
  <c r="B80" i="33" s="1"/>
  <c r="J18" i="33"/>
  <c r="B63" i="33"/>
  <c r="J22" i="33"/>
  <c r="C25" i="33"/>
  <c r="B49" i="33"/>
  <c r="B50" i="33"/>
  <c r="B51" i="33"/>
  <c r="B52" i="33"/>
  <c r="B53" i="33"/>
  <c r="B54" i="33"/>
  <c r="B55" i="33"/>
  <c r="B56" i="33"/>
  <c r="B57" i="33"/>
  <c r="B58" i="33"/>
  <c r="J17" i="33"/>
  <c r="B62" i="33"/>
  <c r="B83" i="33" s="1"/>
  <c r="J21" i="33"/>
  <c r="B25" i="33"/>
  <c r="D25" i="32"/>
  <c r="H25" i="32"/>
  <c r="B50" i="32"/>
  <c r="B71" i="32" s="1"/>
  <c r="B52" i="32"/>
  <c r="B73" i="32" s="1"/>
  <c r="B54" i="32"/>
  <c r="B75" i="32" s="1"/>
  <c r="B56" i="32"/>
  <c r="J56" i="32" s="1"/>
  <c r="B58" i="32"/>
  <c r="J58" i="32" s="1"/>
  <c r="B60" i="32"/>
  <c r="B81" i="32" s="1"/>
  <c r="B70" i="32"/>
  <c r="B72" i="32"/>
  <c r="B74" i="32"/>
  <c r="B76" i="32"/>
  <c r="B78" i="32"/>
  <c r="J8" i="32"/>
  <c r="J10" i="32"/>
  <c r="J12" i="32"/>
  <c r="J14" i="32"/>
  <c r="J16" i="32"/>
  <c r="J18" i="32"/>
  <c r="E25" i="32"/>
  <c r="B25" i="32"/>
  <c r="F25" i="32"/>
  <c r="B59" i="32"/>
  <c r="B61" i="32"/>
  <c r="C25" i="32"/>
  <c r="G25" i="32"/>
  <c r="B62" i="32"/>
  <c r="J62" i="32" s="1"/>
  <c r="B63" i="32"/>
  <c r="B64" i="32"/>
  <c r="B65" i="32"/>
  <c r="J8" i="31"/>
  <c r="B49" i="31"/>
  <c r="B25" i="31"/>
  <c r="F25" i="31"/>
  <c r="B50" i="31"/>
  <c r="B71" i="31" s="1"/>
  <c r="B51" i="31"/>
  <c r="B72" i="31" s="1"/>
  <c r="B52" i="31"/>
  <c r="B73" i="31" s="1"/>
  <c r="B53" i="31"/>
  <c r="B74" i="31" s="1"/>
  <c r="B54" i="31"/>
  <c r="B75" i="31" s="1"/>
  <c r="B55" i="31"/>
  <c r="B76" i="31" s="1"/>
  <c r="B56" i="31"/>
  <c r="B77" i="31" s="1"/>
  <c r="B57" i="31"/>
  <c r="B78" i="31" s="1"/>
  <c r="B58" i="31"/>
  <c r="B79" i="31" s="1"/>
  <c r="B59" i="31"/>
  <c r="B80" i="31" s="1"/>
  <c r="B60" i="31"/>
  <c r="B81" i="31" s="1"/>
  <c r="B61" i="31"/>
  <c r="B82" i="31" s="1"/>
  <c r="B62" i="31"/>
  <c r="B83" i="31" s="1"/>
  <c r="B63" i="31"/>
  <c r="B84" i="31" s="1"/>
  <c r="B64" i="31"/>
  <c r="B85" i="31" s="1"/>
  <c r="H25" i="31"/>
  <c r="D25" i="31"/>
  <c r="B65" i="31"/>
  <c r="B86" i="31" s="1"/>
  <c r="B84" i="30"/>
  <c r="B82" i="30"/>
  <c r="B86" i="30"/>
  <c r="J8" i="30"/>
  <c r="B71" i="30"/>
  <c r="B73" i="30"/>
  <c r="B75" i="30"/>
  <c r="B77" i="30"/>
  <c r="B79" i="30"/>
  <c r="B81" i="30"/>
  <c r="B83" i="30"/>
  <c r="B85" i="30"/>
  <c r="B25" i="30"/>
  <c r="B49" i="30"/>
  <c r="B70" i="30" s="1"/>
  <c r="B51" i="30"/>
  <c r="B53" i="30"/>
  <c r="B74" i="30" s="1"/>
  <c r="B55" i="30"/>
  <c r="B57" i="30"/>
  <c r="B78" i="30" s="1"/>
  <c r="B59" i="30"/>
  <c r="J11" i="30"/>
  <c r="J12" i="30"/>
  <c r="J13" i="30"/>
  <c r="J14" i="30"/>
  <c r="J15" i="30"/>
  <c r="J19" i="30"/>
  <c r="J20" i="30"/>
  <c r="J58" i="30"/>
  <c r="B71" i="29"/>
  <c r="F112" i="29"/>
  <c r="F133" i="29" s="1"/>
  <c r="B75" i="29"/>
  <c r="B79" i="29"/>
  <c r="B117" i="29"/>
  <c r="B115" i="29"/>
  <c r="B73" i="29"/>
  <c r="B77" i="29"/>
  <c r="B81" i="29"/>
  <c r="B113" i="29"/>
  <c r="B121" i="29"/>
  <c r="B119" i="29"/>
  <c r="G25" i="29"/>
  <c r="C79" i="29"/>
  <c r="C82" i="29"/>
  <c r="C83" i="29"/>
  <c r="C84" i="29"/>
  <c r="C85" i="29"/>
  <c r="C86" i="29"/>
  <c r="D82" i="29"/>
  <c r="H73" i="29"/>
  <c r="D81" i="29"/>
  <c r="H81" i="29"/>
  <c r="H82" i="29"/>
  <c r="H83" i="29"/>
  <c r="H84" i="29"/>
  <c r="D85" i="29"/>
  <c r="H85" i="29"/>
  <c r="D86" i="29"/>
  <c r="H25" i="29"/>
  <c r="D71" i="29"/>
  <c r="G72" i="29"/>
  <c r="G74" i="29"/>
  <c r="D75" i="29"/>
  <c r="G76" i="29"/>
  <c r="G78" i="29"/>
  <c r="G80" i="29"/>
  <c r="E70" i="29"/>
  <c r="E71" i="29"/>
  <c r="E72" i="29"/>
  <c r="E73" i="29"/>
  <c r="E74" i="29"/>
  <c r="E75" i="29"/>
  <c r="E76" i="29"/>
  <c r="E77" i="29"/>
  <c r="E78" i="29"/>
  <c r="E79" i="29"/>
  <c r="E80" i="29"/>
  <c r="E81" i="29"/>
  <c r="G70" i="29"/>
  <c r="D77" i="29"/>
  <c r="J8" i="29"/>
  <c r="J12" i="29"/>
  <c r="J13" i="29"/>
  <c r="J14" i="29"/>
  <c r="J17" i="29"/>
  <c r="E82" i="29"/>
  <c r="E83" i="29"/>
  <c r="E84" i="29"/>
  <c r="E86" i="29"/>
  <c r="E25" i="29"/>
  <c r="C70" i="29"/>
  <c r="C72" i="29"/>
  <c r="H72" i="29"/>
  <c r="C74" i="29"/>
  <c r="C76" i="29"/>
  <c r="H76" i="29"/>
  <c r="C78" i="29"/>
  <c r="C80" i="29"/>
  <c r="G81" i="29"/>
  <c r="G82" i="29"/>
  <c r="G83" i="29"/>
  <c r="G84" i="29"/>
  <c r="G85" i="29"/>
  <c r="G86" i="29"/>
  <c r="F70" i="29"/>
  <c r="C73" i="29"/>
  <c r="H70" i="29"/>
  <c r="H71" i="29"/>
  <c r="D73" i="29"/>
  <c r="H74" i="29"/>
  <c r="H75" i="29"/>
  <c r="H77" i="29"/>
  <c r="H78" i="29"/>
  <c r="H79" i="29"/>
  <c r="H80" i="29"/>
  <c r="D83" i="29"/>
  <c r="H86" i="29"/>
  <c r="J10" i="29"/>
  <c r="J11" i="29"/>
  <c r="J15" i="29"/>
  <c r="J16" i="29"/>
  <c r="J18" i="29"/>
  <c r="J19" i="29"/>
  <c r="J20" i="29"/>
  <c r="J21" i="29"/>
  <c r="J22" i="29"/>
  <c r="E85" i="29"/>
  <c r="J23" i="29"/>
  <c r="J24" i="29"/>
  <c r="F82" i="29"/>
  <c r="F84" i="29"/>
  <c r="F85" i="29"/>
  <c r="F86" i="29"/>
  <c r="D72" i="29"/>
  <c r="J52" i="29"/>
  <c r="D74" i="29"/>
  <c r="G75" i="29"/>
  <c r="D76" i="29"/>
  <c r="G77" i="29"/>
  <c r="D78" i="29"/>
  <c r="G79" i="29"/>
  <c r="D80" i="29"/>
  <c r="B61" i="29"/>
  <c r="B62" i="29"/>
  <c r="B63" i="29"/>
  <c r="J63" i="29" s="1"/>
  <c r="B64" i="29"/>
  <c r="B85" i="29" s="1"/>
  <c r="B65" i="29"/>
  <c r="D84" i="29"/>
  <c r="H45" i="1"/>
  <c r="J45" i="1" s="1"/>
  <c r="G45" i="1"/>
  <c r="F45" i="1"/>
  <c r="C45" i="1"/>
  <c r="H44" i="1"/>
  <c r="J44" i="1" s="1"/>
  <c r="G44" i="1"/>
  <c r="F44" i="1"/>
  <c r="C44" i="1"/>
  <c r="H43" i="1"/>
  <c r="J43" i="1" s="1"/>
  <c r="G43" i="1"/>
  <c r="F43" i="1"/>
  <c r="C43" i="1"/>
  <c r="H42" i="1"/>
  <c r="J42" i="1" s="1"/>
  <c r="G42" i="1"/>
  <c r="F42" i="1"/>
  <c r="C42" i="1"/>
  <c r="H41" i="1"/>
  <c r="J41" i="1" s="1"/>
  <c r="G41" i="1"/>
  <c r="F41" i="1"/>
  <c r="E41" i="1"/>
  <c r="D41" i="1"/>
  <c r="C41" i="1"/>
  <c r="B41" i="1"/>
  <c r="H40" i="1"/>
  <c r="J40" i="1" s="1"/>
  <c r="G40" i="1"/>
  <c r="F40" i="1"/>
  <c r="E40" i="1"/>
  <c r="D40" i="1"/>
  <c r="C40" i="1"/>
  <c r="B40" i="1"/>
  <c r="H39" i="1"/>
  <c r="J39" i="1" s="1"/>
  <c r="G39" i="1"/>
  <c r="F39" i="1"/>
  <c r="C39" i="1"/>
  <c r="H38" i="1"/>
  <c r="J38" i="1" s="1"/>
  <c r="G38" i="1"/>
  <c r="F38" i="1"/>
  <c r="E38" i="1"/>
  <c r="D38" i="1"/>
  <c r="C38" i="1"/>
  <c r="H37" i="1"/>
  <c r="J37" i="1" s="1"/>
  <c r="G37" i="1"/>
  <c r="F37" i="1"/>
  <c r="C37" i="1"/>
  <c r="H36" i="1"/>
  <c r="J36" i="1" s="1"/>
  <c r="G36" i="1"/>
  <c r="F36" i="1"/>
  <c r="C36" i="1"/>
  <c r="H35" i="1"/>
  <c r="J35" i="1" s="1"/>
  <c r="G35" i="1"/>
  <c r="F35" i="1"/>
  <c r="E35" i="1"/>
  <c r="D35" i="1"/>
  <c r="C35" i="1"/>
  <c r="B35" i="1"/>
  <c r="H34" i="1"/>
  <c r="J34" i="1" s="1"/>
  <c r="G34" i="1"/>
  <c r="F34" i="1"/>
  <c r="C34" i="1"/>
  <c r="H33" i="1"/>
  <c r="J33" i="1" s="1"/>
  <c r="G33" i="1"/>
  <c r="F33" i="1"/>
  <c r="E33" i="1"/>
  <c r="D33" i="1"/>
  <c r="C33" i="1"/>
  <c r="B33" i="1"/>
  <c r="H32" i="1"/>
  <c r="J32" i="1" s="1"/>
  <c r="G32" i="1"/>
  <c r="F32" i="1"/>
  <c r="C32" i="1"/>
  <c r="H31" i="1"/>
  <c r="J31" i="1" s="1"/>
  <c r="G31" i="1"/>
  <c r="F31" i="1"/>
  <c r="E31" i="1"/>
  <c r="D31" i="1"/>
  <c r="C31" i="1"/>
  <c r="B31" i="1"/>
  <c r="A12" i="23"/>
  <c r="L66" i="28" l="1"/>
  <c r="N66" i="28" s="1"/>
  <c r="J50" i="40"/>
  <c r="I81" i="28"/>
  <c r="I101" i="28" s="1"/>
  <c r="I122" i="28" s="1"/>
  <c r="H163" i="28"/>
  <c r="H184" i="28" s="1"/>
  <c r="I81" i="2"/>
  <c r="I101" i="2" s="1"/>
  <c r="I122" i="2" s="1"/>
  <c r="D163" i="28"/>
  <c r="D184" i="28" s="1"/>
  <c r="I76" i="2"/>
  <c r="I96" i="2" s="1"/>
  <c r="I117" i="2" s="1"/>
  <c r="I76" i="28"/>
  <c r="I96" i="28" s="1"/>
  <c r="I117" i="28" s="1"/>
  <c r="H158" i="28"/>
  <c r="H179" i="28" s="1"/>
  <c r="I73" i="28"/>
  <c r="I93" i="28" s="1"/>
  <c r="I114" i="28" s="1"/>
  <c r="H155" i="28"/>
  <c r="H176" i="28" s="1"/>
  <c r="I70" i="28"/>
  <c r="I90" i="28" s="1"/>
  <c r="I111" i="28" s="1"/>
  <c r="I73" i="2"/>
  <c r="I93" i="2" s="1"/>
  <c r="I114" i="2" s="1"/>
  <c r="G127" i="39"/>
  <c r="G148" i="39" s="1"/>
  <c r="H124" i="39"/>
  <c r="H145" i="39" s="1"/>
  <c r="H120" i="39"/>
  <c r="H141" i="39" s="1"/>
  <c r="H116" i="39"/>
  <c r="H137" i="39" s="1"/>
  <c r="H112" i="39"/>
  <c r="H133" i="39" s="1"/>
  <c r="F127" i="39"/>
  <c r="F148" i="39" s="1"/>
  <c r="F125" i="39"/>
  <c r="F146" i="39" s="1"/>
  <c r="F82" i="39"/>
  <c r="F121" i="39"/>
  <c r="F142" i="39" s="1"/>
  <c r="F119" i="39"/>
  <c r="F140" i="39" s="1"/>
  <c r="F76" i="39"/>
  <c r="F115" i="39"/>
  <c r="F136" i="39" s="1"/>
  <c r="F113" i="39"/>
  <c r="F134" i="39" s="1"/>
  <c r="F70" i="39"/>
  <c r="E124" i="39"/>
  <c r="E145" i="39" s="1"/>
  <c r="E120" i="39"/>
  <c r="E141" i="39" s="1"/>
  <c r="E116" i="39"/>
  <c r="E137" i="39" s="1"/>
  <c r="E112" i="39"/>
  <c r="E133" i="39" s="1"/>
  <c r="D125" i="39"/>
  <c r="D146" i="39" s="1"/>
  <c r="D121" i="39"/>
  <c r="D142" i="39" s="1"/>
  <c r="D76" i="39"/>
  <c r="D97" i="1"/>
  <c r="D118" i="1" s="1"/>
  <c r="D113" i="39"/>
  <c r="D134" i="39" s="1"/>
  <c r="D127" i="39"/>
  <c r="D148" i="39" s="1"/>
  <c r="C125" i="39"/>
  <c r="C146" i="39" s="1"/>
  <c r="C82" i="39"/>
  <c r="C121" i="39"/>
  <c r="C142" i="39" s="1"/>
  <c r="C119" i="39"/>
  <c r="C140" i="39" s="1"/>
  <c r="C76" i="39"/>
  <c r="C97" i="1"/>
  <c r="C118" i="1" s="1"/>
  <c r="C115" i="39"/>
  <c r="C136" i="39" s="1"/>
  <c r="C113" i="39"/>
  <c r="C134" i="39" s="1"/>
  <c r="G70" i="39"/>
  <c r="C120" i="41"/>
  <c r="C141" i="41" s="1"/>
  <c r="C116" i="41"/>
  <c r="C137" i="41" s="1"/>
  <c r="C112" i="41"/>
  <c r="C133" i="41" s="1"/>
  <c r="F120" i="41"/>
  <c r="F141" i="41" s="1"/>
  <c r="G125" i="41"/>
  <c r="G146" i="41" s="1"/>
  <c r="C124" i="41"/>
  <c r="C145" i="41" s="1"/>
  <c r="F126" i="41"/>
  <c r="F147" i="41" s="1"/>
  <c r="F124" i="41"/>
  <c r="F145" i="41" s="1"/>
  <c r="F122" i="41"/>
  <c r="F143" i="41" s="1"/>
  <c r="D125" i="41"/>
  <c r="D146" i="41" s="1"/>
  <c r="G119" i="41"/>
  <c r="G140" i="41" s="1"/>
  <c r="G115" i="41"/>
  <c r="G136" i="41" s="1"/>
  <c r="G111" i="41"/>
  <c r="G132" i="41" s="1"/>
  <c r="H123" i="41"/>
  <c r="H144" i="41" s="1"/>
  <c r="E124" i="41"/>
  <c r="E145" i="41" s="1"/>
  <c r="E125" i="41"/>
  <c r="E146" i="41" s="1"/>
  <c r="F119" i="41"/>
  <c r="F140" i="41" s="1"/>
  <c r="F117" i="41"/>
  <c r="F138" i="41" s="1"/>
  <c r="F115" i="41"/>
  <c r="F136" i="41" s="1"/>
  <c r="F113" i="41"/>
  <c r="F134" i="41" s="1"/>
  <c r="F111" i="41"/>
  <c r="F132" i="41" s="1"/>
  <c r="E123" i="41"/>
  <c r="E144" i="41" s="1"/>
  <c r="E121" i="41"/>
  <c r="E142" i="41" s="1"/>
  <c r="E119" i="41"/>
  <c r="E140" i="41" s="1"/>
  <c r="E117" i="41"/>
  <c r="E138" i="41" s="1"/>
  <c r="E115" i="41"/>
  <c r="E136" i="41" s="1"/>
  <c r="E113" i="41"/>
  <c r="E134" i="41" s="1"/>
  <c r="E111" i="41"/>
  <c r="E132" i="41" s="1"/>
  <c r="H122" i="41"/>
  <c r="H143" i="41" s="1"/>
  <c r="H120" i="41"/>
  <c r="H141" i="41" s="1"/>
  <c r="H118" i="41"/>
  <c r="H139" i="41" s="1"/>
  <c r="H116" i="41"/>
  <c r="H137" i="41" s="1"/>
  <c r="H114" i="41"/>
  <c r="H135" i="41" s="1"/>
  <c r="H112" i="41"/>
  <c r="H133" i="41" s="1"/>
  <c r="C127" i="39"/>
  <c r="C148" i="39" s="1"/>
  <c r="H82" i="39"/>
  <c r="H119" i="39"/>
  <c r="H140" i="39" s="1"/>
  <c r="H115" i="39"/>
  <c r="H136" i="39" s="1"/>
  <c r="H70" i="39"/>
  <c r="E82" i="39"/>
  <c r="E119" i="39"/>
  <c r="E140" i="39" s="1"/>
  <c r="E115" i="39"/>
  <c r="E136" i="39" s="1"/>
  <c r="E70" i="39"/>
  <c r="D124" i="39"/>
  <c r="D145" i="39" s="1"/>
  <c r="D120" i="39"/>
  <c r="D141" i="39" s="1"/>
  <c r="D116" i="39"/>
  <c r="D137" i="39" s="1"/>
  <c r="D112" i="39"/>
  <c r="D133" i="39" s="1"/>
  <c r="G126" i="39"/>
  <c r="G147" i="39" s="1"/>
  <c r="G124" i="39"/>
  <c r="G145" i="39" s="1"/>
  <c r="G81" i="39"/>
  <c r="G120" i="39"/>
  <c r="G141" i="39" s="1"/>
  <c r="G77" i="39"/>
  <c r="G116" i="39"/>
  <c r="G137" i="39" s="1"/>
  <c r="G73" i="39"/>
  <c r="G112" i="39"/>
  <c r="G133" i="39" s="1"/>
  <c r="G124" i="41"/>
  <c r="G145" i="41" s="1"/>
  <c r="C119" i="41"/>
  <c r="C140" i="41" s="1"/>
  <c r="C115" i="41"/>
  <c r="C136" i="41" s="1"/>
  <c r="D127" i="41"/>
  <c r="D148" i="41" s="1"/>
  <c r="C125" i="41"/>
  <c r="C146" i="41" s="1"/>
  <c r="G122" i="41"/>
  <c r="G143" i="41" s="1"/>
  <c r="G118" i="41"/>
  <c r="G139" i="41" s="1"/>
  <c r="G114" i="41"/>
  <c r="G135" i="41" s="1"/>
  <c r="H127" i="41"/>
  <c r="H148" i="41" s="1"/>
  <c r="E126" i="41"/>
  <c r="E147" i="41" s="1"/>
  <c r="C126" i="41"/>
  <c r="C147" i="41" s="1"/>
  <c r="D122" i="41"/>
  <c r="D143" i="41" s="1"/>
  <c r="D120" i="41"/>
  <c r="D141" i="41" s="1"/>
  <c r="D118" i="41"/>
  <c r="D139" i="41" s="1"/>
  <c r="D116" i="41"/>
  <c r="D137" i="41" s="1"/>
  <c r="D114" i="41"/>
  <c r="D135" i="41" s="1"/>
  <c r="D112" i="41"/>
  <c r="D133" i="41" s="1"/>
  <c r="D111" i="41"/>
  <c r="D132" i="41" s="1"/>
  <c r="H126" i="39"/>
  <c r="H147" i="39" s="1"/>
  <c r="H81" i="39"/>
  <c r="H77" i="39"/>
  <c r="H73" i="39"/>
  <c r="F126" i="39"/>
  <c r="F147" i="39" s="1"/>
  <c r="F124" i="39"/>
  <c r="F145" i="39" s="1"/>
  <c r="F81" i="39"/>
  <c r="F120" i="39"/>
  <c r="F141" i="39" s="1"/>
  <c r="F77" i="39"/>
  <c r="F116" i="39"/>
  <c r="F137" i="39" s="1"/>
  <c r="F73" i="39"/>
  <c r="F112" i="39"/>
  <c r="F133" i="39" s="1"/>
  <c r="E126" i="39"/>
  <c r="E147" i="39" s="1"/>
  <c r="E81" i="39"/>
  <c r="E102" i="1"/>
  <c r="E123" i="1" s="1"/>
  <c r="E77" i="39"/>
  <c r="E73" i="39"/>
  <c r="E94" i="1"/>
  <c r="E115" i="1" s="1"/>
  <c r="E127" i="39"/>
  <c r="E148" i="39" s="1"/>
  <c r="D82" i="39"/>
  <c r="D119" i="39"/>
  <c r="D140" i="39" s="1"/>
  <c r="D115" i="39"/>
  <c r="D136" i="39" s="1"/>
  <c r="D70" i="39"/>
  <c r="C126" i="39"/>
  <c r="C147" i="39" s="1"/>
  <c r="C124" i="39"/>
  <c r="C145" i="39" s="1"/>
  <c r="C81" i="39"/>
  <c r="C102" i="1"/>
  <c r="C123" i="1" s="1"/>
  <c r="C120" i="39"/>
  <c r="C141" i="39" s="1"/>
  <c r="C77" i="39"/>
  <c r="C116" i="39"/>
  <c r="C137" i="39" s="1"/>
  <c r="C73" i="39"/>
  <c r="C94" i="1"/>
  <c r="C115" i="1" s="1"/>
  <c r="C112" i="39"/>
  <c r="C133" i="39" s="1"/>
  <c r="C70" i="39"/>
  <c r="C122" i="41"/>
  <c r="C143" i="41" s="1"/>
  <c r="C118" i="41"/>
  <c r="C139" i="41" s="1"/>
  <c r="C114" i="41"/>
  <c r="C135" i="41" s="1"/>
  <c r="D126" i="41"/>
  <c r="D147" i="41" s="1"/>
  <c r="G123" i="41"/>
  <c r="G144" i="41" s="1"/>
  <c r="F127" i="41"/>
  <c r="F148" i="41" s="1"/>
  <c r="F125" i="41"/>
  <c r="F146" i="41" s="1"/>
  <c r="F123" i="41"/>
  <c r="F144" i="41" s="1"/>
  <c r="F121" i="41"/>
  <c r="F142" i="41" s="1"/>
  <c r="G121" i="41"/>
  <c r="G142" i="41" s="1"/>
  <c r="G117" i="41"/>
  <c r="G138" i="41" s="1"/>
  <c r="G113" i="41"/>
  <c r="G134" i="41" s="1"/>
  <c r="H126" i="41"/>
  <c r="H147" i="41" s="1"/>
  <c r="H124" i="41"/>
  <c r="H145" i="41" s="1"/>
  <c r="F118" i="41"/>
  <c r="F139" i="41" s="1"/>
  <c r="F116" i="41"/>
  <c r="F137" i="41" s="1"/>
  <c r="F114" i="41"/>
  <c r="F135" i="41" s="1"/>
  <c r="F112" i="41"/>
  <c r="F133" i="41" s="1"/>
  <c r="E122" i="41"/>
  <c r="E143" i="41" s="1"/>
  <c r="E120" i="41"/>
  <c r="E141" i="41" s="1"/>
  <c r="E118" i="41"/>
  <c r="E139" i="41" s="1"/>
  <c r="E116" i="41"/>
  <c r="E137" i="41" s="1"/>
  <c r="E114" i="41"/>
  <c r="E135" i="41" s="1"/>
  <c r="E112" i="41"/>
  <c r="E133" i="41" s="1"/>
  <c r="H121" i="41"/>
  <c r="H142" i="41" s="1"/>
  <c r="H119" i="41"/>
  <c r="H140" i="41" s="1"/>
  <c r="H117" i="41"/>
  <c r="H138" i="41" s="1"/>
  <c r="H115" i="41"/>
  <c r="H136" i="41" s="1"/>
  <c r="H113" i="41"/>
  <c r="H134" i="41" s="1"/>
  <c r="J25" i="29"/>
  <c r="H125" i="39"/>
  <c r="H146" i="39" s="1"/>
  <c r="H121" i="39"/>
  <c r="H142" i="39" s="1"/>
  <c r="H76" i="39"/>
  <c r="H113" i="39"/>
  <c r="H134" i="39" s="1"/>
  <c r="E125" i="39"/>
  <c r="E146" i="39" s="1"/>
  <c r="E121" i="39"/>
  <c r="E142" i="39" s="1"/>
  <c r="E76" i="39"/>
  <c r="E97" i="1"/>
  <c r="E118" i="1" s="1"/>
  <c r="E113" i="39"/>
  <c r="E134" i="39" s="1"/>
  <c r="D126" i="39"/>
  <c r="D147" i="39" s="1"/>
  <c r="D81" i="39"/>
  <c r="D102" i="1"/>
  <c r="D123" i="1" s="1"/>
  <c r="D77" i="39"/>
  <c r="D73" i="39"/>
  <c r="D94" i="1"/>
  <c r="D115" i="1" s="1"/>
  <c r="H127" i="39"/>
  <c r="H148" i="39" s="1"/>
  <c r="G125" i="39"/>
  <c r="G146" i="39" s="1"/>
  <c r="G82" i="39"/>
  <c r="G121" i="39"/>
  <c r="G142" i="39" s="1"/>
  <c r="G119" i="39"/>
  <c r="G140" i="39" s="1"/>
  <c r="G76" i="39"/>
  <c r="G115" i="39"/>
  <c r="G136" i="39" s="1"/>
  <c r="G113" i="39"/>
  <c r="G134" i="39" s="1"/>
  <c r="C121" i="41"/>
  <c r="C142" i="41" s="1"/>
  <c r="C117" i="41"/>
  <c r="C138" i="41" s="1"/>
  <c r="C113" i="41"/>
  <c r="C134" i="41" s="1"/>
  <c r="D124" i="41"/>
  <c r="D145" i="41" s="1"/>
  <c r="C127" i="41"/>
  <c r="C148" i="41" s="1"/>
  <c r="C123" i="41"/>
  <c r="C144" i="41" s="1"/>
  <c r="G126" i="41"/>
  <c r="G147" i="41" s="1"/>
  <c r="G120" i="41"/>
  <c r="G141" i="41" s="1"/>
  <c r="G116" i="41"/>
  <c r="G137" i="41" s="1"/>
  <c r="G112" i="41"/>
  <c r="G133" i="41" s="1"/>
  <c r="H125" i="41"/>
  <c r="H146" i="41" s="1"/>
  <c r="E127" i="41"/>
  <c r="E148" i="41" s="1"/>
  <c r="C111" i="41"/>
  <c r="C132" i="41" s="1"/>
  <c r="D123" i="41"/>
  <c r="D144" i="41" s="1"/>
  <c r="D121" i="41"/>
  <c r="D142" i="41" s="1"/>
  <c r="D119" i="41"/>
  <c r="D140" i="41" s="1"/>
  <c r="D117" i="41"/>
  <c r="D138" i="41" s="1"/>
  <c r="D115" i="41"/>
  <c r="D136" i="41" s="1"/>
  <c r="D113" i="41"/>
  <c r="D134" i="41" s="1"/>
  <c r="H111" i="41"/>
  <c r="H132" i="41" s="1"/>
  <c r="C100" i="1"/>
  <c r="C121" i="1" s="1"/>
  <c r="D152" i="28"/>
  <c r="D173" i="28" s="1"/>
  <c r="D158" i="28"/>
  <c r="D155" i="28"/>
  <c r="F161" i="28"/>
  <c r="F182" i="28" s="1"/>
  <c r="H79" i="28"/>
  <c r="H99" i="28" s="1"/>
  <c r="H120" i="28" s="1"/>
  <c r="E161" i="28"/>
  <c r="E182" i="28" s="1"/>
  <c r="D100" i="1"/>
  <c r="D121" i="1" s="1"/>
  <c r="H79" i="2"/>
  <c r="H99" i="2" s="1"/>
  <c r="H120" i="2" s="1"/>
  <c r="J78" i="37"/>
  <c r="J62" i="34"/>
  <c r="J57" i="40"/>
  <c r="J62" i="30"/>
  <c r="J63" i="32"/>
  <c r="J54" i="30"/>
  <c r="J64" i="32"/>
  <c r="B77" i="32"/>
  <c r="J77" i="32" s="1"/>
  <c r="J61" i="29"/>
  <c r="J56" i="30"/>
  <c r="J55" i="32"/>
  <c r="J74" i="37"/>
  <c r="J53" i="32"/>
  <c r="J50" i="30"/>
  <c r="F66" i="30"/>
  <c r="J62" i="29"/>
  <c r="J65" i="29"/>
  <c r="H66" i="32"/>
  <c r="J63" i="40"/>
  <c r="G66" i="41"/>
  <c r="J51" i="36"/>
  <c r="J64" i="30"/>
  <c r="J49" i="29"/>
  <c r="J59" i="41"/>
  <c r="J62" i="39"/>
  <c r="H66" i="34"/>
  <c r="J65" i="32"/>
  <c r="B79" i="32"/>
  <c r="B120" i="32" s="1"/>
  <c r="F66" i="29"/>
  <c r="F119" i="29"/>
  <c r="F140" i="29" s="1"/>
  <c r="J54" i="29"/>
  <c r="B83" i="29"/>
  <c r="B124" i="29" s="1"/>
  <c r="J60" i="29"/>
  <c r="J50" i="29"/>
  <c r="J59" i="29"/>
  <c r="G66" i="29"/>
  <c r="J58" i="29"/>
  <c r="J56" i="29"/>
  <c r="D66" i="30"/>
  <c r="J63" i="30"/>
  <c r="H66" i="30"/>
  <c r="J61" i="30"/>
  <c r="J65" i="30"/>
  <c r="E66" i="31"/>
  <c r="G66" i="32"/>
  <c r="J61" i="32"/>
  <c r="B86" i="32"/>
  <c r="B127" i="32" s="1"/>
  <c r="J65" i="34"/>
  <c r="D66" i="34"/>
  <c r="J63" i="34"/>
  <c r="G66" i="34"/>
  <c r="J54" i="36"/>
  <c r="F66" i="36"/>
  <c r="J53" i="36"/>
  <c r="E66" i="36"/>
  <c r="D66" i="36"/>
  <c r="J50" i="36"/>
  <c r="J56" i="36"/>
  <c r="B66" i="36"/>
  <c r="J64" i="38"/>
  <c r="E66" i="38"/>
  <c r="J61" i="38"/>
  <c r="J58" i="39"/>
  <c r="J54" i="39"/>
  <c r="J25" i="39"/>
  <c r="B83" i="39"/>
  <c r="B124" i="39" s="1"/>
  <c r="B145" i="39" s="1"/>
  <c r="G86" i="41"/>
  <c r="G66" i="37"/>
  <c r="D66" i="37"/>
  <c r="E66" i="37"/>
  <c r="J60" i="37"/>
  <c r="J52" i="37"/>
  <c r="J50" i="37"/>
  <c r="B66" i="37"/>
  <c r="J64" i="35"/>
  <c r="G66" i="35"/>
  <c r="J56" i="40"/>
  <c r="D66" i="40"/>
  <c r="H66" i="40"/>
  <c r="J59" i="40"/>
  <c r="J52" i="40"/>
  <c r="J73" i="40"/>
  <c r="J64" i="40"/>
  <c r="J54" i="40"/>
  <c r="H87" i="41"/>
  <c r="E87" i="41"/>
  <c r="F87" i="41"/>
  <c r="D87" i="41"/>
  <c r="J65" i="41"/>
  <c r="J64" i="41"/>
  <c r="J63" i="41"/>
  <c r="J62" i="41"/>
  <c r="J61" i="41"/>
  <c r="J60" i="41"/>
  <c r="B80" i="41"/>
  <c r="B87" i="41" s="1"/>
  <c r="J58" i="41"/>
  <c r="C66" i="41"/>
  <c r="J57" i="41"/>
  <c r="J56" i="41"/>
  <c r="J55" i="41"/>
  <c r="J54" i="41"/>
  <c r="J53" i="41"/>
  <c r="J52" i="41"/>
  <c r="J51" i="41"/>
  <c r="J50" i="41"/>
  <c r="B127" i="41"/>
  <c r="B148" i="41" s="1"/>
  <c r="B126" i="41"/>
  <c r="B147" i="41" s="1"/>
  <c r="J85" i="41"/>
  <c r="B125" i="41"/>
  <c r="B146" i="41" s="1"/>
  <c r="J84" i="41"/>
  <c r="B124" i="41"/>
  <c r="B145" i="41" s="1"/>
  <c r="J83" i="41"/>
  <c r="B123" i="41"/>
  <c r="B144" i="41" s="1"/>
  <c r="J82" i="41"/>
  <c r="B122" i="41"/>
  <c r="B143" i="41" s="1"/>
  <c r="J81" i="41"/>
  <c r="B120" i="41"/>
  <c r="B141" i="41" s="1"/>
  <c r="J79" i="41"/>
  <c r="B119" i="41"/>
  <c r="B140" i="41" s="1"/>
  <c r="J78" i="41"/>
  <c r="B118" i="41"/>
  <c r="B139" i="41" s="1"/>
  <c r="J77" i="41"/>
  <c r="B117" i="41"/>
  <c r="B138" i="41" s="1"/>
  <c r="J76" i="41"/>
  <c r="B116" i="41"/>
  <c r="B137" i="41" s="1"/>
  <c r="J75" i="41"/>
  <c r="B115" i="41"/>
  <c r="B136" i="41" s="1"/>
  <c r="J74" i="41"/>
  <c r="B114" i="41"/>
  <c r="B135" i="41" s="1"/>
  <c r="J73" i="41"/>
  <c r="B113" i="41"/>
  <c r="B134" i="41" s="1"/>
  <c r="J72" i="41"/>
  <c r="B112" i="41"/>
  <c r="B133" i="41" s="1"/>
  <c r="J71" i="41"/>
  <c r="J25" i="41"/>
  <c r="F66" i="41"/>
  <c r="B66" i="41"/>
  <c r="J49" i="41"/>
  <c r="E66" i="41"/>
  <c r="C87" i="41"/>
  <c r="B111" i="41"/>
  <c r="B132" i="41" s="1"/>
  <c r="J70" i="41"/>
  <c r="H66" i="41"/>
  <c r="D66" i="41"/>
  <c r="B115" i="40"/>
  <c r="B136" i="40" s="1"/>
  <c r="J74" i="40"/>
  <c r="B111" i="40"/>
  <c r="B132" i="40" s="1"/>
  <c r="J70" i="40"/>
  <c r="B127" i="40"/>
  <c r="B148" i="40" s="1"/>
  <c r="J86" i="40"/>
  <c r="B123" i="40"/>
  <c r="B144" i="40" s="1"/>
  <c r="J82" i="40"/>
  <c r="F87" i="40"/>
  <c r="B117" i="40"/>
  <c r="J76" i="40"/>
  <c r="J25" i="40"/>
  <c r="J62" i="40"/>
  <c r="B120" i="40"/>
  <c r="B141" i="40" s="1"/>
  <c r="J79" i="40"/>
  <c r="D87" i="40"/>
  <c r="J58" i="40"/>
  <c r="J51" i="40"/>
  <c r="B126" i="40"/>
  <c r="B147" i="40" s="1"/>
  <c r="J85" i="40"/>
  <c r="B118" i="40"/>
  <c r="B139" i="40" s="1"/>
  <c r="J60" i="40"/>
  <c r="B121" i="40"/>
  <c r="B142" i="40" s="1"/>
  <c r="C87" i="40"/>
  <c r="J55" i="40"/>
  <c r="B84" i="40"/>
  <c r="F66" i="40"/>
  <c r="E87" i="40"/>
  <c r="H87" i="40"/>
  <c r="E66" i="40"/>
  <c r="B72" i="40"/>
  <c r="B137" i="40"/>
  <c r="B119" i="40"/>
  <c r="J78" i="40"/>
  <c r="C66" i="40"/>
  <c r="G87" i="40"/>
  <c r="J53" i="40"/>
  <c r="B66" i="40"/>
  <c r="J49" i="40"/>
  <c r="J65" i="40"/>
  <c r="B124" i="40"/>
  <c r="B145" i="40" s="1"/>
  <c r="J83" i="40"/>
  <c r="J61" i="40"/>
  <c r="B122" i="40"/>
  <c r="B143" i="40" s="1"/>
  <c r="J81" i="40"/>
  <c r="B122" i="39"/>
  <c r="B143" i="39" s="1"/>
  <c r="B118" i="39"/>
  <c r="B139" i="39" s="1"/>
  <c r="B114" i="39"/>
  <c r="B135" i="39" s="1"/>
  <c r="B121" i="39"/>
  <c r="B142" i="39" s="1"/>
  <c r="J80" i="39"/>
  <c r="B119" i="39"/>
  <c r="B140" i="39" s="1"/>
  <c r="J78" i="39"/>
  <c r="B117" i="39"/>
  <c r="B138" i="39" s="1"/>
  <c r="B115" i="39"/>
  <c r="B136" i="39" s="1"/>
  <c r="J74" i="39"/>
  <c r="B113" i="39"/>
  <c r="B134" i="39" s="1"/>
  <c r="J72" i="39"/>
  <c r="H66" i="39"/>
  <c r="F66" i="39"/>
  <c r="D66" i="39"/>
  <c r="J65" i="39"/>
  <c r="J64" i="39"/>
  <c r="J63" i="39"/>
  <c r="J61" i="39"/>
  <c r="B79" i="39"/>
  <c r="B75" i="39"/>
  <c r="B112" i="39"/>
  <c r="B133" i="39" s="1"/>
  <c r="J71" i="39"/>
  <c r="B111" i="39"/>
  <c r="B132" i="39" s="1"/>
  <c r="C66" i="39"/>
  <c r="B127" i="39"/>
  <c r="J86" i="39"/>
  <c r="B126" i="39"/>
  <c r="B147" i="39" s="1"/>
  <c r="J85" i="39"/>
  <c r="B125" i="39"/>
  <c r="B146" i="39" s="1"/>
  <c r="J84" i="39"/>
  <c r="B123" i="39"/>
  <c r="B144" i="39" s="1"/>
  <c r="J60" i="39"/>
  <c r="J59" i="39"/>
  <c r="J57" i="39"/>
  <c r="J56" i="39"/>
  <c r="J55" i="39"/>
  <c r="J53" i="39"/>
  <c r="J52" i="39"/>
  <c r="J51" i="39"/>
  <c r="J50" i="39"/>
  <c r="B66" i="39"/>
  <c r="J49" i="39"/>
  <c r="E66" i="39"/>
  <c r="G66" i="39"/>
  <c r="B111" i="38"/>
  <c r="B127" i="38"/>
  <c r="J86" i="38"/>
  <c r="B121" i="38"/>
  <c r="J80" i="38"/>
  <c r="J74" i="38"/>
  <c r="B115" i="38"/>
  <c r="B136" i="38" s="1"/>
  <c r="B117" i="38"/>
  <c r="J76" i="38"/>
  <c r="H87" i="38"/>
  <c r="J52" i="38"/>
  <c r="B124" i="38"/>
  <c r="J83" i="38"/>
  <c r="D66" i="38"/>
  <c r="J62" i="38"/>
  <c r="J57" i="38"/>
  <c r="J54" i="38"/>
  <c r="B85" i="38"/>
  <c r="B78" i="38"/>
  <c r="J72" i="38"/>
  <c r="B113" i="38"/>
  <c r="J51" i="38"/>
  <c r="B66" i="38"/>
  <c r="J49" i="38"/>
  <c r="F66" i="38"/>
  <c r="C87" i="38"/>
  <c r="C66" i="38"/>
  <c r="J60" i="38"/>
  <c r="J56" i="38"/>
  <c r="J25" i="38"/>
  <c r="B123" i="38"/>
  <c r="B125" i="38"/>
  <c r="B146" i="38" s="1"/>
  <c r="J84" i="38"/>
  <c r="J53" i="38"/>
  <c r="G87" i="38"/>
  <c r="J58" i="38"/>
  <c r="F87" i="38"/>
  <c r="J63" i="38"/>
  <c r="G66" i="38"/>
  <c r="J65" i="38"/>
  <c r="J59" i="38"/>
  <c r="J50" i="38"/>
  <c r="B81" i="38"/>
  <c r="B79" i="38"/>
  <c r="B77" i="38"/>
  <c r="B116" i="38"/>
  <c r="J75" i="38"/>
  <c r="B73" i="38"/>
  <c r="B71" i="38"/>
  <c r="J55" i="38"/>
  <c r="H66" i="38"/>
  <c r="J83" i="37"/>
  <c r="B124" i="37"/>
  <c r="B145" i="37" s="1"/>
  <c r="J73" i="37"/>
  <c r="J71" i="37"/>
  <c r="B120" i="37"/>
  <c r="J79" i="37"/>
  <c r="B116" i="37"/>
  <c r="B137" i="37" s="1"/>
  <c r="J75" i="37"/>
  <c r="B112" i="37"/>
  <c r="B133" i="37" s="1"/>
  <c r="C66" i="37"/>
  <c r="B82" i="37"/>
  <c r="H66" i="37"/>
  <c r="J56" i="37"/>
  <c r="H87" i="37"/>
  <c r="B119" i="37"/>
  <c r="B140" i="37" s="1"/>
  <c r="B115" i="37"/>
  <c r="B136" i="37" s="1"/>
  <c r="B111" i="37"/>
  <c r="B132" i="37" s="1"/>
  <c r="J70" i="37"/>
  <c r="J65" i="37"/>
  <c r="J64" i="37"/>
  <c r="J63" i="37"/>
  <c r="F66" i="37"/>
  <c r="F87" i="37"/>
  <c r="B118" i="37"/>
  <c r="B139" i="37" s="1"/>
  <c r="J77" i="37"/>
  <c r="B114" i="37"/>
  <c r="B135" i="37" s="1"/>
  <c r="J25" i="37"/>
  <c r="B86" i="37"/>
  <c r="B85" i="37"/>
  <c r="B84" i="37"/>
  <c r="B143" i="37"/>
  <c r="E87" i="37"/>
  <c r="J58" i="37"/>
  <c r="J54" i="37"/>
  <c r="B121" i="37"/>
  <c r="B142" i="37" s="1"/>
  <c r="B117" i="37"/>
  <c r="J76" i="37"/>
  <c r="B113" i="37"/>
  <c r="J72" i="37"/>
  <c r="J80" i="37"/>
  <c r="J62" i="37"/>
  <c r="J61" i="37"/>
  <c r="J59" i="37"/>
  <c r="B121" i="36"/>
  <c r="J80" i="36"/>
  <c r="C66" i="36"/>
  <c r="E87" i="36"/>
  <c r="B116" i="36"/>
  <c r="B137" i="36" s="1"/>
  <c r="J75" i="36"/>
  <c r="B112" i="36"/>
  <c r="B133" i="36" s="1"/>
  <c r="J57" i="36"/>
  <c r="J72" i="36"/>
  <c r="J59" i="36"/>
  <c r="J73" i="36"/>
  <c r="B119" i="36"/>
  <c r="J78" i="36"/>
  <c r="B115" i="36"/>
  <c r="B136" i="36" s="1"/>
  <c r="J74" i="36"/>
  <c r="B111" i="36"/>
  <c r="B132" i="36" s="1"/>
  <c r="J60" i="36"/>
  <c r="J49" i="36"/>
  <c r="J52" i="36"/>
  <c r="B118" i="36"/>
  <c r="B139" i="36" s="1"/>
  <c r="B114" i="36"/>
  <c r="B135" i="36" s="1"/>
  <c r="J81" i="36"/>
  <c r="B122" i="36"/>
  <c r="B143" i="36" s="1"/>
  <c r="J58" i="36"/>
  <c r="J65" i="36"/>
  <c r="J64" i="36"/>
  <c r="J63" i="36"/>
  <c r="J62" i="36"/>
  <c r="J61" i="36"/>
  <c r="J77" i="36"/>
  <c r="B117" i="36"/>
  <c r="B113" i="36"/>
  <c r="B134" i="36" s="1"/>
  <c r="B120" i="36"/>
  <c r="B141" i="36" s="1"/>
  <c r="J79" i="36"/>
  <c r="B86" i="36"/>
  <c r="J85" i="36"/>
  <c r="B126" i="36"/>
  <c r="B147" i="36" s="1"/>
  <c r="J84" i="36"/>
  <c r="B125" i="36"/>
  <c r="J83" i="36"/>
  <c r="B124" i="36"/>
  <c r="B123" i="36"/>
  <c r="J70" i="36"/>
  <c r="B122" i="35"/>
  <c r="B143" i="35" s="1"/>
  <c r="J81" i="35"/>
  <c r="B118" i="35"/>
  <c r="B139" i="35" s="1"/>
  <c r="J77" i="35"/>
  <c r="B114" i="35"/>
  <c r="B135" i="35" s="1"/>
  <c r="J73" i="35"/>
  <c r="B123" i="35"/>
  <c r="B144" i="35" s="1"/>
  <c r="J82" i="35"/>
  <c r="B119" i="35"/>
  <c r="B140" i="35" s="1"/>
  <c r="J78" i="35"/>
  <c r="B115" i="35"/>
  <c r="B136" i="35" s="1"/>
  <c r="J74" i="35"/>
  <c r="H87" i="35"/>
  <c r="B124" i="35"/>
  <c r="B145" i="35" s="1"/>
  <c r="J83" i="35"/>
  <c r="B120" i="35"/>
  <c r="B141" i="35" s="1"/>
  <c r="J79" i="35"/>
  <c r="B116" i="35"/>
  <c r="B137" i="35" s="1"/>
  <c r="J75" i="35"/>
  <c r="B112" i="35"/>
  <c r="B133" i="35" s="1"/>
  <c r="J71" i="35"/>
  <c r="E87" i="35"/>
  <c r="B121" i="35"/>
  <c r="B142" i="35" s="1"/>
  <c r="J80" i="35"/>
  <c r="B117" i="35"/>
  <c r="B138" i="35" s="1"/>
  <c r="J76" i="35"/>
  <c r="B113" i="35"/>
  <c r="B134" i="35" s="1"/>
  <c r="J72" i="35"/>
  <c r="C87" i="35"/>
  <c r="J65" i="35"/>
  <c r="J63" i="35"/>
  <c r="B85" i="35"/>
  <c r="B87" i="35" s="1"/>
  <c r="J25" i="35"/>
  <c r="J49" i="35"/>
  <c r="B66" i="35"/>
  <c r="E66" i="35"/>
  <c r="D66" i="35"/>
  <c r="B127" i="35"/>
  <c r="B148" i="35" s="1"/>
  <c r="J86" i="35"/>
  <c r="B125" i="35"/>
  <c r="B146" i="35" s="1"/>
  <c r="J84" i="35"/>
  <c r="F66" i="35"/>
  <c r="B111" i="35"/>
  <c r="B132" i="35" s="1"/>
  <c r="C66" i="35"/>
  <c r="D87" i="35"/>
  <c r="G87" i="35"/>
  <c r="J62" i="35"/>
  <c r="J61" i="35"/>
  <c r="J60" i="35"/>
  <c r="J59" i="35"/>
  <c r="J58" i="35"/>
  <c r="J57" i="35"/>
  <c r="J56" i="35"/>
  <c r="J55" i="35"/>
  <c r="J54" i="35"/>
  <c r="J53" i="35"/>
  <c r="J52" i="35"/>
  <c r="J51" i="35"/>
  <c r="J50" i="35"/>
  <c r="J70" i="35"/>
  <c r="H66" i="35"/>
  <c r="B111" i="34"/>
  <c r="B132" i="34" s="1"/>
  <c r="B114" i="34"/>
  <c r="B122" i="34"/>
  <c r="B143" i="34" s="1"/>
  <c r="J81" i="34"/>
  <c r="B116" i="34"/>
  <c r="B137" i="34" s="1"/>
  <c r="J75" i="34"/>
  <c r="J77" i="34"/>
  <c r="B118" i="34"/>
  <c r="B139" i="34" s="1"/>
  <c r="J64" i="34"/>
  <c r="J59" i="34"/>
  <c r="J55" i="34"/>
  <c r="J79" i="34"/>
  <c r="B120" i="34"/>
  <c r="B141" i="34" s="1"/>
  <c r="B112" i="34"/>
  <c r="J71" i="34"/>
  <c r="J58" i="34"/>
  <c r="J50" i="34"/>
  <c r="F66" i="34"/>
  <c r="H87" i="34"/>
  <c r="J53" i="34"/>
  <c r="J25" i="34"/>
  <c r="J85" i="34"/>
  <c r="B126" i="34"/>
  <c r="B147" i="34" s="1"/>
  <c r="B83" i="34"/>
  <c r="F87" i="34"/>
  <c r="J56" i="34"/>
  <c r="E66" i="34"/>
  <c r="J61" i="34"/>
  <c r="J57" i="34"/>
  <c r="J51" i="34"/>
  <c r="B82" i="34"/>
  <c r="B121" i="34"/>
  <c r="J80" i="34"/>
  <c r="B78" i="34"/>
  <c r="B117" i="34"/>
  <c r="J76" i="34"/>
  <c r="B74" i="34"/>
  <c r="B72" i="34"/>
  <c r="D87" i="34"/>
  <c r="J52" i="34"/>
  <c r="G87" i="34"/>
  <c r="C66" i="34"/>
  <c r="B66" i="34"/>
  <c r="J49" i="34"/>
  <c r="B86" i="34"/>
  <c r="B84" i="34"/>
  <c r="J60" i="34"/>
  <c r="J54" i="34"/>
  <c r="B123" i="33"/>
  <c r="B144" i="33" s="1"/>
  <c r="J82" i="33"/>
  <c r="B121" i="33"/>
  <c r="B142" i="33" s="1"/>
  <c r="J80" i="33"/>
  <c r="J25" i="33"/>
  <c r="J58" i="33"/>
  <c r="J57" i="33"/>
  <c r="J56" i="33"/>
  <c r="J55" i="33"/>
  <c r="J54" i="33"/>
  <c r="J53" i="33"/>
  <c r="J52" i="33"/>
  <c r="J51" i="33"/>
  <c r="J50" i="33"/>
  <c r="B66" i="33"/>
  <c r="J49" i="33"/>
  <c r="C66" i="33"/>
  <c r="J63" i="33"/>
  <c r="E66" i="33"/>
  <c r="J60" i="33"/>
  <c r="J65" i="33"/>
  <c r="J62" i="33"/>
  <c r="B79" i="33"/>
  <c r="B78" i="33"/>
  <c r="B77" i="33"/>
  <c r="B76" i="33"/>
  <c r="B75" i="33"/>
  <c r="B74" i="33"/>
  <c r="B73" i="33"/>
  <c r="B72" i="33"/>
  <c r="B71" i="33"/>
  <c r="B70" i="33"/>
  <c r="B84" i="33"/>
  <c r="G66" i="33"/>
  <c r="J64" i="33"/>
  <c r="B81" i="33"/>
  <c r="D66" i="33"/>
  <c r="B86" i="33"/>
  <c r="B124" i="33"/>
  <c r="B145" i="33" s="1"/>
  <c r="J83" i="33"/>
  <c r="F66" i="33"/>
  <c r="C87" i="33"/>
  <c r="B126" i="33"/>
  <c r="J85" i="33"/>
  <c r="H66" i="33"/>
  <c r="D87" i="33"/>
  <c r="J59" i="33"/>
  <c r="G87" i="33"/>
  <c r="J61" i="33"/>
  <c r="F87" i="32"/>
  <c r="C66" i="32"/>
  <c r="J59" i="32"/>
  <c r="E87" i="32"/>
  <c r="E66" i="32"/>
  <c r="B117" i="32"/>
  <c r="B138" i="32" s="1"/>
  <c r="J76" i="32"/>
  <c r="B113" i="32"/>
  <c r="J60" i="32"/>
  <c r="G87" i="32"/>
  <c r="J57" i="32"/>
  <c r="J74" i="32"/>
  <c r="J25" i="32"/>
  <c r="B85" i="32"/>
  <c r="B83" i="32"/>
  <c r="B122" i="32"/>
  <c r="B143" i="32" s="1"/>
  <c r="J81" i="32"/>
  <c r="B116" i="32"/>
  <c r="B137" i="32" s="1"/>
  <c r="J75" i="32"/>
  <c r="B112" i="32"/>
  <c r="B133" i="32" s="1"/>
  <c r="J71" i="32"/>
  <c r="J50" i="32"/>
  <c r="B80" i="32"/>
  <c r="J51" i="32"/>
  <c r="F66" i="32"/>
  <c r="B119" i="32"/>
  <c r="B140" i="32" s="1"/>
  <c r="J78" i="32"/>
  <c r="B115" i="32"/>
  <c r="B136" i="32" s="1"/>
  <c r="B111" i="32"/>
  <c r="B132" i="32" s="1"/>
  <c r="J52" i="32"/>
  <c r="D66" i="32"/>
  <c r="B66" i="32"/>
  <c r="B84" i="32"/>
  <c r="B82" i="32"/>
  <c r="B114" i="32"/>
  <c r="B135" i="32" s="1"/>
  <c r="J73" i="32"/>
  <c r="J54" i="32"/>
  <c r="J49" i="32"/>
  <c r="B125" i="31"/>
  <c r="B146" i="31" s="1"/>
  <c r="J84" i="31"/>
  <c r="B121" i="31"/>
  <c r="B142" i="31" s="1"/>
  <c r="J80" i="31"/>
  <c r="B119" i="31"/>
  <c r="B140" i="31" s="1"/>
  <c r="J78" i="31"/>
  <c r="B117" i="31"/>
  <c r="J76" i="31"/>
  <c r="B115" i="31"/>
  <c r="B136" i="31" s="1"/>
  <c r="J74" i="31"/>
  <c r="B113" i="31"/>
  <c r="B134" i="31" s="1"/>
  <c r="J72" i="31"/>
  <c r="B123" i="31"/>
  <c r="B144" i="31" s="1"/>
  <c r="J82" i="31"/>
  <c r="B126" i="31"/>
  <c r="B147" i="31" s="1"/>
  <c r="J85" i="31"/>
  <c r="B124" i="31"/>
  <c r="B145" i="31" s="1"/>
  <c r="J83" i="31"/>
  <c r="B122" i="31"/>
  <c r="J81" i="31"/>
  <c r="B120" i="31"/>
  <c r="B141" i="31" s="1"/>
  <c r="J79" i="31"/>
  <c r="B118" i="31"/>
  <c r="B139" i="31" s="1"/>
  <c r="J77" i="31"/>
  <c r="B116" i="31"/>
  <c r="B137" i="31" s="1"/>
  <c r="J75" i="31"/>
  <c r="B114" i="31"/>
  <c r="B135" i="31" s="1"/>
  <c r="J73" i="31"/>
  <c r="B112" i="31"/>
  <c r="J71" i="31"/>
  <c r="B127" i="31"/>
  <c r="J86" i="31"/>
  <c r="C66" i="31"/>
  <c r="D66" i="31"/>
  <c r="J25" i="31"/>
  <c r="C87" i="31"/>
  <c r="D87" i="31"/>
  <c r="J49" i="31"/>
  <c r="B66" i="31"/>
  <c r="J65" i="31"/>
  <c r="G66" i="31"/>
  <c r="F66" i="31"/>
  <c r="B70" i="31"/>
  <c r="H66" i="31"/>
  <c r="G87" i="31"/>
  <c r="J64" i="31"/>
  <c r="J63" i="31"/>
  <c r="J62" i="31"/>
  <c r="J61" i="31"/>
  <c r="J60" i="31"/>
  <c r="J59" i="31"/>
  <c r="J58" i="31"/>
  <c r="J57" i="31"/>
  <c r="J56" i="31"/>
  <c r="J55" i="31"/>
  <c r="J54" i="31"/>
  <c r="J53" i="31"/>
  <c r="J52" i="31"/>
  <c r="J51" i="31"/>
  <c r="J50" i="31"/>
  <c r="F87" i="31"/>
  <c r="H87" i="31"/>
  <c r="B119" i="30"/>
  <c r="B140" i="30" s="1"/>
  <c r="J78" i="30"/>
  <c r="B115" i="30"/>
  <c r="J74" i="30"/>
  <c r="B111" i="30"/>
  <c r="J60" i="30"/>
  <c r="J52" i="30"/>
  <c r="E66" i="30"/>
  <c r="D87" i="30"/>
  <c r="J86" i="30"/>
  <c r="J84" i="30"/>
  <c r="J82" i="30"/>
  <c r="G87" i="30"/>
  <c r="J59" i="30"/>
  <c r="J55" i="30"/>
  <c r="J51" i="30"/>
  <c r="J25" i="30"/>
  <c r="B124" i="30"/>
  <c r="B145" i="30" s="1"/>
  <c r="B80" i="30"/>
  <c r="B76" i="30"/>
  <c r="B72" i="30"/>
  <c r="G66" i="30"/>
  <c r="B123" i="30"/>
  <c r="B125" i="30"/>
  <c r="J81" i="30"/>
  <c r="J85" i="30"/>
  <c r="J79" i="30"/>
  <c r="J75" i="30"/>
  <c r="J57" i="30"/>
  <c r="J53" i="30"/>
  <c r="B66" i="30"/>
  <c r="J49" i="30"/>
  <c r="B126" i="30"/>
  <c r="B122" i="30"/>
  <c r="B120" i="30"/>
  <c r="B141" i="30" s="1"/>
  <c r="B118" i="30"/>
  <c r="B139" i="30" s="1"/>
  <c r="B116" i="30"/>
  <c r="B114" i="30"/>
  <c r="B112" i="30"/>
  <c r="B133" i="30" s="1"/>
  <c r="B127" i="30"/>
  <c r="B148" i="30" s="1"/>
  <c r="C66" i="30"/>
  <c r="F87" i="30"/>
  <c r="J73" i="30"/>
  <c r="G120" i="29"/>
  <c r="G141" i="29" s="1"/>
  <c r="G116" i="29"/>
  <c r="G137" i="29" s="1"/>
  <c r="G123" i="29"/>
  <c r="G144" i="29" s="1"/>
  <c r="C113" i="29"/>
  <c r="C134" i="29" s="1"/>
  <c r="J72" i="29"/>
  <c r="C124" i="29"/>
  <c r="C145" i="29" s="1"/>
  <c r="D119" i="29"/>
  <c r="D140" i="29" s="1"/>
  <c r="D115" i="29"/>
  <c r="D136" i="29" s="1"/>
  <c r="G126" i="29"/>
  <c r="G147" i="29" s="1"/>
  <c r="G122" i="29"/>
  <c r="G143" i="29" s="1"/>
  <c r="C117" i="29"/>
  <c r="C138" i="29" s="1"/>
  <c r="J76" i="29"/>
  <c r="C111" i="29"/>
  <c r="C132" i="29" s="1"/>
  <c r="E124" i="29"/>
  <c r="E145" i="29" s="1"/>
  <c r="G119" i="29"/>
  <c r="G140" i="29" s="1"/>
  <c r="G113" i="29"/>
  <c r="G134" i="29" s="1"/>
  <c r="C127" i="29"/>
  <c r="C148" i="29" s="1"/>
  <c r="C123" i="29"/>
  <c r="C144" i="29" s="1"/>
  <c r="J74" i="29"/>
  <c r="G118" i="29"/>
  <c r="G139" i="29" s="1"/>
  <c r="E126" i="29"/>
  <c r="E147" i="29" s="1"/>
  <c r="E123" i="29"/>
  <c r="E144" i="29" s="1"/>
  <c r="G117" i="29"/>
  <c r="G138" i="29" s="1"/>
  <c r="H126" i="29"/>
  <c r="H147" i="29" s="1"/>
  <c r="H122" i="29"/>
  <c r="H143" i="29" s="1"/>
  <c r="C126" i="29"/>
  <c r="C147" i="29" s="1"/>
  <c r="D113" i="29"/>
  <c r="D134" i="29" s="1"/>
  <c r="G124" i="29"/>
  <c r="G145" i="29" s="1"/>
  <c r="C119" i="29"/>
  <c r="C140" i="29" s="1"/>
  <c r="J78" i="29"/>
  <c r="H113" i="29"/>
  <c r="H134" i="29" s="1"/>
  <c r="E127" i="29"/>
  <c r="E148" i="29" s="1"/>
  <c r="D116" i="29"/>
  <c r="D137" i="29" s="1"/>
  <c r="H124" i="29"/>
  <c r="H145" i="29" s="1"/>
  <c r="C120" i="29"/>
  <c r="C141" i="29" s="1"/>
  <c r="G127" i="29"/>
  <c r="G148" i="29" s="1"/>
  <c r="H117" i="29"/>
  <c r="H138" i="29" s="1"/>
  <c r="E125" i="29"/>
  <c r="E146" i="29" s="1"/>
  <c r="J64" i="29"/>
  <c r="B86" i="29"/>
  <c r="B84" i="29"/>
  <c r="E66" i="29"/>
  <c r="H118" i="29"/>
  <c r="H139" i="29" s="1"/>
  <c r="D114" i="29"/>
  <c r="D135" i="29" s="1"/>
  <c r="C71" i="29"/>
  <c r="E122" i="29"/>
  <c r="E143" i="29" s="1"/>
  <c r="E118" i="29"/>
  <c r="E139" i="29" s="1"/>
  <c r="E114" i="29"/>
  <c r="E135" i="29" s="1"/>
  <c r="J57" i="29"/>
  <c r="D79" i="29"/>
  <c r="J79" i="29" s="1"/>
  <c r="H114" i="29"/>
  <c r="H135" i="29" s="1"/>
  <c r="C81" i="29"/>
  <c r="J81" i="29" s="1"/>
  <c r="C77" i="29"/>
  <c r="J77" i="29" s="1"/>
  <c r="C75" i="29"/>
  <c r="J75" i="29" s="1"/>
  <c r="G71" i="29"/>
  <c r="B120" i="29"/>
  <c r="B141" i="29" s="1"/>
  <c r="B116" i="29"/>
  <c r="B137" i="29" s="1"/>
  <c r="B112" i="29"/>
  <c r="D125" i="29"/>
  <c r="D146" i="29" s="1"/>
  <c r="F126" i="29"/>
  <c r="F147" i="29" s="1"/>
  <c r="H127" i="29"/>
  <c r="H148" i="29" s="1"/>
  <c r="H121" i="29"/>
  <c r="H142" i="29" s="1"/>
  <c r="D117" i="29"/>
  <c r="D138" i="29" s="1"/>
  <c r="H112" i="29"/>
  <c r="H133" i="29" s="1"/>
  <c r="F87" i="29"/>
  <c r="F111" i="29"/>
  <c r="D70" i="29"/>
  <c r="J70" i="29" s="1"/>
  <c r="E121" i="29"/>
  <c r="E142" i="29" s="1"/>
  <c r="E117" i="29"/>
  <c r="E138" i="29" s="1"/>
  <c r="E113" i="29"/>
  <c r="E134" i="29" s="1"/>
  <c r="J53" i="29"/>
  <c r="H125" i="29"/>
  <c r="H146" i="29" s="1"/>
  <c r="H123" i="29"/>
  <c r="H144" i="29" s="1"/>
  <c r="D122" i="29"/>
  <c r="D143" i="29" s="1"/>
  <c r="D123" i="29"/>
  <c r="D144" i="29" s="1"/>
  <c r="G125" i="29"/>
  <c r="G146" i="29" s="1"/>
  <c r="G121" i="29"/>
  <c r="G142" i="29" s="1"/>
  <c r="G115" i="29"/>
  <c r="G136" i="29" s="1"/>
  <c r="J80" i="29"/>
  <c r="B122" i="29"/>
  <c r="B143" i="29" s="1"/>
  <c r="B118" i="29"/>
  <c r="B139" i="29" s="1"/>
  <c r="B114" i="29"/>
  <c r="B66" i="29"/>
  <c r="D66" i="29"/>
  <c r="B126" i="29"/>
  <c r="J85" i="29"/>
  <c r="F123" i="29"/>
  <c r="F144" i="29" s="1"/>
  <c r="H120" i="29"/>
  <c r="H141" i="29" s="1"/>
  <c r="H116" i="29"/>
  <c r="H137" i="29" s="1"/>
  <c r="H87" i="29"/>
  <c r="H111" i="29"/>
  <c r="H132" i="29" s="1"/>
  <c r="D118" i="29"/>
  <c r="D139" i="29" s="1"/>
  <c r="G73" i="29"/>
  <c r="E120" i="29"/>
  <c r="E141" i="29" s="1"/>
  <c r="E116" i="29"/>
  <c r="E137" i="29" s="1"/>
  <c r="E112" i="29"/>
  <c r="E133" i="29" s="1"/>
  <c r="J55" i="29"/>
  <c r="D112" i="29"/>
  <c r="D133" i="29" s="1"/>
  <c r="C125" i="29"/>
  <c r="C146" i="29" s="1"/>
  <c r="C121" i="29"/>
  <c r="C142" i="29" s="1"/>
  <c r="C115" i="29"/>
  <c r="C136" i="29" s="1"/>
  <c r="B134" i="29"/>
  <c r="B136" i="29"/>
  <c r="F127" i="29"/>
  <c r="F148" i="29" s="1"/>
  <c r="F125" i="29"/>
  <c r="F146" i="29" s="1"/>
  <c r="D124" i="29"/>
  <c r="D145" i="29" s="1"/>
  <c r="H119" i="29"/>
  <c r="H140" i="29" s="1"/>
  <c r="H115" i="29"/>
  <c r="H136" i="29" s="1"/>
  <c r="C114" i="29"/>
  <c r="C135" i="29" s="1"/>
  <c r="C66" i="29"/>
  <c r="G111" i="29"/>
  <c r="G132" i="29" s="1"/>
  <c r="E119" i="29"/>
  <c r="E140" i="29" s="1"/>
  <c r="E115" i="29"/>
  <c r="E136" i="29" s="1"/>
  <c r="E111" i="29"/>
  <c r="E87" i="29"/>
  <c r="J51" i="29"/>
  <c r="D127" i="29"/>
  <c r="D148" i="29" s="1"/>
  <c r="D126" i="29"/>
  <c r="D147" i="29" s="1"/>
  <c r="D121" i="29"/>
  <c r="B140" i="29"/>
  <c r="B142" i="29"/>
  <c r="B82" i="29"/>
  <c r="B138" i="29"/>
  <c r="B118" i="32" l="1"/>
  <c r="J118" i="32" s="1"/>
  <c r="J73" i="39"/>
  <c r="J83" i="39"/>
  <c r="G87" i="39"/>
  <c r="E87" i="39"/>
  <c r="F87" i="39"/>
  <c r="H87" i="39"/>
  <c r="J81" i="39"/>
  <c r="J83" i="29"/>
  <c r="J79" i="32"/>
  <c r="J82" i="39"/>
  <c r="J70" i="39"/>
  <c r="J77" i="39"/>
  <c r="C87" i="39"/>
  <c r="J86" i="32"/>
  <c r="F102" i="1"/>
  <c r="F123" i="1" s="1"/>
  <c r="F94" i="1"/>
  <c r="F115" i="1" s="1"/>
  <c r="J76" i="39"/>
  <c r="J81" i="28"/>
  <c r="J101" i="28" s="1"/>
  <c r="J122" i="28" s="1"/>
  <c r="J81" i="2"/>
  <c r="J101" i="2" s="1"/>
  <c r="J122" i="2" s="1"/>
  <c r="J76" i="28"/>
  <c r="J96" i="28" s="1"/>
  <c r="J117" i="28" s="1"/>
  <c r="I158" i="28"/>
  <c r="I179" i="28" s="1"/>
  <c r="F97" i="1"/>
  <c r="F118" i="1" s="1"/>
  <c r="J76" i="2"/>
  <c r="J96" i="2" s="1"/>
  <c r="J117" i="2" s="1"/>
  <c r="J70" i="28"/>
  <c r="J90" i="28" s="1"/>
  <c r="J111" i="28" s="1"/>
  <c r="I152" i="28"/>
  <c r="I173" i="28" s="1"/>
  <c r="J73" i="2"/>
  <c r="J93" i="2" s="1"/>
  <c r="J114" i="2" s="1"/>
  <c r="J73" i="28"/>
  <c r="J93" i="28" s="1"/>
  <c r="J114" i="28" s="1"/>
  <c r="D179" i="28"/>
  <c r="G117" i="39"/>
  <c r="G138" i="39" s="1"/>
  <c r="D114" i="39"/>
  <c r="D135" i="39" s="1"/>
  <c r="D122" i="39"/>
  <c r="D143" i="39" s="1"/>
  <c r="C111" i="39"/>
  <c r="C132" i="39" s="1"/>
  <c r="C114" i="39"/>
  <c r="C135" i="39" s="1"/>
  <c r="C118" i="39"/>
  <c r="C139" i="39" s="1"/>
  <c r="C122" i="39"/>
  <c r="C143" i="39" s="1"/>
  <c r="D123" i="39"/>
  <c r="D144" i="39" s="1"/>
  <c r="E114" i="39"/>
  <c r="E135" i="39" s="1"/>
  <c r="E122" i="39"/>
  <c r="E143" i="39" s="1"/>
  <c r="H114" i="39"/>
  <c r="H135" i="39" s="1"/>
  <c r="H122" i="39"/>
  <c r="H143" i="39" s="1"/>
  <c r="G114" i="39"/>
  <c r="G135" i="39" s="1"/>
  <c r="G118" i="39"/>
  <c r="G139" i="39" s="1"/>
  <c r="G122" i="39"/>
  <c r="G143" i="39" s="1"/>
  <c r="E123" i="39"/>
  <c r="E144" i="39" s="1"/>
  <c r="H123" i="39"/>
  <c r="H144" i="39" s="1"/>
  <c r="C117" i="39"/>
  <c r="C138" i="39" s="1"/>
  <c r="F111" i="39"/>
  <c r="F132" i="39" s="1"/>
  <c r="F123" i="39"/>
  <c r="F144" i="39" s="1"/>
  <c r="J86" i="41"/>
  <c r="G127" i="41"/>
  <c r="G148" i="41" s="1"/>
  <c r="G123" i="39"/>
  <c r="G144" i="39" s="1"/>
  <c r="D118" i="39"/>
  <c r="D139" i="39" s="1"/>
  <c r="E117" i="39"/>
  <c r="E138" i="39" s="1"/>
  <c r="H117" i="39"/>
  <c r="H138" i="39" s="1"/>
  <c r="D111" i="39"/>
  <c r="D132" i="39" s="1"/>
  <c r="E118" i="39"/>
  <c r="E139" i="39" s="1"/>
  <c r="F114" i="39"/>
  <c r="F135" i="39" s="1"/>
  <c r="F118" i="39"/>
  <c r="F139" i="39" s="1"/>
  <c r="F122" i="39"/>
  <c r="F143" i="39" s="1"/>
  <c r="H118" i="39"/>
  <c r="H139" i="39" s="1"/>
  <c r="E111" i="39"/>
  <c r="E132" i="39" s="1"/>
  <c r="H111" i="39"/>
  <c r="H132" i="39" s="1"/>
  <c r="G111" i="39"/>
  <c r="G132" i="39" s="1"/>
  <c r="C123" i="39"/>
  <c r="C144" i="39" s="1"/>
  <c r="D117" i="39"/>
  <c r="D138" i="39" s="1"/>
  <c r="F117" i="39"/>
  <c r="F138" i="39" s="1"/>
  <c r="E100" i="1"/>
  <c r="E121" i="1" s="1"/>
  <c r="D176" i="28"/>
  <c r="I79" i="28"/>
  <c r="I99" i="28" s="1"/>
  <c r="I120" i="28" s="1"/>
  <c r="G161" i="28"/>
  <c r="G182" i="28" s="1"/>
  <c r="I79" i="2"/>
  <c r="I99" i="2" s="1"/>
  <c r="I120" i="2" s="1"/>
  <c r="E128" i="29"/>
  <c r="C87" i="37"/>
  <c r="J82" i="36"/>
  <c r="F87" i="36"/>
  <c r="D87" i="37"/>
  <c r="J121" i="29"/>
  <c r="B87" i="39"/>
  <c r="D128" i="33"/>
  <c r="J125" i="36"/>
  <c r="J117" i="37"/>
  <c r="G87" i="41"/>
  <c r="J127" i="39"/>
  <c r="G87" i="29"/>
  <c r="J113" i="38"/>
  <c r="J75" i="40"/>
  <c r="J82" i="38"/>
  <c r="J113" i="37"/>
  <c r="J70" i="38"/>
  <c r="J124" i="36"/>
  <c r="C87" i="30"/>
  <c r="J66" i="29"/>
  <c r="M66" i="29" s="1"/>
  <c r="J113" i="29"/>
  <c r="F128" i="36"/>
  <c r="G128" i="38"/>
  <c r="D128" i="35"/>
  <c r="J71" i="29"/>
  <c r="J71" i="40"/>
  <c r="D142" i="29"/>
  <c r="J142" i="29" s="1"/>
  <c r="J117" i="29"/>
  <c r="J115" i="29"/>
  <c r="J126" i="29"/>
  <c r="J119" i="29"/>
  <c r="C128" i="31"/>
  <c r="H128" i="31"/>
  <c r="J122" i="31"/>
  <c r="J140" i="32"/>
  <c r="J66" i="32"/>
  <c r="M66" i="32" s="1"/>
  <c r="B87" i="32"/>
  <c r="D149" i="33"/>
  <c r="J126" i="33"/>
  <c r="J144" i="33"/>
  <c r="J123" i="36"/>
  <c r="B144" i="36"/>
  <c r="J144" i="36" s="1"/>
  <c r="J142" i="39"/>
  <c r="J145" i="41"/>
  <c r="C128" i="41"/>
  <c r="J66" i="41"/>
  <c r="M66" i="41" s="1"/>
  <c r="J116" i="41"/>
  <c r="J66" i="37"/>
  <c r="M66" i="37" s="1"/>
  <c r="G87" i="37"/>
  <c r="J114" i="40"/>
  <c r="E149" i="41"/>
  <c r="J138" i="41"/>
  <c r="J134" i="41"/>
  <c r="C149" i="41"/>
  <c r="J114" i="41"/>
  <c r="J118" i="41"/>
  <c r="J125" i="41"/>
  <c r="D128" i="41"/>
  <c r="J133" i="41"/>
  <c r="J113" i="41"/>
  <c r="J137" i="41"/>
  <c r="J117" i="41"/>
  <c r="J141" i="41"/>
  <c r="J144" i="41"/>
  <c r="J124" i="41"/>
  <c r="B121" i="41"/>
  <c r="J121" i="41" s="1"/>
  <c r="J80" i="41"/>
  <c r="F149" i="41"/>
  <c r="J111" i="41"/>
  <c r="J112" i="41"/>
  <c r="J136" i="41"/>
  <c r="J140" i="41"/>
  <c r="J120" i="41"/>
  <c r="J143" i="41"/>
  <c r="J123" i="41"/>
  <c r="J147" i="41"/>
  <c r="D149" i="41"/>
  <c r="E128" i="41"/>
  <c r="H149" i="41"/>
  <c r="J135" i="41"/>
  <c r="J115" i="41"/>
  <c r="J139" i="41"/>
  <c r="J119" i="41"/>
  <c r="J122" i="41"/>
  <c r="J146" i="41"/>
  <c r="J126" i="41"/>
  <c r="F128" i="41"/>
  <c r="H128" i="41"/>
  <c r="J135" i="40"/>
  <c r="J136" i="40"/>
  <c r="J147" i="40"/>
  <c r="J124" i="40"/>
  <c r="J66" i="40"/>
  <c r="M66" i="40" s="1"/>
  <c r="G128" i="40"/>
  <c r="B113" i="40"/>
  <c r="J113" i="40" s="1"/>
  <c r="J72" i="40"/>
  <c r="J116" i="40"/>
  <c r="J120" i="40"/>
  <c r="F128" i="40"/>
  <c r="J143" i="40"/>
  <c r="G149" i="40"/>
  <c r="B125" i="40"/>
  <c r="J125" i="40" s="1"/>
  <c r="J84" i="40"/>
  <c r="J139" i="40"/>
  <c r="J126" i="40"/>
  <c r="J117" i="40"/>
  <c r="J144" i="40"/>
  <c r="B87" i="40"/>
  <c r="J122" i="40"/>
  <c r="J121" i="40"/>
  <c r="J141" i="40"/>
  <c r="J119" i="40"/>
  <c r="J148" i="40"/>
  <c r="J115" i="40"/>
  <c r="J145" i="40"/>
  <c r="B140" i="40"/>
  <c r="J112" i="40"/>
  <c r="J80" i="40"/>
  <c r="J77" i="40"/>
  <c r="B138" i="40"/>
  <c r="J138" i="40" s="1"/>
  <c r="F149" i="40"/>
  <c r="J123" i="40"/>
  <c r="J127" i="40"/>
  <c r="J111" i="40"/>
  <c r="J146" i="39"/>
  <c r="J134" i="39"/>
  <c r="J126" i="39"/>
  <c r="B116" i="39"/>
  <c r="J116" i="39" s="1"/>
  <c r="J75" i="39"/>
  <c r="D87" i="39"/>
  <c r="J119" i="39"/>
  <c r="J145" i="39"/>
  <c r="J125" i="39"/>
  <c r="B120" i="39"/>
  <c r="J120" i="39" s="1"/>
  <c r="J79" i="39"/>
  <c r="J136" i="39"/>
  <c r="J66" i="39"/>
  <c r="M66" i="39" s="1"/>
  <c r="J124" i="39"/>
  <c r="B148" i="39"/>
  <c r="J148" i="39" s="1"/>
  <c r="J115" i="39"/>
  <c r="J147" i="39"/>
  <c r="J112" i="39"/>
  <c r="J113" i="39"/>
  <c r="J140" i="39"/>
  <c r="J121" i="39"/>
  <c r="J136" i="38"/>
  <c r="B120" i="38"/>
  <c r="J120" i="38" s="1"/>
  <c r="J79" i="38"/>
  <c r="J124" i="38"/>
  <c r="J127" i="38"/>
  <c r="B87" i="38"/>
  <c r="J116" i="38"/>
  <c r="B122" i="38"/>
  <c r="J122" i="38" s="1"/>
  <c r="J81" i="38"/>
  <c r="F149" i="38"/>
  <c r="B126" i="38"/>
  <c r="J126" i="38" s="1"/>
  <c r="J85" i="38"/>
  <c r="J117" i="38"/>
  <c r="J121" i="38"/>
  <c r="J146" i="38"/>
  <c r="H149" i="38"/>
  <c r="J115" i="38"/>
  <c r="E128" i="38"/>
  <c r="E87" i="38"/>
  <c r="B112" i="38"/>
  <c r="J112" i="38" s="1"/>
  <c r="J71" i="38"/>
  <c r="B137" i="38"/>
  <c r="J137" i="38" s="1"/>
  <c r="F128" i="38"/>
  <c r="G149" i="38"/>
  <c r="J125" i="38"/>
  <c r="C128" i="38"/>
  <c r="B119" i="38"/>
  <c r="J119" i="38" s="1"/>
  <c r="J78" i="38"/>
  <c r="B145" i="38"/>
  <c r="J145" i="38" s="1"/>
  <c r="B148" i="38"/>
  <c r="J148" i="38" s="1"/>
  <c r="J66" i="38"/>
  <c r="M66" i="38" s="1"/>
  <c r="D128" i="38"/>
  <c r="D87" i="38"/>
  <c r="B114" i="38"/>
  <c r="J114" i="38" s="1"/>
  <c r="J73" i="38"/>
  <c r="B118" i="38"/>
  <c r="J118" i="38" s="1"/>
  <c r="J77" i="38"/>
  <c r="B144" i="38"/>
  <c r="B134" i="38"/>
  <c r="J134" i="38" s="1"/>
  <c r="H128" i="38"/>
  <c r="B138" i="38"/>
  <c r="J138" i="38" s="1"/>
  <c r="B142" i="38"/>
  <c r="J142" i="38" s="1"/>
  <c r="B132" i="38"/>
  <c r="J139" i="37"/>
  <c r="J145" i="37"/>
  <c r="F149" i="37"/>
  <c r="J140" i="37"/>
  <c r="B134" i="37"/>
  <c r="J134" i="37" s="1"/>
  <c r="J84" i="37"/>
  <c r="B125" i="37"/>
  <c r="J125" i="37" s="1"/>
  <c r="J111" i="37"/>
  <c r="J114" i="37"/>
  <c r="J121" i="37"/>
  <c r="E128" i="37"/>
  <c r="J85" i="37"/>
  <c r="B126" i="37"/>
  <c r="J126" i="37" s="1"/>
  <c r="B87" i="37"/>
  <c r="J136" i="37"/>
  <c r="H128" i="37"/>
  <c r="J120" i="37"/>
  <c r="E149" i="37"/>
  <c r="J86" i="37"/>
  <c r="B127" i="37"/>
  <c r="J127" i="37" s="1"/>
  <c r="J122" i="37"/>
  <c r="J81" i="37"/>
  <c r="J132" i="37"/>
  <c r="H149" i="37"/>
  <c r="J116" i="37"/>
  <c r="B141" i="37"/>
  <c r="J141" i="37" s="1"/>
  <c r="B138" i="37"/>
  <c r="J138" i="37" s="1"/>
  <c r="J118" i="37"/>
  <c r="F128" i="37"/>
  <c r="J119" i="37"/>
  <c r="B123" i="37"/>
  <c r="J123" i="37" s="1"/>
  <c r="J82" i="37"/>
  <c r="J137" i="37"/>
  <c r="D128" i="37"/>
  <c r="J124" i="37"/>
  <c r="B145" i="36"/>
  <c r="J145" i="36" s="1"/>
  <c r="J126" i="36"/>
  <c r="J120" i="36"/>
  <c r="J139" i="36"/>
  <c r="J122" i="36"/>
  <c r="J141" i="36"/>
  <c r="J119" i="36"/>
  <c r="J134" i="36"/>
  <c r="J121" i="36"/>
  <c r="J111" i="36"/>
  <c r="C87" i="36"/>
  <c r="J147" i="36"/>
  <c r="D128" i="36"/>
  <c r="B138" i="36"/>
  <c r="J143" i="36"/>
  <c r="D87" i="36"/>
  <c r="B140" i="36"/>
  <c r="J140" i="36" s="1"/>
  <c r="J71" i="36"/>
  <c r="J116" i="36"/>
  <c r="E128" i="36"/>
  <c r="B142" i="36"/>
  <c r="J142" i="36" s="1"/>
  <c r="B146" i="36"/>
  <c r="J146" i="36" s="1"/>
  <c r="J86" i="36"/>
  <c r="B127" i="36"/>
  <c r="J127" i="36" s="1"/>
  <c r="F149" i="36"/>
  <c r="B87" i="36"/>
  <c r="J114" i="36"/>
  <c r="J115" i="36"/>
  <c r="J137" i="36"/>
  <c r="G149" i="35"/>
  <c r="J148" i="35"/>
  <c r="C149" i="35"/>
  <c r="J138" i="35"/>
  <c r="J143" i="35"/>
  <c r="E149" i="35"/>
  <c r="J133" i="35"/>
  <c r="J145" i="35"/>
  <c r="J146" i="35"/>
  <c r="J142" i="35"/>
  <c r="F128" i="35"/>
  <c r="F87" i="35"/>
  <c r="J116" i="35"/>
  <c r="J115" i="35"/>
  <c r="J127" i="35"/>
  <c r="B126" i="35"/>
  <c r="J126" i="35" s="1"/>
  <c r="J85" i="35"/>
  <c r="J87" i="35" s="1"/>
  <c r="J121" i="35"/>
  <c r="J112" i="35"/>
  <c r="J144" i="35"/>
  <c r="J139" i="35"/>
  <c r="J122" i="35"/>
  <c r="J125" i="35"/>
  <c r="J134" i="35"/>
  <c r="J117" i="35"/>
  <c r="J141" i="35"/>
  <c r="J124" i="35"/>
  <c r="H128" i="35"/>
  <c r="J140" i="35"/>
  <c r="J123" i="35"/>
  <c r="J135" i="35"/>
  <c r="J118" i="35"/>
  <c r="G128" i="35"/>
  <c r="D149" i="35"/>
  <c r="J66" i="35"/>
  <c r="M66" i="35" s="1"/>
  <c r="C128" i="35"/>
  <c r="J113" i="35"/>
  <c r="E128" i="35"/>
  <c r="J137" i="35"/>
  <c r="J120" i="35"/>
  <c r="H149" i="35"/>
  <c r="J136" i="35"/>
  <c r="J119" i="35"/>
  <c r="J114" i="35"/>
  <c r="F149" i="34"/>
  <c r="J143" i="34"/>
  <c r="J66" i="34"/>
  <c r="M66" i="34" s="1"/>
  <c r="E87" i="34"/>
  <c r="E128" i="34"/>
  <c r="J126" i="34"/>
  <c r="J120" i="34"/>
  <c r="J118" i="34"/>
  <c r="J116" i="34"/>
  <c r="J114" i="34"/>
  <c r="D128" i="34"/>
  <c r="J117" i="34"/>
  <c r="J121" i="34"/>
  <c r="G128" i="34"/>
  <c r="J137" i="34"/>
  <c r="J73" i="34"/>
  <c r="J84" i="34"/>
  <c r="B125" i="34"/>
  <c r="J125" i="34" s="1"/>
  <c r="C128" i="34"/>
  <c r="C87" i="34"/>
  <c r="B113" i="34"/>
  <c r="J113" i="34" s="1"/>
  <c r="J72" i="34"/>
  <c r="B138" i="34"/>
  <c r="J138" i="34" s="1"/>
  <c r="B142" i="34"/>
  <c r="J142" i="34" s="1"/>
  <c r="F128" i="34"/>
  <c r="J147" i="34"/>
  <c r="H128" i="34"/>
  <c r="J112" i="34"/>
  <c r="J141" i="34"/>
  <c r="J139" i="34"/>
  <c r="J70" i="34"/>
  <c r="J86" i="34"/>
  <c r="B127" i="34"/>
  <c r="J127" i="34" s="1"/>
  <c r="D149" i="34"/>
  <c r="B115" i="34"/>
  <c r="J115" i="34" s="1"/>
  <c r="J74" i="34"/>
  <c r="B119" i="34"/>
  <c r="J119" i="34" s="1"/>
  <c r="J78" i="34"/>
  <c r="J82" i="34"/>
  <c r="B123" i="34"/>
  <c r="J123" i="34" s="1"/>
  <c r="J83" i="34"/>
  <c r="B124" i="34"/>
  <c r="J124" i="34" s="1"/>
  <c r="H149" i="34"/>
  <c r="B133" i="34"/>
  <c r="J133" i="34" s="1"/>
  <c r="J122" i="34"/>
  <c r="B135" i="34"/>
  <c r="B87" i="34"/>
  <c r="C149" i="33"/>
  <c r="J124" i="33"/>
  <c r="B111" i="33"/>
  <c r="B132" i="33" s="1"/>
  <c r="B87" i="33"/>
  <c r="J70" i="33"/>
  <c r="B115" i="33"/>
  <c r="J115" i="33" s="1"/>
  <c r="J74" i="33"/>
  <c r="B119" i="33"/>
  <c r="J119" i="33" s="1"/>
  <c r="J78" i="33"/>
  <c r="J66" i="33"/>
  <c r="M66" i="33" s="1"/>
  <c r="J121" i="33"/>
  <c r="G128" i="33"/>
  <c r="B127" i="33"/>
  <c r="J127" i="33" s="1"/>
  <c r="J86" i="33"/>
  <c r="B112" i="33"/>
  <c r="J112" i="33" s="1"/>
  <c r="J71" i="33"/>
  <c r="B116" i="33"/>
  <c r="J116" i="33" s="1"/>
  <c r="J75" i="33"/>
  <c r="B120" i="33"/>
  <c r="J120" i="33" s="1"/>
  <c r="J79" i="33"/>
  <c r="G149" i="33"/>
  <c r="F128" i="33"/>
  <c r="F87" i="33"/>
  <c r="B147" i="33"/>
  <c r="J147" i="33" s="1"/>
  <c r="E128" i="33"/>
  <c r="E87" i="33"/>
  <c r="B113" i="33"/>
  <c r="J113" i="33" s="1"/>
  <c r="J72" i="33"/>
  <c r="B117" i="33"/>
  <c r="J117" i="33" s="1"/>
  <c r="J76" i="33"/>
  <c r="H128" i="33"/>
  <c r="H87" i="33"/>
  <c r="C128" i="33"/>
  <c r="J145" i="33"/>
  <c r="B122" i="33"/>
  <c r="J122" i="33" s="1"/>
  <c r="J81" i="33"/>
  <c r="B125" i="33"/>
  <c r="J125" i="33" s="1"/>
  <c r="J84" i="33"/>
  <c r="B114" i="33"/>
  <c r="J114" i="33" s="1"/>
  <c r="J73" i="33"/>
  <c r="B118" i="33"/>
  <c r="J118" i="33" s="1"/>
  <c r="J77" i="33"/>
  <c r="J142" i="33"/>
  <c r="J123" i="33"/>
  <c r="E149" i="32"/>
  <c r="J137" i="32"/>
  <c r="J143" i="32"/>
  <c r="J114" i="32"/>
  <c r="B139" i="32"/>
  <c r="J139" i="32" s="1"/>
  <c r="J84" i="32"/>
  <c r="B125" i="32"/>
  <c r="J125" i="32" s="1"/>
  <c r="J112" i="32"/>
  <c r="J135" i="32"/>
  <c r="J127" i="32"/>
  <c r="C87" i="32"/>
  <c r="J133" i="32"/>
  <c r="B124" i="32"/>
  <c r="J124" i="32" s="1"/>
  <c r="J83" i="32"/>
  <c r="J115" i="32"/>
  <c r="G128" i="32"/>
  <c r="J72" i="32"/>
  <c r="J117" i="32"/>
  <c r="F128" i="32"/>
  <c r="H87" i="32"/>
  <c r="H128" i="32"/>
  <c r="J120" i="32"/>
  <c r="B126" i="32"/>
  <c r="J126" i="32" s="1"/>
  <c r="J85" i="32"/>
  <c r="J138" i="32"/>
  <c r="E128" i="32"/>
  <c r="D128" i="32"/>
  <c r="D87" i="32"/>
  <c r="J82" i="32"/>
  <c r="B123" i="32"/>
  <c r="J123" i="32" s="1"/>
  <c r="B148" i="32"/>
  <c r="J148" i="32" s="1"/>
  <c r="J70" i="32"/>
  <c r="J119" i="32"/>
  <c r="B121" i="32"/>
  <c r="J121" i="32" s="1"/>
  <c r="J80" i="32"/>
  <c r="J116" i="32"/>
  <c r="B141" i="32"/>
  <c r="J141" i="32" s="1"/>
  <c r="J122" i="32"/>
  <c r="B134" i="32"/>
  <c r="F149" i="32"/>
  <c r="J139" i="31"/>
  <c r="D149" i="31"/>
  <c r="J147" i="31"/>
  <c r="J142" i="31"/>
  <c r="B87" i="31"/>
  <c r="B111" i="31"/>
  <c r="B132" i="31" s="1"/>
  <c r="J70" i="31"/>
  <c r="J87" i="31" s="1"/>
  <c r="J127" i="31"/>
  <c r="J112" i="31"/>
  <c r="J144" i="31"/>
  <c r="J136" i="31"/>
  <c r="J117" i="31"/>
  <c r="J146" i="31"/>
  <c r="H149" i="31"/>
  <c r="F128" i="31"/>
  <c r="G128" i="31"/>
  <c r="C149" i="31"/>
  <c r="B133" i="31"/>
  <c r="J133" i="31" s="1"/>
  <c r="J120" i="31"/>
  <c r="J123" i="31"/>
  <c r="J113" i="31"/>
  <c r="J115" i="31"/>
  <c r="J125" i="31"/>
  <c r="J141" i="31"/>
  <c r="F149" i="31"/>
  <c r="G149" i="31"/>
  <c r="E128" i="31"/>
  <c r="E87" i="31"/>
  <c r="J137" i="31"/>
  <c r="J118" i="31"/>
  <c r="J145" i="31"/>
  <c r="J126" i="31"/>
  <c r="J134" i="31"/>
  <c r="J140" i="31"/>
  <c r="J121" i="31"/>
  <c r="D128" i="31"/>
  <c r="J135" i="31"/>
  <c r="J66" i="31"/>
  <c r="M66" i="31" s="1"/>
  <c r="B148" i="31"/>
  <c r="J148" i="31" s="1"/>
  <c r="J114" i="31"/>
  <c r="J116" i="31"/>
  <c r="B143" i="31"/>
  <c r="J143" i="31" s="1"/>
  <c r="J124" i="31"/>
  <c r="B138" i="31"/>
  <c r="J138" i="31" s="1"/>
  <c r="J119" i="31"/>
  <c r="F128" i="30"/>
  <c r="E87" i="30"/>
  <c r="E128" i="30"/>
  <c r="B113" i="30"/>
  <c r="J113" i="30" s="1"/>
  <c r="J72" i="30"/>
  <c r="J70" i="30"/>
  <c r="J119" i="30"/>
  <c r="J112" i="30"/>
  <c r="J116" i="30"/>
  <c r="B117" i="30"/>
  <c r="J117" i="30" s="1"/>
  <c r="J76" i="30"/>
  <c r="G149" i="30"/>
  <c r="J125" i="30"/>
  <c r="B87" i="30"/>
  <c r="J115" i="30"/>
  <c r="J140" i="30"/>
  <c r="F149" i="30"/>
  <c r="J71" i="30"/>
  <c r="B137" i="30"/>
  <c r="B147" i="30"/>
  <c r="J118" i="30"/>
  <c r="J124" i="30"/>
  <c r="H149" i="30"/>
  <c r="B121" i="30"/>
  <c r="J121" i="30" s="1"/>
  <c r="J80" i="30"/>
  <c r="H87" i="30"/>
  <c r="J127" i="30"/>
  <c r="B136" i="30"/>
  <c r="J136" i="30" s="1"/>
  <c r="J114" i="30"/>
  <c r="B135" i="30"/>
  <c r="J77" i="30"/>
  <c r="B143" i="30"/>
  <c r="J66" i="30"/>
  <c r="M66" i="30" s="1"/>
  <c r="J120" i="30"/>
  <c r="J126" i="30"/>
  <c r="B146" i="30"/>
  <c r="B144" i="30"/>
  <c r="J83" i="30"/>
  <c r="H128" i="30"/>
  <c r="G128" i="30"/>
  <c r="D128" i="30"/>
  <c r="B132" i="30"/>
  <c r="G114" i="29"/>
  <c r="J114" i="29" s="1"/>
  <c r="J73" i="29"/>
  <c r="D111" i="29"/>
  <c r="D132" i="29" s="1"/>
  <c r="D87" i="29"/>
  <c r="C118" i="29"/>
  <c r="J118" i="29" s="1"/>
  <c r="D120" i="29"/>
  <c r="D141" i="29" s="1"/>
  <c r="J141" i="29" s="1"/>
  <c r="C112" i="29"/>
  <c r="C133" i="29" s="1"/>
  <c r="J140" i="29"/>
  <c r="J136" i="29"/>
  <c r="H149" i="29"/>
  <c r="F128" i="29"/>
  <c r="J124" i="29"/>
  <c r="C122" i="29"/>
  <c r="J138" i="29"/>
  <c r="J134" i="29"/>
  <c r="B147" i="29"/>
  <c r="J147" i="29" s="1"/>
  <c r="B135" i="29"/>
  <c r="B145" i="29"/>
  <c r="J145" i="29" s="1"/>
  <c r="B133" i="29"/>
  <c r="G112" i="29"/>
  <c r="J84" i="29"/>
  <c r="B125" i="29"/>
  <c r="J125" i="29" s="1"/>
  <c r="B123" i="29"/>
  <c r="B144" i="29" s="1"/>
  <c r="J144" i="29" s="1"/>
  <c r="J82" i="29"/>
  <c r="E132" i="29"/>
  <c r="E149" i="29" s="1"/>
  <c r="H128" i="29"/>
  <c r="F132" i="29"/>
  <c r="F149" i="29" s="1"/>
  <c r="B87" i="29"/>
  <c r="C116" i="29"/>
  <c r="J116" i="29" s="1"/>
  <c r="B127" i="29"/>
  <c r="J127" i="29" s="1"/>
  <c r="J86" i="29"/>
  <c r="C87" i="29"/>
  <c r="E13" i="17"/>
  <c r="D12" i="17" s="1"/>
  <c r="D13" i="17"/>
  <c r="E12" i="17" s="1"/>
  <c r="E19" i="45"/>
  <c r="E19" i="46"/>
  <c r="E19" i="49"/>
  <c r="E19" i="51"/>
  <c r="E19" i="53"/>
  <c r="E19" i="55"/>
  <c r="E19" i="57"/>
  <c r="E19" i="59"/>
  <c r="E19" i="61"/>
  <c r="E19" i="63"/>
  <c r="E19" i="65"/>
  <c r="E19" i="67"/>
  <c r="E19" i="69"/>
  <c r="E19" i="9"/>
  <c r="O37" i="19"/>
  <c r="P37" i="19"/>
  <c r="Q37" i="19"/>
  <c r="C37" i="19"/>
  <c r="E37" i="19"/>
  <c r="F37" i="19"/>
  <c r="G37" i="19"/>
  <c r="H37" i="19"/>
  <c r="I37" i="19"/>
  <c r="J37" i="19"/>
  <c r="K37" i="19"/>
  <c r="L37" i="19"/>
  <c r="M37" i="19"/>
  <c r="N37" i="19"/>
  <c r="D37" i="19"/>
  <c r="R69" i="19" l="1"/>
  <c r="G128" i="41"/>
  <c r="J114" i="39"/>
  <c r="J127" i="41"/>
  <c r="J128" i="41" s="1"/>
  <c r="M128" i="41" s="1"/>
  <c r="D128" i="39"/>
  <c r="C128" i="39"/>
  <c r="E128" i="39"/>
  <c r="J118" i="39"/>
  <c r="F128" i="39"/>
  <c r="J122" i="39"/>
  <c r="J117" i="39"/>
  <c r="J87" i="41"/>
  <c r="J123" i="39"/>
  <c r="B148" i="33"/>
  <c r="J148" i="33" s="1"/>
  <c r="H128" i="39"/>
  <c r="G128" i="39"/>
  <c r="G102" i="1"/>
  <c r="G123" i="1" s="1"/>
  <c r="J143" i="39"/>
  <c r="L81" i="2"/>
  <c r="K81" i="2"/>
  <c r="K101" i="2" s="1"/>
  <c r="K122" i="2" s="1"/>
  <c r="G149" i="39"/>
  <c r="L81" i="28"/>
  <c r="K81" i="28"/>
  <c r="J163" i="28"/>
  <c r="J184" i="28" s="1"/>
  <c r="L76" i="2"/>
  <c r="K76" i="2"/>
  <c r="K96" i="2" s="1"/>
  <c r="K117" i="2" s="1"/>
  <c r="L76" i="28"/>
  <c r="K76" i="28"/>
  <c r="G97" i="1"/>
  <c r="G118" i="1" s="1"/>
  <c r="I155" i="28"/>
  <c r="L73" i="28"/>
  <c r="K73" i="28"/>
  <c r="H152" i="28"/>
  <c r="G94" i="1"/>
  <c r="G115" i="1" s="1"/>
  <c r="L70" i="28"/>
  <c r="K70" i="28"/>
  <c r="K90" i="28" s="1"/>
  <c r="K111" i="28" s="1"/>
  <c r="L73" i="2"/>
  <c r="K73" i="2"/>
  <c r="K93" i="2" s="1"/>
  <c r="K114" i="2" s="1"/>
  <c r="F100" i="1"/>
  <c r="F121" i="1" s="1"/>
  <c r="J144" i="39"/>
  <c r="E149" i="39"/>
  <c r="J138" i="39"/>
  <c r="C149" i="39"/>
  <c r="J139" i="39"/>
  <c r="J148" i="41"/>
  <c r="G149" i="41"/>
  <c r="F149" i="39"/>
  <c r="J135" i="39"/>
  <c r="J79" i="28"/>
  <c r="J99" i="28" s="1"/>
  <c r="J120" i="28" s="1"/>
  <c r="J79" i="2"/>
  <c r="J99" i="2" s="1"/>
  <c r="J120" i="2" s="1"/>
  <c r="J115" i="37"/>
  <c r="H149" i="39"/>
  <c r="B136" i="33"/>
  <c r="J136" i="33" s="1"/>
  <c r="G128" i="29"/>
  <c r="C149" i="40"/>
  <c r="J120" i="29"/>
  <c r="B143" i="33"/>
  <c r="J143" i="33" s="1"/>
  <c r="B141" i="39"/>
  <c r="J141" i="39" s="1"/>
  <c r="B137" i="39"/>
  <c r="J137" i="39" s="1"/>
  <c r="F16" i="69"/>
  <c r="E16" i="69"/>
  <c r="E16" i="67"/>
  <c r="F16" i="67"/>
  <c r="F16" i="65"/>
  <c r="E16" i="65"/>
  <c r="E16" i="63"/>
  <c r="F16" i="63"/>
  <c r="F16" i="61"/>
  <c r="E16" i="61"/>
  <c r="J133" i="39"/>
  <c r="F16" i="59"/>
  <c r="E16" i="59"/>
  <c r="F16" i="55"/>
  <c r="E16" i="55"/>
  <c r="E16" i="53"/>
  <c r="F16" i="53"/>
  <c r="E16" i="51"/>
  <c r="F16" i="51"/>
  <c r="F16" i="49"/>
  <c r="E16" i="49"/>
  <c r="F16" i="46"/>
  <c r="E16" i="46"/>
  <c r="F16" i="45"/>
  <c r="E16" i="45"/>
  <c r="G135" i="29"/>
  <c r="J135" i="29" s="1"/>
  <c r="B128" i="41"/>
  <c r="J136" i="36"/>
  <c r="G149" i="34"/>
  <c r="B139" i="33"/>
  <c r="J139" i="33" s="1"/>
  <c r="J148" i="30"/>
  <c r="J133" i="30"/>
  <c r="B148" i="37"/>
  <c r="J148" i="37" s="1"/>
  <c r="B142" i="41"/>
  <c r="J142" i="41" s="1"/>
  <c r="J113" i="36"/>
  <c r="B138" i="33"/>
  <c r="J138" i="33" s="1"/>
  <c r="J113" i="32"/>
  <c r="J140" i="40"/>
  <c r="J142" i="40"/>
  <c r="J87" i="40"/>
  <c r="B128" i="40"/>
  <c r="J142" i="37"/>
  <c r="J87" i="39"/>
  <c r="B147" i="38"/>
  <c r="J147" i="38" s="1"/>
  <c r="B135" i="38"/>
  <c r="J135" i="38" s="1"/>
  <c r="J112" i="36"/>
  <c r="D149" i="36"/>
  <c r="B141" i="33"/>
  <c r="J141" i="33" s="1"/>
  <c r="B146" i="32"/>
  <c r="J146" i="32" s="1"/>
  <c r="E149" i="31"/>
  <c r="J147" i="30"/>
  <c r="J146" i="30"/>
  <c r="J139" i="30"/>
  <c r="C137" i="29"/>
  <c r="J137" i="29" s="1"/>
  <c r="J87" i="29"/>
  <c r="B148" i="29"/>
  <c r="J148" i="29" s="1"/>
  <c r="C128" i="29"/>
  <c r="C139" i="29"/>
  <c r="J139" i="29" s="1"/>
  <c r="J133" i="37"/>
  <c r="B133" i="33"/>
  <c r="J133" i="33" s="1"/>
  <c r="J122" i="29"/>
  <c r="C143" i="29"/>
  <c r="J143" i="29" s="1"/>
  <c r="D149" i="30"/>
  <c r="J141" i="30"/>
  <c r="J135" i="30"/>
  <c r="J111" i="30"/>
  <c r="J122" i="30"/>
  <c r="J123" i="30"/>
  <c r="E149" i="30"/>
  <c r="B128" i="30"/>
  <c r="J136" i="32"/>
  <c r="H149" i="33"/>
  <c r="B135" i="33"/>
  <c r="J135" i="33" s="1"/>
  <c r="B134" i="33"/>
  <c r="J134" i="33" s="1"/>
  <c r="B136" i="34"/>
  <c r="J136" i="34" s="1"/>
  <c r="B148" i="34"/>
  <c r="J148" i="34" s="1"/>
  <c r="B146" i="34"/>
  <c r="J146" i="34" s="1"/>
  <c r="J118" i="36"/>
  <c r="D149" i="38"/>
  <c r="J144" i="38"/>
  <c r="B139" i="38"/>
  <c r="J139" i="38" s="1"/>
  <c r="B140" i="38"/>
  <c r="J140" i="38" s="1"/>
  <c r="J87" i="38"/>
  <c r="J123" i="38"/>
  <c r="D149" i="39"/>
  <c r="J111" i="39"/>
  <c r="C128" i="37"/>
  <c r="G128" i="37"/>
  <c r="B147" i="37"/>
  <c r="J147" i="37" s="1"/>
  <c r="J135" i="37"/>
  <c r="J87" i="37"/>
  <c r="F149" i="35"/>
  <c r="B128" i="35"/>
  <c r="C128" i="40"/>
  <c r="J133" i="40"/>
  <c r="H128" i="40"/>
  <c r="J118" i="40"/>
  <c r="J128" i="40" s="1"/>
  <c r="M128" i="40" s="1"/>
  <c r="E128" i="40"/>
  <c r="B146" i="40"/>
  <c r="J146" i="40" s="1"/>
  <c r="J132" i="41"/>
  <c r="B134" i="40"/>
  <c r="J132" i="40"/>
  <c r="D128" i="40"/>
  <c r="B128" i="39"/>
  <c r="J132" i="39"/>
  <c r="B143" i="38"/>
  <c r="J143" i="38" s="1"/>
  <c r="B141" i="38"/>
  <c r="J141" i="38" s="1"/>
  <c r="E149" i="38"/>
  <c r="J111" i="38"/>
  <c r="B133" i="38"/>
  <c r="J133" i="38" s="1"/>
  <c r="B128" i="38"/>
  <c r="J112" i="37"/>
  <c r="J143" i="37"/>
  <c r="B144" i="37"/>
  <c r="J144" i="37" s="1"/>
  <c r="B128" i="37"/>
  <c r="B146" i="37"/>
  <c r="J146" i="37" s="1"/>
  <c r="E149" i="36"/>
  <c r="C128" i="36"/>
  <c r="B128" i="36"/>
  <c r="B148" i="36"/>
  <c r="J148" i="36" s="1"/>
  <c r="J111" i="35"/>
  <c r="J128" i="35" s="1"/>
  <c r="M128" i="35" s="1"/>
  <c r="B147" i="35"/>
  <c r="B140" i="34"/>
  <c r="J140" i="34" s="1"/>
  <c r="B145" i="34"/>
  <c r="J145" i="34" s="1"/>
  <c r="B144" i="34"/>
  <c r="J144" i="34" s="1"/>
  <c r="B128" i="34"/>
  <c r="J111" i="34"/>
  <c r="J128" i="34" s="1"/>
  <c r="M128" i="34" s="1"/>
  <c r="J87" i="34"/>
  <c r="B134" i="34"/>
  <c r="E149" i="34"/>
  <c r="B146" i="33"/>
  <c r="J146" i="33" s="1"/>
  <c r="F149" i="33"/>
  <c r="B137" i="33"/>
  <c r="J137" i="33" s="1"/>
  <c r="B140" i="33"/>
  <c r="J140" i="33" s="1"/>
  <c r="B128" i="33"/>
  <c r="J111" i="33"/>
  <c r="J128" i="33" s="1"/>
  <c r="M128" i="33" s="1"/>
  <c r="J87" i="33"/>
  <c r="E149" i="33"/>
  <c r="H149" i="32"/>
  <c r="C128" i="32"/>
  <c r="J87" i="32"/>
  <c r="B144" i="32"/>
  <c r="J144" i="32" s="1"/>
  <c r="G149" i="32"/>
  <c r="J111" i="32"/>
  <c r="B142" i="32"/>
  <c r="J142" i="32" s="1"/>
  <c r="B147" i="32"/>
  <c r="J147" i="32" s="1"/>
  <c r="B145" i="32"/>
  <c r="J145" i="32" s="1"/>
  <c r="B128" i="32"/>
  <c r="B128" i="31"/>
  <c r="J111" i="31"/>
  <c r="J128" i="31" s="1"/>
  <c r="M128" i="31" s="1"/>
  <c r="B149" i="31"/>
  <c r="J143" i="30"/>
  <c r="B142" i="30"/>
  <c r="J142" i="30" s="1"/>
  <c r="J145" i="30"/>
  <c r="B138" i="30"/>
  <c r="J138" i="30" s="1"/>
  <c r="J137" i="30"/>
  <c r="C128" i="30"/>
  <c r="J87" i="30"/>
  <c r="B134" i="30"/>
  <c r="J134" i="30" s="1"/>
  <c r="B146" i="29"/>
  <c r="J146" i="29" s="1"/>
  <c r="D128" i="29"/>
  <c r="J111" i="29"/>
  <c r="G133" i="29"/>
  <c r="J112" i="29"/>
  <c r="J123" i="29"/>
  <c r="B128" i="29"/>
  <c r="D149" i="29"/>
  <c r="J132" i="29"/>
  <c r="K101" i="28" l="1"/>
  <c r="K122" i="28" s="1"/>
  <c r="K163" i="28" s="1"/>
  <c r="K184" i="28" s="1"/>
  <c r="K93" i="28"/>
  <c r="K114" i="28" s="1"/>
  <c r="K155" i="28" s="1"/>
  <c r="K176" i="28" s="1"/>
  <c r="K96" i="28"/>
  <c r="K117" i="28" s="1"/>
  <c r="K158" i="28" s="1"/>
  <c r="K179" i="28" s="1"/>
  <c r="G149" i="29"/>
  <c r="B149" i="39"/>
  <c r="J128" i="39"/>
  <c r="M128" i="39" s="1"/>
  <c r="E15" i="61" s="1"/>
  <c r="F14" i="61" s="1"/>
  <c r="H102" i="1"/>
  <c r="H123" i="1" s="1"/>
  <c r="I163" i="28"/>
  <c r="F18" i="51"/>
  <c r="H97" i="1"/>
  <c r="H118" i="1" s="1"/>
  <c r="H94" i="1"/>
  <c r="H115" i="1" s="1"/>
  <c r="L90" i="28"/>
  <c r="K152" i="28"/>
  <c r="K173" i="28" s="1"/>
  <c r="H173" i="28"/>
  <c r="I176" i="28"/>
  <c r="H161" i="28"/>
  <c r="H182" i="28" s="1"/>
  <c r="K79" i="28"/>
  <c r="K99" i="28" s="1"/>
  <c r="K120" i="28" s="1"/>
  <c r="L79" i="28"/>
  <c r="I161" i="28"/>
  <c r="I182" i="28" s="1"/>
  <c r="G100" i="1"/>
  <c r="G121" i="1" s="1"/>
  <c r="K79" i="2"/>
  <c r="K99" i="2" s="1"/>
  <c r="K120" i="2" s="1"/>
  <c r="L79" i="2"/>
  <c r="H149" i="40"/>
  <c r="J128" i="37"/>
  <c r="M128" i="37" s="1"/>
  <c r="F15" i="65" s="1"/>
  <c r="E14" i="65" s="1"/>
  <c r="J135" i="34"/>
  <c r="J144" i="30"/>
  <c r="F18" i="46"/>
  <c r="F18" i="45"/>
  <c r="D149" i="37"/>
  <c r="F18" i="49"/>
  <c r="E18" i="53"/>
  <c r="J128" i="32"/>
  <c r="M128" i="32" s="1"/>
  <c r="E15" i="51" s="1"/>
  <c r="F14" i="51" s="1"/>
  <c r="E18" i="51"/>
  <c r="E18" i="49"/>
  <c r="E18" i="45"/>
  <c r="E18" i="46"/>
  <c r="C149" i="29"/>
  <c r="F18" i="53"/>
  <c r="E15" i="69"/>
  <c r="F14" i="69" s="1"/>
  <c r="F15" i="69"/>
  <c r="E14" i="69" s="1"/>
  <c r="F18" i="69"/>
  <c r="E18" i="69"/>
  <c r="E18" i="67"/>
  <c r="F18" i="67"/>
  <c r="E15" i="67"/>
  <c r="F14" i="67" s="1"/>
  <c r="F15" i="67"/>
  <c r="E14" i="67" s="1"/>
  <c r="E18" i="65"/>
  <c r="F18" i="65"/>
  <c r="F15" i="63"/>
  <c r="E14" i="63" s="1"/>
  <c r="E15" i="63"/>
  <c r="F14" i="63" s="1"/>
  <c r="E18" i="63"/>
  <c r="F18" i="63"/>
  <c r="J149" i="39"/>
  <c r="E18" i="61"/>
  <c r="F18" i="61"/>
  <c r="E18" i="59"/>
  <c r="F18" i="59"/>
  <c r="E18" i="55"/>
  <c r="F18" i="55"/>
  <c r="F15" i="55"/>
  <c r="E14" i="55" s="1"/>
  <c r="E15" i="55"/>
  <c r="F14" i="55" s="1"/>
  <c r="F15" i="53"/>
  <c r="E14" i="53" s="1"/>
  <c r="E15" i="53"/>
  <c r="F14" i="53" s="1"/>
  <c r="E15" i="49"/>
  <c r="F14" i="49" s="1"/>
  <c r="F15" i="49"/>
  <c r="E14" i="49" s="1"/>
  <c r="J149" i="41"/>
  <c r="J132" i="31"/>
  <c r="J149" i="31" s="1"/>
  <c r="E149" i="40"/>
  <c r="G149" i="37"/>
  <c r="B149" i="41"/>
  <c r="J132" i="30"/>
  <c r="B149" i="33"/>
  <c r="C149" i="32"/>
  <c r="J128" i="30"/>
  <c r="M128" i="30" s="1"/>
  <c r="C149" i="30"/>
  <c r="J133" i="29"/>
  <c r="J149" i="29" s="1"/>
  <c r="J133" i="36"/>
  <c r="B149" i="38"/>
  <c r="B149" i="29"/>
  <c r="B149" i="30"/>
  <c r="J135" i="36"/>
  <c r="J128" i="38"/>
  <c r="M128" i="38" s="1"/>
  <c r="C149" i="38"/>
  <c r="J132" i="38"/>
  <c r="J149" i="38" s="1"/>
  <c r="J149" i="37"/>
  <c r="J132" i="35"/>
  <c r="J134" i="40"/>
  <c r="B149" i="40"/>
  <c r="J137" i="40"/>
  <c r="D149" i="40"/>
  <c r="C149" i="37"/>
  <c r="B149" i="37"/>
  <c r="B149" i="36"/>
  <c r="C149" i="36"/>
  <c r="J132" i="36"/>
  <c r="J147" i="35"/>
  <c r="B149" i="35"/>
  <c r="J134" i="34"/>
  <c r="B149" i="34"/>
  <c r="C149" i="34"/>
  <c r="J132" i="34"/>
  <c r="J132" i="33"/>
  <c r="J149" i="33" s="1"/>
  <c r="D149" i="32"/>
  <c r="J132" i="32"/>
  <c r="B149" i="32"/>
  <c r="J134" i="32"/>
  <c r="J128" i="29"/>
  <c r="M128" i="29" s="1"/>
  <c r="F15" i="61" l="1"/>
  <c r="E14" i="61" s="1"/>
  <c r="E23" i="61" s="1"/>
  <c r="I102" i="1"/>
  <c r="I123" i="1" s="1"/>
  <c r="L101" i="28"/>
  <c r="L122" i="28"/>
  <c r="I94" i="1"/>
  <c r="I115" i="1" s="1"/>
  <c r="I97" i="1"/>
  <c r="I118" i="1" s="1"/>
  <c r="L93" i="28"/>
  <c r="L96" i="28"/>
  <c r="K163" i="2"/>
  <c r="I164" i="1" s="1"/>
  <c r="I184" i="28"/>
  <c r="L184" i="28" s="1"/>
  <c r="L163" i="28"/>
  <c r="J158" i="28"/>
  <c r="L117" i="28"/>
  <c r="K158" i="2"/>
  <c r="I159" i="1" s="1"/>
  <c r="J155" i="28"/>
  <c r="L114" i="28"/>
  <c r="J152" i="28"/>
  <c r="L111" i="28"/>
  <c r="K155" i="2"/>
  <c r="I156" i="1" s="1"/>
  <c r="H100" i="1"/>
  <c r="H121" i="1" s="1"/>
  <c r="L120" i="28"/>
  <c r="L99" i="28"/>
  <c r="J161" i="28"/>
  <c r="J182" i="28" s="1"/>
  <c r="K161" i="28"/>
  <c r="I100" i="1"/>
  <c r="I121" i="1" s="1"/>
  <c r="E15" i="65"/>
  <c r="F14" i="65" s="1"/>
  <c r="F23" i="65" s="1"/>
  <c r="E23" i="63"/>
  <c r="J149" i="30"/>
  <c r="E23" i="67"/>
  <c r="F15" i="51"/>
  <c r="E14" i="51" s="1"/>
  <c r="E23" i="51" s="1"/>
  <c r="E23" i="53"/>
  <c r="F23" i="49"/>
  <c r="E23" i="49"/>
  <c r="E23" i="55"/>
  <c r="E23" i="69"/>
  <c r="F23" i="53"/>
  <c r="F23" i="69"/>
  <c r="F23" i="67"/>
  <c r="F23" i="63"/>
  <c r="F23" i="61"/>
  <c r="F15" i="59"/>
  <c r="E14" i="59" s="1"/>
  <c r="E15" i="59"/>
  <c r="F14" i="59" s="1"/>
  <c r="F23" i="55"/>
  <c r="F15" i="46"/>
  <c r="E14" i="46" s="1"/>
  <c r="E15" i="46"/>
  <c r="F14" i="46" s="1"/>
  <c r="E15" i="45"/>
  <c r="F14" i="45" s="1"/>
  <c r="F15" i="45"/>
  <c r="E14" i="45" s="1"/>
  <c r="J149" i="32"/>
  <c r="J149" i="35"/>
  <c r="J149" i="40"/>
  <c r="J149" i="34"/>
  <c r="D56" i="18"/>
  <c r="D57" i="18" s="1"/>
  <c r="E56" i="18"/>
  <c r="F56" i="18"/>
  <c r="G56" i="18"/>
  <c r="H56" i="18"/>
  <c r="I56" i="18"/>
  <c r="J56" i="18"/>
  <c r="K56" i="18"/>
  <c r="L56" i="18"/>
  <c r="C56" i="18"/>
  <c r="A2" i="13"/>
  <c r="E37" i="13"/>
  <c r="F37" i="13"/>
  <c r="G37" i="13"/>
  <c r="H37" i="13"/>
  <c r="I37" i="13"/>
  <c r="J37" i="13"/>
  <c r="K37" i="13"/>
  <c r="L37" i="13"/>
  <c r="C37" i="13"/>
  <c r="I185" i="1" l="1"/>
  <c r="I180" i="1"/>
  <c r="I177" i="1"/>
  <c r="K184" i="2"/>
  <c r="L57" i="18"/>
  <c r="K57" i="18"/>
  <c r="J57" i="18"/>
  <c r="F57" i="18"/>
  <c r="G57" i="18"/>
  <c r="H57" i="18"/>
  <c r="C57" i="18"/>
  <c r="E57" i="18"/>
  <c r="I57" i="18"/>
  <c r="K176" i="2"/>
  <c r="L161" i="28"/>
  <c r="K179" i="2"/>
  <c r="J179" i="28"/>
  <c r="L179" i="28" s="1"/>
  <c r="L158" i="28"/>
  <c r="J176" i="28"/>
  <c r="L176" i="28" s="1"/>
  <c r="L155" i="28"/>
  <c r="J173" i="28"/>
  <c r="L173" i="28" s="1"/>
  <c r="L152" i="28"/>
  <c r="K182" i="28"/>
  <c r="L182" i="28" s="1"/>
  <c r="K161" i="2"/>
  <c r="I162" i="1" s="1"/>
  <c r="I183" i="1" s="1"/>
  <c r="E23" i="65"/>
  <c r="F23" i="59"/>
  <c r="E23" i="45"/>
  <c r="F23" i="51"/>
  <c r="F23" i="46"/>
  <c r="E23" i="59"/>
  <c r="E23" i="46"/>
  <c r="F23" i="45"/>
  <c r="B36" i="13"/>
  <c r="B35" i="13"/>
  <c r="B34" i="13"/>
  <c r="B33" i="13"/>
  <c r="B32" i="13"/>
  <c r="B31" i="13"/>
  <c r="B30" i="13"/>
  <c r="B29" i="13"/>
  <c r="B28" i="13"/>
  <c r="B27" i="13"/>
  <c r="B26" i="13"/>
  <c r="B25" i="13"/>
  <c r="B24" i="13"/>
  <c r="B22" i="13"/>
  <c r="B23" i="13"/>
  <c r="E12" i="9"/>
  <c r="F12" i="9"/>
  <c r="E4" i="17"/>
  <c r="E2" i="17"/>
  <c r="D23" i="2"/>
  <c r="D65" i="2" s="1"/>
  <c r="D19" i="2"/>
  <c r="D61" i="2" s="1"/>
  <c r="D20" i="2"/>
  <c r="D21" i="2"/>
  <c r="D22" i="2"/>
  <c r="D64" i="2" s="1"/>
  <c r="D18" i="2"/>
  <c r="D60" i="2" s="1"/>
  <c r="D15" i="2"/>
  <c r="D57" i="2" s="1"/>
  <c r="D16" i="2"/>
  <c r="D58" i="2" s="1"/>
  <c r="D17" i="2"/>
  <c r="D59" i="2" s="1"/>
  <c r="D14" i="2"/>
  <c r="D56" i="2" s="1"/>
  <c r="D13" i="2"/>
  <c r="D55" i="2" s="1"/>
  <c r="D12" i="2"/>
  <c r="D54" i="2" s="1"/>
  <c r="D11" i="2"/>
  <c r="D53" i="2" s="1"/>
  <c r="D8" i="2"/>
  <c r="D50" i="2" s="1"/>
  <c r="D9" i="2"/>
  <c r="D51" i="2" s="1"/>
  <c r="D10" i="2"/>
  <c r="D52" i="2" s="1"/>
  <c r="B8" i="1"/>
  <c r="B70" i="1" s="1"/>
  <c r="O413" i="16"/>
  <c r="P413" i="16"/>
  <c r="Q413" i="16"/>
  <c r="R413" i="16"/>
  <c r="S413" i="16"/>
  <c r="T413" i="16"/>
  <c r="U413" i="16"/>
  <c r="O414" i="16"/>
  <c r="P414" i="16"/>
  <c r="Q414" i="16"/>
  <c r="R414" i="16"/>
  <c r="S414" i="16"/>
  <c r="T414" i="16"/>
  <c r="U414" i="16"/>
  <c r="O415" i="16"/>
  <c r="P415" i="16"/>
  <c r="Q415" i="16"/>
  <c r="R415" i="16"/>
  <c r="S415" i="16"/>
  <c r="T415" i="16"/>
  <c r="U415" i="16"/>
  <c r="O416" i="16"/>
  <c r="P416" i="16"/>
  <c r="Q416" i="16"/>
  <c r="R416" i="16"/>
  <c r="S416" i="16"/>
  <c r="T416" i="16"/>
  <c r="U416" i="16"/>
  <c r="O417" i="16"/>
  <c r="P417" i="16"/>
  <c r="Q417" i="16"/>
  <c r="R417" i="16"/>
  <c r="S417" i="16"/>
  <c r="T417" i="16"/>
  <c r="U417" i="16"/>
  <c r="O418" i="16"/>
  <c r="P418" i="16"/>
  <c r="Q418" i="16"/>
  <c r="R418" i="16"/>
  <c r="S418" i="16"/>
  <c r="T418" i="16"/>
  <c r="U418" i="16"/>
  <c r="O419" i="16"/>
  <c r="P419" i="16"/>
  <c r="Q419" i="16"/>
  <c r="R419" i="16"/>
  <c r="S419" i="16"/>
  <c r="T419" i="16"/>
  <c r="U419" i="16"/>
  <c r="O420" i="16"/>
  <c r="P420" i="16"/>
  <c r="Q420" i="16"/>
  <c r="R420" i="16"/>
  <c r="S420" i="16"/>
  <c r="T420" i="16"/>
  <c r="U420" i="16"/>
  <c r="O421" i="16"/>
  <c r="P421" i="16"/>
  <c r="Q421" i="16"/>
  <c r="R421" i="16"/>
  <c r="S421" i="16"/>
  <c r="T421" i="16"/>
  <c r="U421" i="16"/>
  <c r="O422" i="16"/>
  <c r="P422" i="16"/>
  <c r="Q422" i="16"/>
  <c r="R422" i="16"/>
  <c r="S422" i="16"/>
  <c r="T422" i="16"/>
  <c r="U422" i="16"/>
  <c r="O423" i="16"/>
  <c r="P423" i="16"/>
  <c r="Q423" i="16"/>
  <c r="R423" i="16"/>
  <c r="S423" i="16"/>
  <c r="T423" i="16"/>
  <c r="U423" i="16"/>
  <c r="O424" i="16"/>
  <c r="P424" i="16"/>
  <c r="Q424" i="16"/>
  <c r="R424" i="16"/>
  <c r="S424" i="16"/>
  <c r="T424" i="16"/>
  <c r="U424" i="16"/>
  <c r="O425" i="16"/>
  <c r="P425" i="16"/>
  <c r="Q425" i="16"/>
  <c r="R425" i="16"/>
  <c r="S425" i="16"/>
  <c r="T425" i="16"/>
  <c r="U425" i="16"/>
  <c r="O426" i="16"/>
  <c r="P426" i="16"/>
  <c r="Q426" i="16"/>
  <c r="R426" i="16"/>
  <c r="S426" i="16"/>
  <c r="T426" i="16"/>
  <c r="U426" i="16"/>
  <c r="O427" i="16"/>
  <c r="P427" i="16"/>
  <c r="Q427" i="16"/>
  <c r="R427" i="16"/>
  <c r="S427" i="16"/>
  <c r="T427" i="16"/>
  <c r="U427" i="16"/>
  <c r="O428" i="16"/>
  <c r="P428" i="16"/>
  <c r="Q428" i="16"/>
  <c r="R428" i="16"/>
  <c r="S428" i="16"/>
  <c r="T428" i="16"/>
  <c r="U428" i="16"/>
  <c r="O429" i="16"/>
  <c r="P429" i="16"/>
  <c r="Q429" i="16"/>
  <c r="R429" i="16"/>
  <c r="S429" i="16"/>
  <c r="T429" i="16"/>
  <c r="U429" i="16"/>
  <c r="O431" i="16"/>
  <c r="P431" i="16"/>
  <c r="Q431" i="16"/>
  <c r="R431" i="16"/>
  <c r="S431" i="16"/>
  <c r="T431" i="16"/>
  <c r="U431" i="16"/>
  <c r="O430" i="16"/>
  <c r="P430" i="16"/>
  <c r="Q430" i="16"/>
  <c r="R430" i="16"/>
  <c r="S430" i="16"/>
  <c r="T430" i="16"/>
  <c r="U430" i="16"/>
  <c r="O432" i="16"/>
  <c r="P432" i="16"/>
  <c r="Q432" i="16"/>
  <c r="R432" i="16"/>
  <c r="S432" i="16"/>
  <c r="T432" i="16"/>
  <c r="U432" i="16"/>
  <c r="N414" i="16"/>
  <c r="N415" i="16"/>
  <c r="N416" i="16"/>
  <c r="N417" i="16"/>
  <c r="N418" i="16"/>
  <c r="N419" i="16"/>
  <c r="N420" i="16"/>
  <c r="N421" i="16"/>
  <c r="N422" i="16"/>
  <c r="N423" i="16"/>
  <c r="N424" i="16"/>
  <c r="N425" i="16"/>
  <c r="N426" i="16"/>
  <c r="N427" i="16"/>
  <c r="N428" i="16"/>
  <c r="N429" i="16"/>
  <c r="N431" i="16"/>
  <c r="N430" i="16"/>
  <c r="N432" i="16"/>
  <c r="N413" i="16"/>
  <c r="D413" i="16"/>
  <c r="E413" i="16"/>
  <c r="F413" i="16"/>
  <c r="G413" i="16"/>
  <c r="H413" i="16"/>
  <c r="I413" i="16"/>
  <c r="AE413" i="16" s="1"/>
  <c r="J413" i="16"/>
  <c r="D414" i="16"/>
  <c r="E414" i="16"/>
  <c r="F414" i="16"/>
  <c r="G414" i="16"/>
  <c r="H414" i="16"/>
  <c r="I414" i="16"/>
  <c r="J414" i="16"/>
  <c r="D415" i="16"/>
  <c r="E415" i="16"/>
  <c r="F415" i="16"/>
  <c r="AB415" i="16" s="1"/>
  <c r="G415" i="16"/>
  <c r="AC415" i="16" s="1"/>
  <c r="H415" i="16"/>
  <c r="I415" i="16"/>
  <c r="J415" i="16"/>
  <c r="D416" i="16"/>
  <c r="E416" i="16"/>
  <c r="F416" i="16"/>
  <c r="G416" i="16"/>
  <c r="AC416" i="16" s="1"/>
  <c r="H416" i="16"/>
  <c r="I416" i="16"/>
  <c r="J416" i="16"/>
  <c r="D417" i="16"/>
  <c r="E417" i="16"/>
  <c r="F417" i="16"/>
  <c r="G417" i="16"/>
  <c r="H417" i="16"/>
  <c r="I417" i="16"/>
  <c r="J417" i="16"/>
  <c r="D418" i="16"/>
  <c r="E418" i="16"/>
  <c r="F418" i="16"/>
  <c r="AB418" i="16" s="1"/>
  <c r="G418" i="16"/>
  <c r="AC418" i="16" s="1"/>
  <c r="H418" i="16"/>
  <c r="I418" i="16"/>
  <c r="AE418" i="16" s="1"/>
  <c r="J418" i="16"/>
  <c r="AF418" i="16" s="1"/>
  <c r="D419" i="16"/>
  <c r="E419" i="16"/>
  <c r="F419" i="16"/>
  <c r="G419" i="16"/>
  <c r="H419" i="16"/>
  <c r="I419" i="16"/>
  <c r="J419" i="16"/>
  <c r="D420" i="16"/>
  <c r="E420" i="16"/>
  <c r="F420" i="16"/>
  <c r="G420" i="16"/>
  <c r="H420" i="16"/>
  <c r="I420" i="16"/>
  <c r="J420" i="16"/>
  <c r="D421" i="16"/>
  <c r="E421" i="16"/>
  <c r="F421" i="16"/>
  <c r="G421" i="16"/>
  <c r="H421" i="16"/>
  <c r="I421" i="16"/>
  <c r="J421" i="16"/>
  <c r="D422" i="16"/>
  <c r="E422" i="16"/>
  <c r="F422" i="16"/>
  <c r="AB422" i="16" s="1"/>
  <c r="G422" i="16"/>
  <c r="H422" i="16"/>
  <c r="I422" i="16"/>
  <c r="J422" i="16"/>
  <c r="D423" i="16"/>
  <c r="E423" i="16"/>
  <c r="F423" i="16"/>
  <c r="G423" i="16"/>
  <c r="H423" i="16"/>
  <c r="I423" i="16"/>
  <c r="J423" i="16"/>
  <c r="D424" i="16"/>
  <c r="E424" i="16"/>
  <c r="F424" i="16"/>
  <c r="G424" i="16"/>
  <c r="H424" i="16"/>
  <c r="I424" i="16"/>
  <c r="J424" i="16"/>
  <c r="D425" i="16"/>
  <c r="E425" i="16"/>
  <c r="F425" i="16"/>
  <c r="AB425" i="16" s="1"/>
  <c r="G425" i="16"/>
  <c r="H425" i="16"/>
  <c r="I425" i="16"/>
  <c r="AE425" i="16" s="1"/>
  <c r="J425" i="16"/>
  <c r="D426" i="16"/>
  <c r="E426" i="16"/>
  <c r="F426" i="16"/>
  <c r="G426" i="16"/>
  <c r="H426" i="16"/>
  <c r="I426" i="16"/>
  <c r="AE426" i="16" s="1"/>
  <c r="J426" i="16"/>
  <c r="D427" i="16"/>
  <c r="E427" i="16"/>
  <c r="F427" i="16"/>
  <c r="G427" i="16"/>
  <c r="AC427" i="16" s="1"/>
  <c r="H427" i="16"/>
  <c r="I427" i="16"/>
  <c r="J427" i="16"/>
  <c r="D428" i="16"/>
  <c r="E428" i="16"/>
  <c r="F428" i="16"/>
  <c r="G428" i="16"/>
  <c r="H428" i="16"/>
  <c r="AD428" i="16" s="1"/>
  <c r="I428" i="16"/>
  <c r="J428" i="16"/>
  <c r="AF428" i="16" s="1"/>
  <c r="D429" i="16"/>
  <c r="E429" i="16"/>
  <c r="F429" i="16"/>
  <c r="G429" i="16"/>
  <c r="H429" i="16"/>
  <c r="I429" i="16"/>
  <c r="J429" i="16"/>
  <c r="D431" i="16"/>
  <c r="E431" i="16"/>
  <c r="F431" i="16"/>
  <c r="G431" i="16"/>
  <c r="H431" i="16"/>
  <c r="I431" i="16"/>
  <c r="J431" i="16"/>
  <c r="AF431" i="16" s="1"/>
  <c r="D430" i="16"/>
  <c r="E430" i="16"/>
  <c r="F430" i="16"/>
  <c r="G430" i="16"/>
  <c r="H430" i="16"/>
  <c r="I430" i="16"/>
  <c r="J430" i="16"/>
  <c r="D432" i="16"/>
  <c r="E432" i="16"/>
  <c r="F432" i="16"/>
  <c r="G432" i="16"/>
  <c r="H432" i="16"/>
  <c r="I432" i="16"/>
  <c r="J432" i="16"/>
  <c r="C414" i="16"/>
  <c r="C415" i="16"/>
  <c r="C416" i="16"/>
  <c r="C417" i="16"/>
  <c r="C418" i="16"/>
  <c r="C419" i="16"/>
  <c r="C420" i="16"/>
  <c r="C421" i="16"/>
  <c r="C422" i="16"/>
  <c r="C423" i="16"/>
  <c r="C424" i="16"/>
  <c r="C425" i="16"/>
  <c r="C426" i="16"/>
  <c r="C427" i="16"/>
  <c r="C428" i="16"/>
  <c r="C429" i="16"/>
  <c r="C431" i="16"/>
  <c r="C430" i="16"/>
  <c r="C432" i="16"/>
  <c r="C413" i="16"/>
  <c r="Y411" i="16"/>
  <c r="N411" i="16"/>
  <c r="U407" i="16"/>
  <c r="T407" i="16"/>
  <c r="S407" i="16"/>
  <c r="R407" i="16"/>
  <c r="Q407" i="16"/>
  <c r="P407" i="16"/>
  <c r="O407" i="16"/>
  <c r="N407" i="16"/>
  <c r="J407" i="16"/>
  <c r="I407" i="16"/>
  <c r="H407" i="16"/>
  <c r="G407" i="16"/>
  <c r="F407" i="16"/>
  <c r="E407" i="16"/>
  <c r="D407" i="16"/>
  <c r="C407" i="16"/>
  <c r="AF406" i="16"/>
  <c r="AE406" i="16"/>
  <c r="AD406" i="16"/>
  <c r="AC406" i="16"/>
  <c r="AB406" i="16"/>
  <c r="AA406" i="16"/>
  <c r="Z406" i="16"/>
  <c r="Y406" i="16"/>
  <c r="V406" i="16"/>
  <c r="K406" i="16"/>
  <c r="AF405" i="16"/>
  <c r="AE405" i="16"/>
  <c r="AD405" i="16"/>
  <c r="AC405" i="16"/>
  <c r="AB405" i="16"/>
  <c r="AA405" i="16"/>
  <c r="Z405" i="16"/>
  <c r="Y405" i="16"/>
  <c r="V405" i="16"/>
  <c r="K405" i="16"/>
  <c r="AF404" i="16"/>
  <c r="AE404" i="16"/>
  <c r="AD404" i="16"/>
  <c r="AC404" i="16"/>
  <c r="AB404" i="16"/>
  <c r="AA404" i="16"/>
  <c r="Z404" i="16"/>
  <c r="Y404" i="16"/>
  <c r="V404" i="16"/>
  <c r="K404" i="16"/>
  <c r="AF403" i="16"/>
  <c r="AE403" i="16"/>
  <c r="AD403" i="16"/>
  <c r="AC403" i="16"/>
  <c r="AB403" i="16"/>
  <c r="AA403" i="16"/>
  <c r="Z403" i="16"/>
  <c r="Y403" i="16"/>
  <c r="V403" i="16"/>
  <c r="K403" i="16"/>
  <c r="AF402" i="16"/>
  <c r="AE402" i="16"/>
  <c r="AD402" i="16"/>
  <c r="AC402" i="16"/>
  <c r="AB402" i="16"/>
  <c r="AA402" i="16"/>
  <c r="Z402" i="16"/>
  <c r="Y402" i="16"/>
  <c r="V402" i="16"/>
  <c r="K402" i="16"/>
  <c r="AF401" i="16"/>
  <c r="AE401" i="16"/>
  <c r="AD401" i="16"/>
  <c r="AC401" i="16"/>
  <c r="AB401" i="16"/>
  <c r="AA401" i="16"/>
  <c r="Z401" i="16"/>
  <c r="Y401" i="16"/>
  <c r="V401" i="16"/>
  <c r="K401" i="16"/>
  <c r="AF400" i="16"/>
  <c r="AE400" i="16"/>
  <c r="AD400" i="16"/>
  <c r="AC400" i="16"/>
  <c r="AB400" i="16"/>
  <c r="AA400" i="16"/>
  <c r="Z400" i="16"/>
  <c r="Y400" i="16"/>
  <c r="V400" i="16"/>
  <c r="K400" i="16"/>
  <c r="AF399" i="16"/>
  <c r="AE399" i="16"/>
  <c r="AD399" i="16"/>
  <c r="AC399" i="16"/>
  <c r="AB399" i="16"/>
  <c r="AA399" i="16"/>
  <c r="Z399" i="16"/>
  <c r="Y399" i="16"/>
  <c r="V399" i="16"/>
  <c r="K399" i="16"/>
  <c r="AF398" i="16"/>
  <c r="AE398" i="16"/>
  <c r="AD398" i="16"/>
  <c r="AC398" i="16"/>
  <c r="AB398" i="16"/>
  <c r="AA398" i="16"/>
  <c r="Z398" i="16"/>
  <c r="Y398" i="16"/>
  <c r="V398" i="16"/>
  <c r="K398" i="16"/>
  <c r="AF397" i="16"/>
  <c r="AE397" i="16"/>
  <c r="AD397" i="16"/>
  <c r="AC397" i="16"/>
  <c r="AB397" i="16"/>
  <c r="AA397" i="16"/>
  <c r="Z397" i="16"/>
  <c r="Y397" i="16"/>
  <c r="V397" i="16"/>
  <c r="K397" i="16"/>
  <c r="AF396" i="16"/>
  <c r="AE396" i="16"/>
  <c r="AD396" i="16"/>
  <c r="AC396" i="16"/>
  <c r="AB396" i="16"/>
  <c r="AA396" i="16"/>
  <c r="Z396" i="16"/>
  <c r="Y396" i="16"/>
  <c r="V396" i="16"/>
  <c r="K396" i="16"/>
  <c r="AF395" i="16"/>
  <c r="AE395" i="16"/>
  <c r="AD395" i="16"/>
  <c r="AC395" i="16"/>
  <c r="AB395" i="16"/>
  <c r="AA395" i="16"/>
  <c r="Z395" i="16"/>
  <c r="Y395" i="16"/>
  <c r="V395" i="16"/>
  <c r="K395" i="16"/>
  <c r="AF394" i="16"/>
  <c r="AE394" i="16"/>
  <c r="AD394" i="16"/>
  <c r="AC394" i="16"/>
  <c r="AB394" i="16"/>
  <c r="AA394" i="16"/>
  <c r="Z394" i="16"/>
  <c r="Y394" i="16"/>
  <c r="V394" i="16"/>
  <c r="K394" i="16"/>
  <c r="AF393" i="16"/>
  <c r="AE393" i="16"/>
  <c r="AD393" i="16"/>
  <c r="AC393" i="16"/>
  <c r="AB393" i="16"/>
  <c r="AA393" i="16"/>
  <c r="Z393" i="16"/>
  <c r="Y393" i="16"/>
  <c r="V393" i="16"/>
  <c r="K393" i="16"/>
  <c r="AF392" i="16"/>
  <c r="AE392" i="16"/>
  <c r="AD392" i="16"/>
  <c r="AC392" i="16"/>
  <c r="AB392" i="16"/>
  <c r="AA392" i="16"/>
  <c r="Z392" i="16"/>
  <c r="Y392" i="16"/>
  <c r="V392" i="16"/>
  <c r="K392" i="16"/>
  <c r="AF391" i="16"/>
  <c r="AE391" i="16"/>
  <c r="AD391" i="16"/>
  <c r="AC391" i="16"/>
  <c r="AB391" i="16"/>
  <c r="AA391" i="16"/>
  <c r="Z391" i="16"/>
  <c r="Y391" i="16"/>
  <c r="V391" i="16"/>
  <c r="K391" i="16"/>
  <c r="AF390" i="16"/>
  <c r="AE390" i="16"/>
  <c r="AD390" i="16"/>
  <c r="AC390" i="16"/>
  <c r="AB390" i="16"/>
  <c r="AA390" i="16"/>
  <c r="Z390" i="16"/>
  <c r="Y390" i="16"/>
  <c r="V390" i="16"/>
  <c r="K390" i="16"/>
  <c r="AF389" i="16"/>
  <c r="AE389" i="16"/>
  <c r="AD389" i="16"/>
  <c r="AC389" i="16"/>
  <c r="AB389" i="16"/>
  <c r="AA389" i="16"/>
  <c r="Z389" i="16"/>
  <c r="Y389" i="16"/>
  <c r="V389" i="16"/>
  <c r="K389" i="16"/>
  <c r="AF388" i="16"/>
  <c r="AE388" i="16"/>
  <c r="AD388" i="16"/>
  <c r="AC388" i="16"/>
  <c r="AB388" i="16"/>
  <c r="AA388" i="16"/>
  <c r="Z388" i="16"/>
  <c r="Y388" i="16"/>
  <c r="V388" i="16"/>
  <c r="K388" i="16"/>
  <c r="AF387" i="16"/>
  <c r="AE387" i="16"/>
  <c r="AD387" i="16"/>
  <c r="AC387" i="16"/>
  <c r="AB387" i="16"/>
  <c r="AA387" i="16"/>
  <c r="Z387" i="16"/>
  <c r="Y387" i="16"/>
  <c r="V387" i="16"/>
  <c r="K387" i="16"/>
  <c r="Y385" i="16"/>
  <c r="N385" i="16"/>
  <c r="U381" i="16"/>
  <c r="T381" i="16"/>
  <c r="S381" i="16"/>
  <c r="R381" i="16"/>
  <c r="Q381" i="16"/>
  <c r="P381" i="16"/>
  <c r="O381" i="16"/>
  <c r="N381" i="16"/>
  <c r="J381" i="16"/>
  <c r="I381" i="16"/>
  <c r="H381" i="16"/>
  <c r="G381" i="16"/>
  <c r="F381" i="16"/>
  <c r="E381" i="16"/>
  <c r="D381" i="16"/>
  <c r="C381" i="16"/>
  <c r="AF380" i="16"/>
  <c r="AE380" i="16"/>
  <c r="AD380" i="16"/>
  <c r="AC380" i="16"/>
  <c r="AB380" i="16"/>
  <c r="AA380" i="16"/>
  <c r="Z380" i="16"/>
  <c r="Y380" i="16"/>
  <c r="V380" i="16"/>
  <c r="K380" i="16"/>
  <c r="AF379" i="16"/>
  <c r="AE379" i="16"/>
  <c r="AD379" i="16"/>
  <c r="AC379" i="16"/>
  <c r="AB379" i="16"/>
  <c r="AA379" i="16"/>
  <c r="Z379" i="16"/>
  <c r="Y379" i="16"/>
  <c r="V379" i="16"/>
  <c r="K379" i="16"/>
  <c r="AF378" i="16"/>
  <c r="AE378" i="16"/>
  <c r="AD378" i="16"/>
  <c r="AC378" i="16"/>
  <c r="AB378" i="16"/>
  <c r="AA378" i="16"/>
  <c r="Z378" i="16"/>
  <c r="Y378" i="16"/>
  <c r="V378" i="16"/>
  <c r="K378" i="16"/>
  <c r="AF377" i="16"/>
  <c r="AE377" i="16"/>
  <c r="AD377" i="16"/>
  <c r="AC377" i="16"/>
  <c r="AB377" i="16"/>
  <c r="AA377" i="16"/>
  <c r="Z377" i="16"/>
  <c r="Y377" i="16"/>
  <c r="V377" i="16"/>
  <c r="K377" i="16"/>
  <c r="AF376" i="16"/>
  <c r="AE376" i="16"/>
  <c r="AD376" i="16"/>
  <c r="AC376" i="16"/>
  <c r="AB376" i="16"/>
  <c r="AA376" i="16"/>
  <c r="Z376" i="16"/>
  <c r="Y376" i="16"/>
  <c r="V376" i="16"/>
  <c r="K376" i="16"/>
  <c r="AF375" i="16"/>
  <c r="AE375" i="16"/>
  <c r="AD375" i="16"/>
  <c r="AC375" i="16"/>
  <c r="AB375" i="16"/>
  <c r="AA375" i="16"/>
  <c r="Z375" i="16"/>
  <c r="Y375" i="16"/>
  <c r="V375" i="16"/>
  <c r="K375" i="16"/>
  <c r="AF374" i="16"/>
  <c r="AE374" i="16"/>
  <c r="AD374" i="16"/>
  <c r="AC374" i="16"/>
  <c r="AB374" i="16"/>
  <c r="AA374" i="16"/>
  <c r="Z374" i="16"/>
  <c r="Y374" i="16"/>
  <c r="V374" i="16"/>
  <c r="K374" i="16"/>
  <c r="AF373" i="16"/>
  <c r="AE373" i="16"/>
  <c r="AD373" i="16"/>
  <c r="AC373" i="16"/>
  <c r="AB373" i="16"/>
  <c r="AA373" i="16"/>
  <c r="Z373" i="16"/>
  <c r="Y373" i="16"/>
  <c r="V373" i="16"/>
  <c r="K373" i="16"/>
  <c r="AF372" i="16"/>
  <c r="AE372" i="16"/>
  <c r="AD372" i="16"/>
  <c r="AC372" i="16"/>
  <c r="AB372" i="16"/>
  <c r="AA372" i="16"/>
  <c r="Z372" i="16"/>
  <c r="Y372" i="16"/>
  <c r="V372" i="16"/>
  <c r="K372" i="16"/>
  <c r="AF371" i="16"/>
  <c r="AE371" i="16"/>
  <c r="AD371" i="16"/>
  <c r="AC371" i="16"/>
  <c r="AB371" i="16"/>
  <c r="AA371" i="16"/>
  <c r="Z371" i="16"/>
  <c r="Y371" i="16"/>
  <c r="V371" i="16"/>
  <c r="K371" i="16"/>
  <c r="AF370" i="16"/>
  <c r="AE370" i="16"/>
  <c r="AD370" i="16"/>
  <c r="AC370" i="16"/>
  <c r="AB370" i="16"/>
  <c r="AA370" i="16"/>
  <c r="Z370" i="16"/>
  <c r="Y370" i="16"/>
  <c r="V370" i="16"/>
  <c r="K370" i="16"/>
  <c r="AF369" i="16"/>
  <c r="AE369" i="16"/>
  <c r="AD369" i="16"/>
  <c r="AC369" i="16"/>
  <c r="AB369" i="16"/>
  <c r="AA369" i="16"/>
  <c r="Z369" i="16"/>
  <c r="Y369" i="16"/>
  <c r="V369" i="16"/>
  <c r="K369" i="16"/>
  <c r="AF368" i="16"/>
  <c r="AE368" i="16"/>
  <c r="AD368" i="16"/>
  <c r="AC368" i="16"/>
  <c r="AB368" i="16"/>
  <c r="AA368" i="16"/>
  <c r="Z368" i="16"/>
  <c r="Y368" i="16"/>
  <c r="V368" i="16"/>
  <c r="K368" i="16"/>
  <c r="AF367" i="16"/>
  <c r="AE367" i="16"/>
  <c r="AD367" i="16"/>
  <c r="AC367" i="16"/>
  <c r="AB367" i="16"/>
  <c r="AA367" i="16"/>
  <c r="Z367" i="16"/>
  <c r="Y367" i="16"/>
  <c r="V367" i="16"/>
  <c r="K367" i="16"/>
  <c r="AF366" i="16"/>
  <c r="AE366" i="16"/>
  <c r="AD366" i="16"/>
  <c r="AC366" i="16"/>
  <c r="AB366" i="16"/>
  <c r="AA366" i="16"/>
  <c r="Z366" i="16"/>
  <c r="Y366" i="16"/>
  <c r="V366" i="16"/>
  <c r="K366" i="16"/>
  <c r="AF365" i="16"/>
  <c r="AE365" i="16"/>
  <c r="AD365" i="16"/>
  <c r="AC365" i="16"/>
  <c r="AB365" i="16"/>
  <c r="AA365" i="16"/>
  <c r="Z365" i="16"/>
  <c r="Y365" i="16"/>
  <c r="V365" i="16"/>
  <c r="K365" i="16"/>
  <c r="AF364" i="16"/>
  <c r="AE364" i="16"/>
  <c r="AD364" i="16"/>
  <c r="AC364" i="16"/>
  <c r="AB364" i="16"/>
  <c r="AA364" i="16"/>
  <c r="Z364" i="16"/>
  <c r="Y364" i="16"/>
  <c r="V364" i="16"/>
  <c r="K364" i="16"/>
  <c r="AF363" i="16"/>
  <c r="AE363" i="16"/>
  <c r="AD363" i="16"/>
  <c r="AC363" i="16"/>
  <c r="AB363" i="16"/>
  <c r="AA363" i="16"/>
  <c r="Z363" i="16"/>
  <c r="Y363" i="16"/>
  <c r="V363" i="16"/>
  <c r="K363" i="16"/>
  <c r="AF362" i="16"/>
  <c r="AE362" i="16"/>
  <c r="AD362" i="16"/>
  <c r="AC362" i="16"/>
  <c r="AB362" i="16"/>
  <c r="AA362" i="16"/>
  <c r="Z362" i="16"/>
  <c r="Y362" i="16"/>
  <c r="V362" i="16"/>
  <c r="K362" i="16"/>
  <c r="AF361" i="16"/>
  <c r="AE361" i="16"/>
  <c r="AD361" i="16"/>
  <c r="AC361" i="16"/>
  <c r="AB361" i="16"/>
  <c r="AA361" i="16"/>
  <c r="Z361" i="16"/>
  <c r="Y361" i="16"/>
  <c r="V361" i="16"/>
  <c r="K361" i="16"/>
  <c r="Y359" i="16"/>
  <c r="N359" i="16"/>
  <c r="U355" i="16"/>
  <c r="T355" i="16"/>
  <c r="S355" i="16"/>
  <c r="R355" i="16"/>
  <c r="Q355" i="16"/>
  <c r="P355" i="16"/>
  <c r="O355" i="16"/>
  <c r="N355" i="16"/>
  <c r="J355" i="16"/>
  <c r="I355" i="16"/>
  <c r="H355" i="16"/>
  <c r="G355" i="16"/>
  <c r="F355" i="16"/>
  <c r="E355" i="16"/>
  <c r="D355" i="16"/>
  <c r="C355" i="16"/>
  <c r="AF354" i="16"/>
  <c r="AE354" i="16"/>
  <c r="AD354" i="16"/>
  <c r="AC354" i="16"/>
  <c r="AB354" i="16"/>
  <c r="AA354" i="16"/>
  <c r="Z354" i="16"/>
  <c r="Y354" i="16"/>
  <c r="V354" i="16"/>
  <c r="K354" i="16"/>
  <c r="AF353" i="16"/>
  <c r="AE353" i="16"/>
  <c r="AD353" i="16"/>
  <c r="AC353" i="16"/>
  <c r="AB353" i="16"/>
  <c r="AA353" i="16"/>
  <c r="Z353" i="16"/>
  <c r="Y353" i="16"/>
  <c r="V353" i="16"/>
  <c r="K353" i="16"/>
  <c r="AF352" i="16"/>
  <c r="AE352" i="16"/>
  <c r="AD352" i="16"/>
  <c r="AC352" i="16"/>
  <c r="AB352" i="16"/>
  <c r="AA352" i="16"/>
  <c r="Z352" i="16"/>
  <c r="Y352" i="16"/>
  <c r="V352" i="16"/>
  <c r="K352" i="16"/>
  <c r="AF351" i="16"/>
  <c r="AE351" i="16"/>
  <c r="AD351" i="16"/>
  <c r="AC351" i="16"/>
  <c r="AB351" i="16"/>
  <c r="AA351" i="16"/>
  <c r="Z351" i="16"/>
  <c r="Y351" i="16"/>
  <c r="V351" i="16"/>
  <c r="K351" i="16"/>
  <c r="AF350" i="16"/>
  <c r="AE350" i="16"/>
  <c r="AD350" i="16"/>
  <c r="AC350" i="16"/>
  <c r="AB350" i="16"/>
  <c r="AA350" i="16"/>
  <c r="Z350" i="16"/>
  <c r="Y350" i="16"/>
  <c r="V350" i="16"/>
  <c r="K350" i="16"/>
  <c r="AF349" i="16"/>
  <c r="AE349" i="16"/>
  <c r="AD349" i="16"/>
  <c r="AC349" i="16"/>
  <c r="AB349" i="16"/>
  <c r="AA349" i="16"/>
  <c r="Z349" i="16"/>
  <c r="Y349" i="16"/>
  <c r="V349" i="16"/>
  <c r="K349" i="16"/>
  <c r="AF348" i="16"/>
  <c r="AE348" i="16"/>
  <c r="AD348" i="16"/>
  <c r="AC348" i="16"/>
  <c r="AB348" i="16"/>
  <c r="AA348" i="16"/>
  <c r="Z348" i="16"/>
  <c r="Y348" i="16"/>
  <c r="V348" i="16"/>
  <c r="K348" i="16"/>
  <c r="AF347" i="16"/>
  <c r="AE347" i="16"/>
  <c r="AD347" i="16"/>
  <c r="AC347" i="16"/>
  <c r="AB347" i="16"/>
  <c r="AA347" i="16"/>
  <c r="Z347" i="16"/>
  <c r="Y347" i="16"/>
  <c r="V347" i="16"/>
  <c r="K347" i="16"/>
  <c r="AF346" i="16"/>
  <c r="AE346" i="16"/>
  <c r="AD346" i="16"/>
  <c r="AC346" i="16"/>
  <c r="AB346" i="16"/>
  <c r="AA346" i="16"/>
  <c r="Z346" i="16"/>
  <c r="Y346" i="16"/>
  <c r="V346" i="16"/>
  <c r="K346" i="16"/>
  <c r="AF345" i="16"/>
  <c r="AE345" i="16"/>
  <c r="AD345" i="16"/>
  <c r="AC345" i="16"/>
  <c r="AB345" i="16"/>
  <c r="AA345" i="16"/>
  <c r="Z345" i="16"/>
  <c r="Y345" i="16"/>
  <c r="V345" i="16"/>
  <c r="K345" i="16"/>
  <c r="AF344" i="16"/>
  <c r="AE344" i="16"/>
  <c r="AD344" i="16"/>
  <c r="AC344" i="16"/>
  <c r="AB344" i="16"/>
  <c r="AA344" i="16"/>
  <c r="Z344" i="16"/>
  <c r="Y344" i="16"/>
  <c r="V344" i="16"/>
  <c r="K344" i="16"/>
  <c r="AF343" i="16"/>
  <c r="AE343" i="16"/>
  <c r="AD343" i="16"/>
  <c r="AC343" i="16"/>
  <c r="AB343" i="16"/>
  <c r="AA343" i="16"/>
  <c r="Z343" i="16"/>
  <c r="Y343" i="16"/>
  <c r="V343" i="16"/>
  <c r="K343" i="16"/>
  <c r="AF342" i="16"/>
  <c r="AE342" i="16"/>
  <c r="AD342" i="16"/>
  <c r="AC342" i="16"/>
  <c r="AB342" i="16"/>
  <c r="AA342" i="16"/>
  <c r="Z342" i="16"/>
  <c r="Y342" i="16"/>
  <c r="V342" i="16"/>
  <c r="K342" i="16"/>
  <c r="AF341" i="16"/>
  <c r="AE341" i="16"/>
  <c r="AD341" i="16"/>
  <c r="AC341" i="16"/>
  <c r="AB341" i="16"/>
  <c r="AA341" i="16"/>
  <c r="Z341" i="16"/>
  <c r="Y341" i="16"/>
  <c r="V341" i="16"/>
  <c r="K341" i="16"/>
  <c r="AF340" i="16"/>
  <c r="AE340" i="16"/>
  <c r="AD340" i="16"/>
  <c r="AC340" i="16"/>
  <c r="AB340" i="16"/>
  <c r="AA340" i="16"/>
  <c r="Z340" i="16"/>
  <c r="Y340" i="16"/>
  <c r="V340" i="16"/>
  <c r="K340" i="16"/>
  <c r="AF339" i="16"/>
  <c r="AE339" i="16"/>
  <c r="AD339" i="16"/>
  <c r="AC339" i="16"/>
  <c r="AB339" i="16"/>
  <c r="AA339" i="16"/>
  <c r="Z339" i="16"/>
  <c r="Y339" i="16"/>
  <c r="V339" i="16"/>
  <c r="K339" i="16"/>
  <c r="AF338" i="16"/>
  <c r="AE338" i="16"/>
  <c r="AD338" i="16"/>
  <c r="AC338" i="16"/>
  <c r="AB338" i="16"/>
  <c r="AA338" i="16"/>
  <c r="Z338" i="16"/>
  <c r="Y338" i="16"/>
  <c r="V338" i="16"/>
  <c r="K338" i="16"/>
  <c r="AF337" i="16"/>
  <c r="AE337" i="16"/>
  <c r="AD337" i="16"/>
  <c r="AC337" i="16"/>
  <c r="AB337" i="16"/>
  <c r="AA337" i="16"/>
  <c r="Z337" i="16"/>
  <c r="Y337" i="16"/>
  <c r="V337" i="16"/>
  <c r="K337" i="16"/>
  <c r="AF336" i="16"/>
  <c r="AE336" i="16"/>
  <c r="AD336" i="16"/>
  <c r="AC336" i="16"/>
  <c r="AB336" i="16"/>
  <c r="AA336" i="16"/>
  <c r="Z336" i="16"/>
  <c r="Y336" i="16"/>
  <c r="V336" i="16"/>
  <c r="K336" i="16"/>
  <c r="AF335" i="16"/>
  <c r="AE335" i="16"/>
  <c r="AD335" i="16"/>
  <c r="AC335" i="16"/>
  <c r="AB335" i="16"/>
  <c r="AA335" i="16"/>
  <c r="Z335" i="16"/>
  <c r="Y335" i="16"/>
  <c r="V335" i="16"/>
  <c r="K335" i="16"/>
  <c r="Y333" i="16"/>
  <c r="N333" i="16"/>
  <c r="U329" i="16"/>
  <c r="T329" i="16"/>
  <c r="S329" i="16"/>
  <c r="R329" i="16"/>
  <c r="Q329" i="16"/>
  <c r="P329" i="16"/>
  <c r="O329" i="16"/>
  <c r="N329" i="16"/>
  <c r="J329" i="16"/>
  <c r="I329" i="16"/>
  <c r="H329" i="16"/>
  <c r="G329" i="16"/>
  <c r="F329" i="16"/>
  <c r="E329" i="16"/>
  <c r="D329" i="16"/>
  <c r="C329" i="16"/>
  <c r="AF328" i="16"/>
  <c r="AE328" i="16"/>
  <c r="AD328" i="16"/>
  <c r="AC328" i="16"/>
  <c r="AB328" i="16"/>
  <c r="AA328" i="16"/>
  <c r="Z328" i="16"/>
  <c r="Y328" i="16"/>
  <c r="V328" i="16"/>
  <c r="K328" i="16"/>
  <c r="AF327" i="16"/>
  <c r="AE327" i="16"/>
  <c r="AD327" i="16"/>
  <c r="AC327" i="16"/>
  <c r="AB327" i="16"/>
  <c r="AA327" i="16"/>
  <c r="Z327" i="16"/>
  <c r="Y327" i="16"/>
  <c r="V327" i="16"/>
  <c r="K327" i="16"/>
  <c r="AF326" i="16"/>
  <c r="AE326" i="16"/>
  <c r="AD326" i="16"/>
  <c r="AC326" i="16"/>
  <c r="AB326" i="16"/>
  <c r="AA326" i="16"/>
  <c r="Z326" i="16"/>
  <c r="Y326" i="16"/>
  <c r="V326" i="16"/>
  <c r="K326" i="16"/>
  <c r="AF325" i="16"/>
  <c r="AE325" i="16"/>
  <c r="AD325" i="16"/>
  <c r="AC325" i="16"/>
  <c r="AB325" i="16"/>
  <c r="AA325" i="16"/>
  <c r="Z325" i="16"/>
  <c r="Y325" i="16"/>
  <c r="V325" i="16"/>
  <c r="K325" i="16"/>
  <c r="AF324" i="16"/>
  <c r="AE324" i="16"/>
  <c r="AD324" i="16"/>
  <c r="AC324" i="16"/>
  <c r="AB324" i="16"/>
  <c r="AA324" i="16"/>
  <c r="Z324" i="16"/>
  <c r="Y324" i="16"/>
  <c r="V324" i="16"/>
  <c r="K324" i="16"/>
  <c r="AF323" i="16"/>
  <c r="AE323" i="16"/>
  <c r="AD323" i="16"/>
  <c r="AC323" i="16"/>
  <c r="AB323" i="16"/>
  <c r="AA323" i="16"/>
  <c r="Z323" i="16"/>
  <c r="Y323" i="16"/>
  <c r="V323" i="16"/>
  <c r="K323" i="16"/>
  <c r="AF322" i="16"/>
  <c r="AE322" i="16"/>
  <c r="AD322" i="16"/>
  <c r="AC322" i="16"/>
  <c r="AB322" i="16"/>
  <c r="AA322" i="16"/>
  <c r="Z322" i="16"/>
  <c r="Y322" i="16"/>
  <c r="V322" i="16"/>
  <c r="K322" i="16"/>
  <c r="AF321" i="16"/>
  <c r="AE321" i="16"/>
  <c r="AD321" i="16"/>
  <c r="AC321" i="16"/>
  <c r="AB321" i="16"/>
  <c r="AA321" i="16"/>
  <c r="Z321" i="16"/>
  <c r="Y321" i="16"/>
  <c r="V321" i="16"/>
  <c r="K321" i="16"/>
  <c r="AF320" i="16"/>
  <c r="AE320" i="16"/>
  <c r="AD320" i="16"/>
  <c r="AC320" i="16"/>
  <c r="AB320" i="16"/>
  <c r="AA320" i="16"/>
  <c r="Z320" i="16"/>
  <c r="Y320" i="16"/>
  <c r="V320" i="16"/>
  <c r="K320" i="16"/>
  <c r="AF319" i="16"/>
  <c r="AE319" i="16"/>
  <c r="AD319" i="16"/>
  <c r="AC319" i="16"/>
  <c r="AB319" i="16"/>
  <c r="AA319" i="16"/>
  <c r="Z319" i="16"/>
  <c r="Y319" i="16"/>
  <c r="V319" i="16"/>
  <c r="K319" i="16"/>
  <c r="AF318" i="16"/>
  <c r="AE318" i="16"/>
  <c r="AD318" i="16"/>
  <c r="AC318" i="16"/>
  <c r="AB318" i="16"/>
  <c r="AA318" i="16"/>
  <c r="Z318" i="16"/>
  <c r="Y318" i="16"/>
  <c r="V318" i="16"/>
  <c r="K318" i="16"/>
  <c r="AF317" i="16"/>
  <c r="AE317" i="16"/>
  <c r="AD317" i="16"/>
  <c r="AC317" i="16"/>
  <c r="AB317" i="16"/>
  <c r="AA317" i="16"/>
  <c r="Z317" i="16"/>
  <c r="Y317" i="16"/>
  <c r="V317" i="16"/>
  <c r="K317" i="16"/>
  <c r="AF316" i="16"/>
  <c r="AE316" i="16"/>
  <c r="AD316" i="16"/>
  <c r="AC316" i="16"/>
  <c r="AB316" i="16"/>
  <c r="AA316" i="16"/>
  <c r="Z316" i="16"/>
  <c r="Y316" i="16"/>
  <c r="V316" i="16"/>
  <c r="K316" i="16"/>
  <c r="AF315" i="16"/>
  <c r="AE315" i="16"/>
  <c r="AD315" i="16"/>
  <c r="AC315" i="16"/>
  <c r="AB315" i="16"/>
  <c r="AA315" i="16"/>
  <c r="Z315" i="16"/>
  <c r="Y315" i="16"/>
  <c r="V315" i="16"/>
  <c r="K315" i="16"/>
  <c r="AF314" i="16"/>
  <c r="AE314" i="16"/>
  <c r="AD314" i="16"/>
  <c r="AC314" i="16"/>
  <c r="AB314" i="16"/>
  <c r="AA314" i="16"/>
  <c r="Z314" i="16"/>
  <c r="Y314" i="16"/>
  <c r="V314" i="16"/>
  <c r="K314" i="16"/>
  <c r="AF313" i="16"/>
  <c r="AE313" i="16"/>
  <c r="AD313" i="16"/>
  <c r="AC313" i="16"/>
  <c r="AB313" i="16"/>
  <c r="AA313" i="16"/>
  <c r="Z313" i="16"/>
  <c r="Y313" i="16"/>
  <c r="V313" i="16"/>
  <c r="K313" i="16"/>
  <c r="AF312" i="16"/>
  <c r="AE312" i="16"/>
  <c r="AD312" i="16"/>
  <c r="AC312" i="16"/>
  <c r="AB312" i="16"/>
  <c r="AA312" i="16"/>
  <c r="Z312" i="16"/>
  <c r="Y312" i="16"/>
  <c r="V312" i="16"/>
  <c r="K312" i="16"/>
  <c r="AF311" i="16"/>
  <c r="AE311" i="16"/>
  <c r="AD311" i="16"/>
  <c r="AC311" i="16"/>
  <c r="AB311" i="16"/>
  <c r="AA311" i="16"/>
  <c r="Z311" i="16"/>
  <c r="Y311" i="16"/>
  <c r="V311" i="16"/>
  <c r="K311" i="16"/>
  <c r="AF310" i="16"/>
  <c r="AE310" i="16"/>
  <c r="AD310" i="16"/>
  <c r="AC310" i="16"/>
  <c r="AB310" i="16"/>
  <c r="AA310" i="16"/>
  <c r="Z310" i="16"/>
  <c r="Y310" i="16"/>
  <c r="V310" i="16"/>
  <c r="K310" i="16"/>
  <c r="AF309" i="16"/>
  <c r="AE309" i="16"/>
  <c r="AD309" i="16"/>
  <c r="AC309" i="16"/>
  <c r="AB309" i="16"/>
  <c r="AA309" i="16"/>
  <c r="Z309" i="16"/>
  <c r="Y309" i="16"/>
  <c r="V309" i="16"/>
  <c r="K309" i="16"/>
  <c r="Y307" i="16"/>
  <c r="N307" i="16"/>
  <c r="U303" i="16"/>
  <c r="T303" i="16"/>
  <c r="S303" i="16"/>
  <c r="R303" i="16"/>
  <c r="Q303" i="16"/>
  <c r="P303" i="16"/>
  <c r="O303" i="16"/>
  <c r="N303" i="16"/>
  <c r="J303" i="16"/>
  <c r="I303" i="16"/>
  <c r="H303" i="16"/>
  <c r="G303" i="16"/>
  <c r="F303" i="16"/>
  <c r="E303" i="16"/>
  <c r="D303" i="16"/>
  <c r="C303" i="16"/>
  <c r="AF302" i="16"/>
  <c r="AE302" i="16"/>
  <c r="AD302" i="16"/>
  <c r="AC302" i="16"/>
  <c r="AB302" i="16"/>
  <c r="AA302" i="16"/>
  <c r="Z302" i="16"/>
  <c r="Y302" i="16"/>
  <c r="V302" i="16"/>
  <c r="K302" i="16"/>
  <c r="AF301" i="16"/>
  <c r="AE301" i="16"/>
  <c r="AD301" i="16"/>
  <c r="AC301" i="16"/>
  <c r="AB301" i="16"/>
  <c r="AA301" i="16"/>
  <c r="Z301" i="16"/>
  <c r="Y301" i="16"/>
  <c r="V301" i="16"/>
  <c r="K301" i="16"/>
  <c r="AF300" i="16"/>
  <c r="AE300" i="16"/>
  <c r="AD300" i="16"/>
  <c r="AC300" i="16"/>
  <c r="AB300" i="16"/>
  <c r="AA300" i="16"/>
  <c r="Z300" i="16"/>
  <c r="Y300" i="16"/>
  <c r="V300" i="16"/>
  <c r="K300" i="16"/>
  <c r="AF299" i="16"/>
  <c r="AE299" i="16"/>
  <c r="AD299" i="16"/>
  <c r="AC299" i="16"/>
  <c r="AB299" i="16"/>
  <c r="AA299" i="16"/>
  <c r="Z299" i="16"/>
  <c r="Y299" i="16"/>
  <c r="V299" i="16"/>
  <c r="K299" i="16"/>
  <c r="AF298" i="16"/>
  <c r="AE298" i="16"/>
  <c r="AD298" i="16"/>
  <c r="AC298" i="16"/>
  <c r="AB298" i="16"/>
  <c r="AA298" i="16"/>
  <c r="Z298" i="16"/>
  <c r="Y298" i="16"/>
  <c r="V298" i="16"/>
  <c r="K298" i="16"/>
  <c r="AF297" i="16"/>
  <c r="AE297" i="16"/>
  <c r="AD297" i="16"/>
  <c r="AC297" i="16"/>
  <c r="AB297" i="16"/>
  <c r="AA297" i="16"/>
  <c r="Z297" i="16"/>
  <c r="Y297" i="16"/>
  <c r="V297" i="16"/>
  <c r="K297" i="16"/>
  <c r="AF296" i="16"/>
  <c r="AE296" i="16"/>
  <c r="AD296" i="16"/>
  <c r="AC296" i="16"/>
  <c r="AB296" i="16"/>
  <c r="AA296" i="16"/>
  <c r="Z296" i="16"/>
  <c r="Y296" i="16"/>
  <c r="V296" i="16"/>
  <c r="K296" i="16"/>
  <c r="AF295" i="16"/>
  <c r="AE295" i="16"/>
  <c r="AD295" i="16"/>
  <c r="AC295" i="16"/>
  <c r="AB295" i="16"/>
  <c r="AA295" i="16"/>
  <c r="Z295" i="16"/>
  <c r="Y295" i="16"/>
  <c r="V295" i="16"/>
  <c r="K295" i="16"/>
  <c r="AF294" i="16"/>
  <c r="AE294" i="16"/>
  <c r="AD294" i="16"/>
  <c r="AC294" i="16"/>
  <c r="AB294" i="16"/>
  <c r="AA294" i="16"/>
  <c r="Z294" i="16"/>
  <c r="Y294" i="16"/>
  <c r="V294" i="16"/>
  <c r="K294" i="16"/>
  <c r="AF293" i="16"/>
  <c r="AE293" i="16"/>
  <c r="AD293" i="16"/>
  <c r="AC293" i="16"/>
  <c r="AB293" i="16"/>
  <c r="AA293" i="16"/>
  <c r="Z293" i="16"/>
  <c r="Y293" i="16"/>
  <c r="V293" i="16"/>
  <c r="K293" i="16"/>
  <c r="AF292" i="16"/>
  <c r="AE292" i="16"/>
  <c r="AD292" i="16"/>
  <c r="AC292" i="16"/>
  <c r="AB292" i="16"/>
  <c r="AA292" i="16"/>
  <c r="Z292" i="16"/>
  <c r="Y292" i="16"/>
  <c r="V292" i="16"/>
  <c r="K292" i="16"/>
  <c r="AF291" i="16"/>
  <c r="AE291" i="16"/>
  <c r="AD291" i="16"/>
  <c r="AC291" i="16"/>
  <c r="AB291" i="16"/>
  <c r="AA291" i="16"/>
  <c r="Z291" i="16"/>
  <c r="Y291" i="16"/>
  <c r="V291" i="16"/>
  <c r="K291" i="16"/>
  <c r="AF290" i="16"/>
  <c r="AE290" i="16"/>
  <c r="AD290" i="16"/>
  <c r="AC290" i="16"/>
  <c r="AB290" i="16"/>
  <c r="AA290" i="16"/>
  <c r="Z290" i="16"/>
  <c r="Y290" i="16"/>
  <c r="V290" i="16"/>
  <c r="K290" i="16"/>
  <c r="AF289" i="16"/>
  <c r="AE289" i="16"/>
  <c r="AD289" i="16"/>
  <c r="AC289" i="16"/>
  <c r="AB289" i="16"/>
  <c r="AA289" i="16"/>
  <c r="Z289" i="16"/>
  <c r="Y289" i="16"/>
  <c r="V289" i="16"/>
  <c r="K289" i="16"/>
  <c r="AF288" i="16"/>
  <c r="AE288" i="16"/>
  <c r="AD288" i="16"/>
  <c r="AC288" i="16"/>
  <c r="AB288" i="16"/>
  <c r="AA288" i="16"/>
  <c r="Z288" i="16"/>
  <c r="Y288" i="16"/>
  <c r="V288" i="16"/>
  <c r="K288" i="16"/>
  <c r="AF287" i="16"/>
  <c r="AE287" i="16"/>
  <c r="AD287" i="16"/>
  <c r="AC287" i="16"/>
  <c r="AB287" i="16"/>
  <c r="AA287" i="16"/>
  <c r="Z287" i="16"/>
  <c r="Y287" i="16"/>
  <c r="V287" i="16"/>
  <c r="K287" i="16"/>
  <c r="AF286" i="16"/>
  <c r="AE286" i="16"/>
  <c r="AD286" i="16"/>
  <c r="AC286" i="16"/>
  <c r="AB286" i="16"/>
  <c r="AA286" i="16"/>
  <c r="Z286" i="16"/>
  <c r="Y286" i="16"/>
  <c r="V286" i="16"/>
  <c r="K286" i="16"/>
  <c r="AF285" i="16"/>
  <c r="AE285" i="16"/>
  <c r="AD285" i="16"/>
  <c r="AC285" i="16"/>
  <c r="AB285" i="16"/>
  <c r="AA285" i="16"/>
  <c r="Z285" i="16"/>
  <c r="Y285" i="16"/>
  <c r="V285" i="16"/>
  <c r="K285" i="16"/>
  <c r="AF284" i="16"/>
  <c r="AE284" i="16"/>
  <c r="AD284" i="16"/>
  <c r="AC284" i="16"/>
  <c r="AB284" i="16"/>
  <c r="AA284" i="16"/>
  <c r="Z284" i="16"/>
  <c r="Y284" i="16"/>
  <c r="V284" i="16"/>
  <c r="K284" i="16"/>
  <c r="AF283" i="16"/>
  <c r="AE283" i="16"/>
  <c r="AD283" i="16"/>
  <c r="AC283" i="16"/>
  <c r="AB283" i="16"/>
  <c r="AA283" i="16"/>
  <c r="Z283" i="16"/>
  <c r="Y283" i="16"/>
  <c r="V283" i="16"/>
  <c r="K283" i="16"/>
  <c r="Y281" i="16"/>
  <c r="N281" i="16"/>
  <c r="U277" i="16"/>
  <c r="T277" i="16"/>
  <c r="S277" i="16"/>
  <c r="R277" i="16"/>
  <c r="Q277" i="16"/>
  <c r="P277" i="16"/>
  <c r="O277" i="16"/>
  <c r="N277" i="16"/>
  <c r="J277" i="16"/>
  <c r="I277" i="16"/>
  <c r="H277" i="16"/>
  <c r="G277" i="16"/>
  <c r="F277" i="16"/>
  <c r="E277" i="16"/>
  <c r="D277" i="16"/>
  <c r="C277" i="16"/>
  <c r="AF276" i="16"/>
  <c r="AE276" i="16"/>
  <c r="AD276" i="16"/>
  <c r="AC276" i="16"/>
  <c r="AB276" i="16"/>
  <c r="AA276" i="16"/>
  <c r="Z276" i="16"/>
  <c r="Y276" i="16"/>
  <c r="V276" i="16"/>
  <c r="K276" i="16"/>
  <c r="AF275" i="16"/>
  <c r="AE275" i="16"/>
  <c r="AD275" i="16"/>
  <c r="AC275" i="16"/>
  <c r="AB275" i="16"/>
  <c r="AA275" i="16"/>
  <c r="Z275" i="16"/>
  <c r="Y275" i="16"/>
  <c r="V275" i="16"/>
  <c r="K275" i="16"/>
  <c r="AF274" i="16"/>
  <c r="AE274" i="16"/>
  <c r="AD274" i="16"/>
  <c r="AC274" i="16"/>
  <c r="AB274" i="16"/>
  <c r="AA274" i="16"/>
  <c r="Z274" i="16"/>
  <c r="Y274" i="16"/>
  <c r="V274" i="16"/>
  <c r="K274" i="16"/>
  <c r="AF273" i="16"/>
  <c r="AE273" i="16"/>
  <c r="AD273" i="16"/>
  <c r="AC273" i="16"/>
  <c r="AB273" i="16"/>
  <c r="AA273" i="16"/>
  <c r="Z273" i="16"/>
  <c r="Y273" i="16"/>
  <c r="V273" i="16"/>
  <c r="K273" i="16"/>
  <c r="AF272" i="16"/>
  <c r="AE272" i="16"/>
  <c r="AD272" i="16"/>
  <c r="AC272" i="16"/>
  <c r="AB272" i="16"/>
  <c r="AA272" i="16"/>
  <c r="Z272" i="16"/>
  <c r="Y272" i="16"/>
  <c r="V272" i="16"/>
  <c r="K272" i="16"/>
  <c r="AF271" i="16"/>
  <c r="AE271" i="16"/>
  <c r="AD271" i="16"/>
  <c r="AC271" i="16"/>
  <c r="AB271" i="16"/>
  <c r="AA271" i="16"/>
  <c r="Z271" i="16"/>
  <c r="Y271" i="16"/>
  <c r="V271" i="16"/>
  <c r="K271" i="16"/>
  <c r="AF270" i="16"/>
  <c r="AE270" i="16"/>
  <c r="AD270" i="16"/>
  <c r="AC270" i="16"/>
  <c r="AB270" i="16"/>
  <c r="AA270" i="16"/>
  <c r="Z270" i="16"/>
  <c r="Y270" i="16"/>
  <c r="V270" i="16"/>
  <c r="K270" i="16"/>
  <c r="AF269" i="16"/>
  <c r="AE269" i="16"/>
  <c r="AD269" i="16"/>
  <c r="AC269" i="16"/>
  <c r="AB269" i="16"/>
  <c r="AA269" i="16"/>
  <c r="Z269" i="16"/>
  <c r="Y269" i="16"/>
  <c r="V269" i="16"/>
  <c r="K269" i="16"/>
  <c r="AF268" i="16"/>
  <c r="AE268" i="16"/>
  <c r="AD268" i="16"/>
  <c r="AC268" i="16"/>
  <c r="AB268" i="16"/>
  <c r="AA268" i="16"/>
  <c r="Z268" i="16"/>
  <c r="Y268" i="16"/>
  <c r="V268" i="16"/>
  <c r="K268" i="16"/>
  <c r="AF267" i="16"/>
  <c r="AE267" i="16"/>
  <c r="AD267" i="16"/>
  <c r="AC267" i="16"/>
  <c r="AB267" i="16"/>
  <c r="AA267" i="16"/>
  <c r="Z267" i="16"/>
  <c r="Y267" i="16"/>
  <c r="V267" i="16"/>
  <c r="K267" i="16"/>
  <c r="AF266" i="16"/>
  <c r="AE266" i="16"/>
  <c r="AD266" i="16"/>
  <c r="AC266" i="16"/>
  <c r="AB266" i="16"/>
  <c r="AA266" i="16"/>
  <c r="Z266" i="16"/>
  <c r="Y266" i="16"/>
  <c r="V266" i="16"/>
  <c r="K266" i="16"/>
  <c r="AF265" i="16"/>
  <c r="AE265" i="16"/>
  <c r="AD265" i="16"/>
  <c r="AC265" i="16"/>
  <c r="AB265" i="16"/>
  <c r="AA265" i="16"/>
  <c r="Z265" i="16"/>
  <c r="Y265" i="16"/>
  <c r="V265" i="16"/>
  <c r="K265" i="16"/>
  <c r="AF264" i="16"/>
  <c r="AE264" i="16"/>
  <c r="AD264" i="16"/>
  <c r="AC264" i="16"/>
  <c r="AB264" i="16"/>
  <c r="AA264" i="16"/>
  <c r="Z264" i="16"/>
  <c r="Y264" i="16"/>
  <c r="V264" i="16"/>
  <c r="K264" i="16"/>
  <c r="AF263" i="16"/>
  <c r="AE263" i="16"/>
  <c r="AD263" i="16"/>
  <c r="AC263" i="16"/>
  <c r="AB263" i="16"/>
  <c r="AA263" i="16"/>
  <c r="Z263" i="16"/>
  <c r="Y263" i="16"/>
  <c r="V263" i="16"/>
  <c r="K263" i="16"/>
  <c r="AF262" i="16"/>
  <c r="AE262" i="16"/>
  <c r="AD262" i="16"/>
  <c r="AC262" i="16"/>
  <c r="AB262" i="16"/>
  <c r="AA262" i="16"/>
  <c r="Z262" i="16"/>
  <c r="Y262" i="16"/>
  <c r="V262" i="16"/>
  <c r="K262" i="16"/>
  <c r="AF261" i="16"/>
  <c r="AE261" i="16"/>
  <c r="AD261" i="16"/>
  <c r="AC261" i="16"/>
  <c r="AB261" i="16"/>
  <c r="AA261" i="16"/>
  <c r="Z261" i="16"/>
  <c r="Y261" i="16"/>
  <c r="V261" i="16"/>
  <c r="K261" i="16"/>
  <c r="AF260" i="16"/>
  <c r="AE260" i="16"/>
  <c r="AD260" i="16"/>
  <c r="AC260" i="16"/>
  <c r="AB260" i="16"/>
  <c r="AA260" i="16"/>
  <c r="Z260" i="16"/>
  <c r="Y260" i="16"/>
  <c r="V260" i="16"/>
  <c r="K260" i="16"/>
  <c r="AF259" i="16"/>
  <c r="AE259" i="16"/>
  <c r="AD259" i="16"/>
  <c r="AC259" i="16"/>
  <c r="AB259" i="16"/>
  <c r="AA259" i="16"/>
  <c r="Z259" i="16"/>
  <c r="Y259" i="16"/>
  <c r="V259" i="16"/>
  <c r="K259" i="16"/>
  <c r="AF258" i="16"/>
  <c r="AE258" i="16"/>
  <c r="AD258" i="16"/>
  <c r="AC258" i="16"/>
  <c r="AB258" i="16"/>
  <c r="AA258" i="16"/>
  <c r="Z258" i="16"/>
  <c r="Y258" i="16"/>
  <c r="V258" i="16"/>
  <c r="K258" i="16"/>
  <c r="AF257" i="16"/>
  <c r="AE257" i="16"/>
  <c r="AD257" i="16"/>
  <c r="AC257" i="16"/>
  <c r="AB257" i="16"/>
  <c r="AA257" i="16"/>
  <c r="Z257" i="16"/>
  <c r="Y257" i="16"/>
  <c r="V257" i="16"/>
  <c r="K257" i="16"/>
  <c r="Y255" i="16"/>
  <c r="N255" i="16"/>
  <c r="U251" i="16"/>
  <c r="T251" i="16"/>
  <c r="S251" i="16"/>
  <c r="R251" i="16"/>
  <c r="Q251" i="16"/>
  <c r="P251" i="16"/>
  <c r="O251" i="16"/>
  <c r="N251" i="16"/>
  <c r="J251" i="16"/>
  <c r="I251" i="16"/>
  <c r="H251" i="16"/>
  <c r="G251" i="16"/>
  <c r="F251" i="16"/>
  <c r="E251" i="16"/>
  <c r="D251" i="16"/>
  <c r="C251" i="16"/>
  <c r="AF250" i="16"/>
  <c r="AE250" i="16"/>
  <c r="AD250" i="16"/>
  <c r="AC250" i="16"/>
  <c r="AB250" i="16"/>
  <c r="AA250" i="16"/>
  <c r="Z250" i="16"/>
  <c r="Y250" i="16"/>
  <c r="V250" i="16"/>
  <c r="K250" i="16"/>
  <c r="AF249" i="16"/>
  <c r="AE249" i="16"/>
  <c r="AD249" i="16"/>
  <c r="AC249" i="16"/>
  <c r="AB249" i="16"/>
  <c r="AA249" i="16"/>
  <c r="Z249" i="16"/>
  <c r="Y249" i="16"/>
  <c r="V249" i="16"/>
  <c r="K249" i="16"/>
  <c r="AF248" i="16"/>
  <c r="AE248" i="16"/>
  <c r="AD248" i="16"/>
  <c r="AC248" i="16"/>
  <c r="AB248" i="16"/>
  <c r="AA248" i="16"/>
  <c r="Z248" i="16"/>
  <c r="Y248" i="16"/>
  <c r="V248" i="16"/>
  <c r="K248" i="16"/>
  <c r="AF247" i="16"/>
  <c r="AE247" i="16"/>
  <c r="AD247" i="16"/>
  <c r="AC247" i="16"/>
  <c r="AB247" i="16"/>
  <c r="AA247" i="16"/>
  <c r="Z247" i="16"/>
  <c r="Y247" i="16"/>
  <c r="V247" i="16"/>
  <c r="K247" i="16"/>
  <c r="AF246" i="16"/>
  <c r="AE246" i="16"/>
  <c r="AD246" i="16"/>
  <c r="AC246" i="16"/>
  <c r="AB246" i="16"/>
  <c r="AA246" i="16"/>
  <c r="Z246" i="16"/>
  <c r="Y246" i="16"/>
  <c r="V246" i="16"/>
  <c r="K246" i="16"/>
  <c r="AF245" i="16"/>
  <c r="AE245" i="16"/>
  <c r="AD245" i="16"/>
  <c r="AC245" i="16"/>
  <c r="AB245" i="16"/>
  <c r="AA245" i="16"/>
  <c r="Z245" i="16"/>
  <c r="Y245" i="16"/>
  <c r="V245" i="16"/>
  <c r="K245" i="16"/>
  <c r="AF244" i="16"/>
  <c r="AE244" i="16"/>
  <c r="AD244" i="16"/>
  <c r="AC244" i="16"/>
  <c r="AB244" i="16"/>
  <c r="AA244" i="16"/>
  <c r="Z244" i="16"/>
  <c r="Y244" i="16"/>
  <c r="V244" i="16"/>
  <c r="K244" i="16"/>
  <c r="AF243" i="16"/>
  <c r="AE243" i="16"/>
  <c r="AD243" i="16"/>
  <c r="AC243" i="16"/>
  <c r="AB243" i="16"/>
  <c r="AA243" i="16"/>
  <c r="Z243" i="16"/>
  <c r="Y243" i="16"/>
  <c r="V243" i="16"/>
  <c r="K243" i="16"/>
  <c r="AF242" i="16"/>
  <c r="AE242" i="16"/>
  <c r="AD242" i="16"/>
  <c r="AC242" i="16"/>
  <c r="AB242" i="16"/>
  <c r="AA242" i="16"/>
  <c r="Z242" i="16"/>
  <c r="Y242" i="16"/>
  <c r="V242" i="16"/>
  <c r="K242" i="16"/>
  <c r="AF241" i="16"/>
  <c r="AE241" i="16"/>
  <c r="AD241" i="16"/>
  <c r="AC241" i="16"/>
  <c r="AB241" i="16"/>
  <c r="AA241" i="16"/>
  <c r="Z241" i="16"/>
  <c r="Y241" i="16"/>
  <c r="V241" i="16"/>
  <c r="K241" i="16"/>
  <c r="AF240" i="16"/>
  <c r="AE240" i="16"/>
  <c r="AD240" i="16"/>
  <c r="AC240" i="16"/>
  <c r="AB240" i="16"/>
  <c r="AA240" i="16"/>
  <c r="Z240" i="16"/>
  <c r="Y240" i="16"/>
  <c r="V240" i="16"/>
  <c r="K240" i="16"/>
  <c r="AF239" i="16"/>
  <c r="AE239" i="16"/>
  <c r="AD239" i="16"/>
  <c r="AC239" i="16"/>
  <c r="AB239" i="16"/>
  <c r="AA239" i="16"/>
  <c r="Z239" i="16"/>
  <c r="Y239" i="16"/>
  <c r="V239" i="16"/>
  <c r="K239" i="16"/>
  <c r="AF238" i="16"/>
  <c r="AE238" i="16"/>
  <c r="AD238" i="16"/>
  <c r="AC238" i="16"/>
  <c r="AB238" i="16"/>
  <c r="AA238" i="16"/>
  <c r="Z238" i="16"/>
  <c r="Y238" i="16"/>
  <c r="V238" i="16"/>
  <c r="K238" i="16"/>
  <c r="AF237" i="16"/>
  <c r="AE237" i="16"/>
  <c r="AD237" i="16"/>
  <c r="AC237" i="16"/>
  <c r="AB237" i="16"/>
  <c r="AA237" i="16"/>
  <c r="Z237" i="16"/>
  <c r="Y237" i="16"/>
  <c r="V237" i="16"/>
  <c r="K237" i="16"/>
  <c r="AF236" i="16"/>
  <c r="AE236" i="16"/>
  <c r="AD236" i="16"/>
  <c r="AC236" i="16"/>
  <c r="AB236" i="16"/>
  <c r="AA236" i="16"/>
  <c r="Z236" i="16"/>
  <c r="Y236" i="16"/>
  <c r="V236" i="16"/>
  <c r="K236" i="16"/>
  <c r="AF235" i="16"/>
  <c r="AE235" i="16"/>
  <c r="AD235" i="16"/>
  <c r="AC235" i="16"/>
  <c r="AB235" i="16"/>
  <c r="AA235" i="16"/>
  <c r="Z235" i="16"/>
  <c r="Y235" i="16"/>
  <c r="V235" i="16"/>
  <c r="K235" i="16"/>
  <c r="AF234" i="16"/>
  <c r="AE234" i="16"/>
  <c r="AD234" i="16"/>
  <c r="AC234" i="16"/>
  <c r="AB234" i="16"/>
  <c r="AA234" i="16"/>
  <c r="Z234" i="16"/>
  <c r="Y234" i="16"/>
  <c r="V234" i="16"/>
  <c r="K234" i="16"/>
  <c r="AF233" i="16"/>
  <c r="AE233" i="16"/>
  <c r="AD233" i="16"/>
  <c r="AC233" i="16"/>
  <c r="AB233" i="16"/>
  <c r="AA233" i="16"/>
  <c r="Z233" i="16"/>
  <c r="Y233" i="16"/>
  <c r="V233" i="16"/>
  <c r="K233" i="16"/>
  <c r="AF232" i="16"/>
  <c r="AE232" i="16"/>
  <c r="AD232" i="16"/>
  <c r="AC232" i="16"/>
  <c r="AB232" i="16"/>
  <c r="AA232" i="16"/>
  <c r="Z232" i="16"/>
  <c r="Y232" i="16"/>
  <c r="V232" i="16"/>
  <c r="K232" i="16"/>
  <c r="AF231" i="16"/>
  <c r="AE231" i="16"/>
  <c r="AD231" i="16"/>
  <c r="AC231" i="16"/>
  <c r="AB231" i="16"/>
  <c r="AA231" i="16"/>
  <c r="Z231" i="16"/>
  <c r="Y231" i="16"/>
  <c r="V231" i="16"/>
  <c r="K231" i="16"/>
  <c r="Y229" i="16"/>
  <c r="N229" i="16"/>
  <c r="U225" i="16"/>
  <c r="T225" i="16"/>
  <c r="S225" i="16"/>
  <c r="R225" i="16"/>
  <c r="Q225" i="16"/>
  <c r="P225" i="16"/>
  <c r="O225" i="16"/>
  <c r="N225" i="16"/>
  <c r="J225" i="16"/>
  <c r="I225" i="16"/>
  <c r="H225" i="16"/>
  <c r="G225" i="16"/>
  <c r="F225" i="16"/>
  <c r="E225" i="16"/>
  <c r="D225" i="16"/>
  <c r="C225" i="16"/>
  <c r="AF224" i="16"/>
  <c r="AE224" i="16"/>
  <c r="AD224" i="16"/>
  <c r="AC224" i="16"/>
  <c r="AB224" i="16"/>
  <c r="AA224" i="16"/>
  <c r="Z224" i="16"/>
  <c r="Y224" i="16"/>
  <c r="V224" i="16"/>
  <c r="K224" i="16"/>
  <c r="AF223" i="16"/>
  <c r="AE223" i="16"/>
  <c r="AD223" i="16"/>
  <c r="AC223" i="16"/>
  <c r="AB223" i="16"/>
  <c r="AA223" i="16"/>
  <c r="Z223" i="16"/>
  <c r="Y223" i="16"/>
  <c r="V223" i="16"/>
  <c r="K223" i="16"/>
  <c r="AF222" i="16"/>
  <c r="AE222" i="16"/>
  <c r="AD222" i="16"/>
  <c r="AC222" i="16"/>
  <c r="AB222" i="16"/>
  <c r="AA222" i="16"/>
  <c r="Z222" i="16"/>
  <c r="Y222" i="16"/>
  <c r="V222" i="16"/>
  <c r="K222" i="16"/>
  <c r="AF221" i="16"/>
  <c r="AE221" i="16"/>
  <c r="AD221" i="16"/>
  <c r="AC221" i="16"/>
  <c r="AB221" i="16"/>
  <c r="AA221" i="16"/>
  <c r="Z221" i="16"/>
  <c r="Y221" i="16"/>
  <c r="V221" i="16"/>
  <c r="K221" i="16"/>
  <c r="AF220" i="16"/>
  <c r="AE220" i="16"/>
  <c r="AD220" i="16"/>
  <c r="AC220" i="16"/>
  <c r="AB220" i="16"/>
  <c r="AA220" i="16"/>
  <c r="Z220" i="16"/>
  <c r="Y220" i="16"/>
  <c r="V220" i="16"/>
  <c r="K220" i="16"/>
  <c r="AF219" i="16"/>
  <c r="AE219" i="16"/>
  <c r="AD219" i="16"/>
  <c r="AC219" i="16"/>
  <c r="AB219" i="16"/>
  <c r="AA219" i="16"/>
  <c r="Z219" i="16"/>
  <c r="Y219" i="16"/>
  <c r="V219" i="16"/>
  <c r="K219" i="16"/>
  <c r="AF218" i="16"/>
  <c r="AE218" i="16"/>
  <c r="AD218" i="16"/>
  <c r="AC218" i="16"/>
  <c r="AB218" i="16"/>
  <c r="AA218" i="16"/>
  <c r="Z218" i="16"/>
  <c r="Y218" i="16"/>
  <c r="V218" i="16"/>
  <c r="K218" i="16"/>
  <c r="AF217" i="16"/>
  <c r="AE217" i="16"/>
  <c r="AD217" i="16"/>
  <c r="AC217" i="16"/>
  <c r="AB217" i="16"/>
  <c r="AA217" i="16"/>
  <c r="Z217" i="16"/>
  <c r="Y217" i="16"/>
  <c r="V217" i="16"/>
  <c r="K217" i="16"/>
  <c r="AF216" i="16"/>
  <c r="AE216" i="16"/>
  <c r="AD216" i="16"/>
  <c r="AC216" i="16"/>
  <c r="AB216" i="16"/>
  <c r="AA216" i="16"/>
  <c r="Z216" i="16"/>
  <c r="Y216" i="16"/>
  <c r="V216" i="16"/>
  <c r="K216" i="16"/>
  <c r="AF215" i="16"/>
  <c r="AE215" i="16"/>
  <c r="AD215" i="16"/>
  <c r="AC215" i="16"/>
  <c r="AB215" i="16"/>
  <c r="AA215" i="16"/>
  <c r="Z215" i="16"/>
  <c r="Y215" i="16"/>
  <c r="V215" i="16"/>
  <c r="K215" i="16"/>
  <c r="AF214" i="16"/>
  <c r="AE214" i="16"/>
  <c r="AD214" i="16"/>
  <c r="AC214" i="16"/>
  <c r="AB214" i="16"/>
  <c r="AA214" i="16"/>
  <c r="Z214" i="16"/>
  <c r="Y214" i="16"/>
  <c r="V214" i="16"/>
  <c r="K214" i="16"/>
  <c r="AF213" i="16"/>
  <c r="AE213" i="16"/>
  <c r="AD213" i="16"/>
  <c r="AC213" i="16"/>
  <c r="AB213" i="16"/>
  <c r="AA213" i="16"/>
  <c r="Z213" i="16"/>
  <c r="Y213" i="16"/>
  <c r="V213" i="16"/>
  <c r="K213" i="16"/>
  <c r="AF212" i="16"/>
  <c r="AE212" i="16"/>
  <c r="AD212" i="16"/>
  <c r="AC212" i="16"/>
  <c r="AB212" i="16"/>
  <c r="AA212" i="16"/>
  <c r="Z212" i="16"/>
  <c r="Y212" i="16"/>
  <c r="V212" i="16"/>
  <c r="K212" i="16"/>
  <c r="AF211" i="16"/>
  <c r="AE211" i="16"/>
  <c r="AD211" i="16"/>
  <c r="AC211" i="16"/>
  <c r="AB211" i="16"/>
  <c r="AA211" i="16"/>
  <c r="Z211" i="16"/>
  <c r="Y211" i="16"/>
  <c r="V211" i="16"/>
  <c r="K211" i="16"/>
  <c r="AF210" i="16"/>
  <c r="AE210" i="16"/>
  <c r="AD210" i="16"/>
  <c r="AC210" i="16"/>
  <c r="AB210" i="16"/>
  <c r="AA210" i="16"/>
  <c r="Z210" i="16"/>
  <c r="Y210" i="16"/>
  <c r="V210" i="16"/>
  <c r="K210" i="16"/>
  <c r="AF209" i="16"/>
  <c r="AE209" i="16"/>
  <c r="AD209" i="16"/>
  <c r="AC209" i="16"/>
  <c r="AB209" i="16"/>
  <c r="AA209" i="16"/>
  <c r="Z209" i="16"/>
  <c r="Y209" i="16"/>
  <c r="V209" i="16"/>
  <c r="K209" i="16"/>
  <c r="AF208" i="16"/>
  <c r="AE208" i="16"/>
  <c r="AD208" i="16"/>
  <c r="AC208" i="16"/>
  <c r="AB208" i="16"/>
  <c r="AA208" i="16"/>
  <c r="Z208" i="16"/>
  <c r="Y208" i="16"/>
  <c r="V208" i="16"/>
  <c r="K208" i="16"/>
  <c r="AF207" i="16"/>
  <c r="AE207" i="16"/>
  <c r="AD207" i="16"/>
  <c r="AC207" i="16"/>
  <c r="AB207" i="16"/>
  <c r="AA207" i="16"/>
  <c r="Z207" i="16"/>
  <c r="Y207" i="16"/>
  <c r="V207" i="16"/>
  <c r="K207" i="16"/>
  <c r="AF206" i="16"/>
  <c r="AE206" i="16"/>
  <c r="AD206" i="16"/>
  <c r="AC206" i="16"/>
  <c r="AB206" i="16"/>
  <c r="AA206" i="16"/>
  <c r="Z206" i="16"/>
  <c r="Y206" i="16"/>
  <c r="V206" i="16"/>
  <c r="K206" i="16"/>
  <c r="AF205" i="16"/>
  <c r="AE205" i="16"/>
  <c r="AD205" i="16"/>
  <c r="AC205" i="16"/>
  <c r="AB205" i="16"/>
  <c r="AA205" i="16"/>
  <c r="Z205" i="16"/>
  <c r="Y205" i="16"/>
  <c r="V205" i="16"/>
  <c r="K205" i="16"/>
  <c r="Y203" i="16"/>
  <c r="N203" i="16"/>
  <c r="U199" i="16"/>
  <c r="T199" i="16"/>
  <c r="S199" i="16"/>
  <c r="R199" i="16"/>
  <c r="Q199" i="16"/>
  <c r="P199" i="16"/>
  <c r="O199" i="16"/>
  <c r="N199" i="16"/>
  <c r="J199" i="16"/>
  <c r="I199" i="16"/>
  <c r="H199" i="16"/>
  <c r="G199" i="16"/>
  <c r="F199" i="16"/>
  <c r="E199" i="16"/>
  <c r="D199" i="16"/>
  <c r="C199" i="16"/>
  <c r="AF198" i="16"/>
  <c r="AE198" i="16"/>
  <c r="AD198" i="16"/>
  <c r="AC198" i="16"/>
  <c r="AB198" i="16"/>
  <c r="AA198" i="16"/>
  <c r="Z198" i="16"/>
  <c r="Y198" i="16"/>
  <c r="V198" i="16"/>
  <c r="K198" i="16"/>
  <c r="AF197" i="16"/>
  <c r="AE197" i="16"/>
  <c r="AD197" i="16"/>
  <c r="AC197" i="16"/>
  <c r="AB197" i="16"/>
  <c r="AA197" i="16"/>
  <c r="Z197" i="16"/>
  <c r="Y197" i="16"/>
  <c r="V197" i="16"/>
  <c r="K197" i="16"/>
  <c r="AF196" i="16"/>
  <c r="AE196" i="16"/>
  <c r="AD196" i="16"/>
  <c r="AC196" i="16"/>
  <c r="AB196" i="16"/>
  <c r="AA196" i="16"/>
  <c r="Z196" i="16"/>
  <c r="Y196" i="16"/>
  <c r="V196" i="16"/>
  <c r="K196" i="16"/>
  <c r="AF195" i="16"/>
  <c r="AE195" i="16"/>
  <c r="AD195" i="16"/>
  <c r="AC195" i="16"/>
  <c r="AB195" i="16"/>
  <c r="AA195" i="16"/>
  <c r="Z195" i="16"/>
  <c r="Y195" i="16"/>
  <c r="V195" i="16"/>
  <c r="K195" i="16"/>
  <c r="AF194" i="16"/>
  <c r="AE194" i="16"/>
  <c r="AD194" i="16"/>
  <c r="AC194" i="16"/>
  <c r="AB194" i="16"/>
  <c r="AA194" i="16"/>
  <c r="Z194" i="16"/>
  <c r="Y194" i="16"/>
  <c r="V194" i="16"/>
  <c r="K194" i="16"/>
  <c r="AF193" i="16"/>
  <c r="AE193" i="16"/>
  <c r="AD193" i="16"/>
  <c r="AC193" i="16"/>
  <c r="AB193" i="16"/>
  <c r="AA193" i="16"/>
  <c r="Z193" i="16"/>
  <c r="Y193" i="16"/>
  <c r="V193" i="16"/>
  <c r="K193" i="16"/>
  <c r="AF192" i="16"/>
  <c r="AE192" i="16"/>
  <c r="AD192" i="16"/>
  <c r="AC192" i="16"/>
  <c r="AB192" i="16"/>
  <c r="AA192" i="16"/>
  <c r="Z192" i="16"/>
  <c r="Y192" i="16"/>
  <c r="V192" i="16"/>
  <c r="K192" i="16"/>
  <c r="AF191" i="16"/>
  <c r="AE191" i="16"/>
  <c r="AD191" i="16"/>
  <c r="AC191" i="16"/>
  <c r="AB191" i="16"/>
  <c r="AA191" i="16"/>
  <c r="Z191" i="16"/>
  <c r="Y191" i="16"/>
  <c r="V191" i="16"/>
  <c r="K191" i="16"/>
  <c r="AF190" i="16"/>
  <c r="AE190" i="16"/>
  <c r="AD190" i="16"/>
  <c r="AC190" i="16"/>
  <c r="AB190" i="16"/>
  <c r="AA190" i="16"/>
  <c r="Z190" i="16"/>
  <c r="Y190" i="16"/>
  <c r="V190" i="16"/>
  <c r="K190" i="16"/>
  <c r="AF189" i="16"/>
  <c r="AE189" i="16"/>
  <c r="AD189" i="16"/>
  <c r="AC189" i="16"/>
  <c r="AB189" i="16"/>
  <c r="AA189" i="16"/>
  <c r="Z189" i="16"/>
  <c r="Y189" i="16"/>
  <c r="V189" i="16"/>
  <c r="K189" i="16"/>
  <c r="AF188" i="16"/>
  <c r="AE188" i="16"/>
  <c r="AD188" i="16"/>
  <c r="AC188" i="16"/>
  <c r="AB188" i="16"/>
  <c r="AA188" i="16"/>
  <c r="Z188" i="16"/>
  <c r="Y188" i="16"/>
  <c r="V188" i="16"/>
  <c r="K188" i="16"/>
  <c r="AF187" i="16"/>
  <c r="AE187" i="16"/>
  <c r="AD187" i="16"/>
  <c r="AC187" i="16"/>
  <c r="AB187" i="16"/>
  <c r="AA187" i="16"/>
  <c r="Z187" i="16"/>
  <c r="Y187" i="16"/>
  <c r="V187" i="16"/>
  <c r="K187" i="16"/>
  <c r="AF186" i="16"/>
  <c r="AE186" i="16"/>
  <c r="AD186" i="16"/>
  <c r="AC186" i="16"/>
  <c r="AB186" i="16"/>
  <c r="AA186" i="16"/>
  <c r="Z186" i="16"/>
  <c r="Y186" i="16"/>
  <c r="V186" i="16"/>
  <c r="K186" i="16"/>
  <c r="AF185" i="16"/>
  <c r="AE185" i="16"/>
  <c r="AD185" i="16"/>
  <c r="AC185" i="16"/>
  <c r="AB185" i="16"/>
  <c r="AA185" i="16"/>
  <c r="Z185" i="16"/>
  <c r="Y185" i="16"/>
  <c r="V185" i="16"/>
  <c r="K185" i="16"/>
  <c r="AF184" i="16"/>
  <c r="AE184" i="16"/>
  <c r="AD184" i="16"/>
  <c r="AC184" i="16"/>
  <c r="AB184" i="16"/>
  <c r="AA184" i="16"/>
  <c r="Z184" i="16"/>
  <c r="Y184" i="16"/>
  <c r="V184" i="16"/>
  <c r="K184" i="16"/>
  <c r="AF183" i="16"/>
  <c r="AE183" i="16"/>
  <c r="AD183" i="16"/>
  <c r="AC183" i="16"/>
  <c r="AB183" i="16"/>
  <c r="AA183" i="16"/>
  <c r="Z183" i="16"/>
  <c r="Y183" i="16"/>
  <c r="V183" i="16"/>
  <c r="K183" i="16"/>
  <c r="AF182" i="16"/>
  <c r="AE182" i="16"/>
  <c r="AD182" i="16"/>
  <c r="AC182" i="16"/>
  <c r="AB182" i="16"/>
  <c r="AA182" i="16"/>
  <c r="Z182" i="16"/>
  <c r="Y182" i="16"/>
  <c r="V182" i="16"/>
  <c r="K182" i="16"/>
  <c r="AF181" i="16"/>
  <c r="AE181" i="16"/>
  <c r="AD181" i="16"/>
  <c r="AC181" i="16"/>
  <c r="AB181" i="16"/>
  <c r="AA181" i="16"/>
  <c r="Z181" i="16"/>
  <c r="Y181" i="16"/>
  <c r="V181" i="16"/>
  <c r="K181" i="16"/>
  <c r="AF180" i="16"/>
  <c r="AE180" i="16"/>
  <c r="AD180" i="16"/>
  <c r="AC180" i="16"/>
  <c r="AB180" i="16"/>
  <c r="AA180" i="16"/>
  <c r="Z180" i="16"/>
  <c r="Y180" i="16"/>
  <c r="V180" i="16"/>
  <c r="K180" i="16"/>
  <c r="AF179" i="16"/>
  <c r="AE179" i="16"/>
  <c r="AD179" i="16"/>
  <c r="AC179" i="16"/>
  <c r="AB179" i="16"/>
  <c r="AA179" i="16"/>
  <c r="Z179" i="16"/>
  <c r="Y179" i="16"/>
  <c r="V179" i="16"/>
  <c r="K179" i="16"/>
  <c r="Y177" i="16"/>
  <c r="N177" i="16"/>
  <c r="U173" i="16"/>
  <c r="T173" i="16"/>
  <c r="S173" i="16"/>
  <c r="R173" i="16"/>
  <c r="Q173" i="16"/>
  <c r="P173" i="16"/>
  <c r="O173" i="16"/>
  <c r="N173" i="16"/>
  <c r="J173" i="16"/>
  <c r="I173" i="16"/>
  <c r="H173" i="16"/>
  <c r="G173" i="16"/>
  <c r="F173" i="16"/>
  <c r="E173" i="16"/>
  <c r="D173" i="16"/>
  <c r="C173" i="16"/>
  <c r="AF172" i="16"/>
  <c r="AE172" i="16"/>
  <c r="AD172" i="16"/>
  <c r="AC172" i="16"/>
  <c r="AB172" i="16"/>
  <c r="AA172" i="16"/>
  <c r="Z172" i="16"/>
  <c r="Y172" i="16"/>
  <c r="V172" i="16"/>
  <c r="K172" i="16"/>
  <c r="AF171" i="16"/>
  <c r="AE171" i="16"/>
  <c r="AD171" i="16"/>
  <c r="AC171" i="16"/>
  <c r="AB171" i="16"/>
  <c r="AA171" i="16"/>
  <c r="Z171" i="16"/>
  <c r="Y171" i="16"/>
  <c r="V171" i="16"/>
  <c r="K171" i="16"/>
  <c r="AF170" i="16"/>
  <c r="AE170" i="16"/>
  <c r="AD170" i="16"/>
  <c r="AC170" i="16"/>
  <c r="AB170" i="16"/>
  <c r="AA170" i="16"/>
  <c r="Z170" i="16"/>
  <c r="Y170" i="16"/>
  <c r="V170" i="16"/>
  <c r="K170" i="16"/>
  <c r="AF169" i="16"/>
  <c r="AE169" i="16"/>
  <c r="AD169" i="16"/>
  <c r="AC169" i="16"/>
  <c r="AB169" i="16"/>
  <c r="AA169" i="16"/>
  <c r="Z169" i="16"/>
  <c r="Y169" i="16"/>
  <c r="V169" i="16"/>
  <c r="K169" i="16"/>
  <c r="AF168" i="16"/>
  <c r="AE168" i="16"/>
  <c r="AD168" i="16"/>
  <c r="AC168" i="16"/>
  <c r="AB168" i="16"/>
  <c r="AA168" i="16"/>
  <c r="Z168" i="16"/>
  <c r="Y168" i="16"/>
  <c r="V168" i="16"/>
  <c r="K168" i="16"/>
  <c r="AF167" i="16"/>
  <c r="AE167" i="16"/>
  <c r="AD167" i="16"/>
  <c r="AC167" i="16"/>
  <c r="AB167" i="16"/>
  <c r="AA167" i="16"/>
  <c r="Z167" i="16"/>
  <c r="Y167" i="16"/>
  <c r="V167" i="16"/>
  <c r="K167" i="16"/>
  <c r="AF166" i="16"/>
  <c r="AE166" i="16"/>
  <c r="AD166" i="16"/>
  <c r="AC166" i="16"/>
  <c r="AB166" i="16"/>
  <c r="AA166" i="16"/>
  <c r="Z166" i="16"/>
  <c r="Y166" i="16"/>
  <c r="V166" i="16"/>
  <c r="K166" i="16"/>
  <c r="AF165" i="16"/>
  <c r="AE165" i="16"/>
  <c r="AD165" i="16"/>
  <c r="AC165" i="16"/>
  <c r="AB165" i="16"/>
  <c r="AA165" i="16"/>
  <c r="Z165" i="16"/>
  <c r="Y165" i="16"/>
  <c r="V165" i="16"/>
  <c r="K165" i="16"/>
  <c r="AF164" i="16"/>
  <c r="AE164" i="16"/>
  <c r="AD164" i="16"/>
  <c r="AC164" i="16"/>
  <c r="AB164" i="16"/>
  <c r="AA164" i="16"/>
  <c r="Z164" i="16"/>
  <c r="Y164" i="16"/>
  <c r="V164" i="16"/>
  <c r="K164" i="16"/>
  <c r="AF163" i="16"/>
  <c r="AE163" i="16"/>
  <c r="AD163" i="16"/>
  <c r="AC163" i="16"/>
  <c r="AB163" i="16"/>
  <c r="AA163" i="16"/>
  <c r="Z163" i="16"/>
  <c r="Y163" i="16"/>
  <c r="V163" i="16"/>
  <c r="K163" i="16"/>
  <c r="AF162" i="16"/>
  <c r="AE162" i="16"/>
  <c r="AD162" i="16"/>
  <c r="AC162" i="16"/>
  <c r="AB162" i="16"/>
  <c r="AA162" i="16"/>
  <c r="Z162" i="16"/>
  <c r="Y162" i="16"/>
  <c r="V162" i="16"/>
  <c r="K162" i="16"/>
  <c r="AF161" i="16"/>
  <c r="AE161" i="16"/>
  <c r="AD161" i="16"/>
  <c r="AC161" i="16"/>
  <c r="AB161" i="16"/>
  <c r="AA161" i="16"/>
  <c r="Z161" i="16"/>
  <c r="Y161" i="16"/>
  <c r="V161" i="16"/>
  <c r="K161" i="16"/>
  <c r="AF160" i="16"/>
  <c r="AE160" i="16"/>
  <c r="AD160" i="16"/>
  <c r="AC160" i="16"/>
  <c r="AB160" i="16"/>
  <c r="AA160" i="16"/>
  <c r="Z160" i="16"/>
  <c r="Y160" i="16"/>
  <c r="V160" i="16"/>
  <c r="K160" i="16"/>
  <c r="AF159" i="16"/>
  <c r="AE159" i="16"/>
  <c r="AD159" i="16"/>
  <c r="AC159" i="16"/>
  <c r="AB159" i="16"/>
  <c r="AA159" i="16"/>
  <c r="Z159" i="16"/>
  <c r="Y159" i="16"/>
  <c r="V159" i="16"/>
  <c r="K159" i="16"/>
  <c r="AF158" i="16"/>
  <c r="AE158" i="16"/>
  <c r="AD158" i="16"/>
  <c r="AC158" i="16"/>
  <c r="AB158" i="16"/>
  <c r="AA158" i="16"/>
  <c r="Z158" i="16"/>
  <c r="Y158" i="16"/>
  <c r="V158" i="16"/>
  <c r="K158" i="16"/>
  <c r="AF157" i="16"/>
  <c r="AE157" i="16"/>
  <c r="AD157" i="16"/>
  <c r="AC157" i="16"/>
  <c r="AB157" i="16"/>
  <c r="AA157" i="16"/>
  <c r="Z157" i="16"/>
  <c r="Y157" i="16"/>
  <c r="V157" i="16"/>
  <c r="K157" i="16"/>
  <c r="AF156" i="16"/>
  <c r="AE156" i="16"/>
  <c r="AD156" i="16"/>
  <c r="AC156" i="16"/>
  <c r="AB156" i="16"/>
  <c r="AA156" i="16"/>
  <c r="Z156" i="16"/>
  <c r="Y156" i="16"/>
  <c r="V156" i="16"/>
  <c r="K156" i="16"/>
  <c r="AF155" i="16"/>
  <c r="AE155" i="16"/>
  <c r="AD155" i="16"/>
  <c r="AC155" i="16"/>
  <c r="AB155" i="16"/>
  <c r="AA155" i="16"/>
  <c r="Z155" i="16"/>
  <c r="Y155" i="16"/>
  <c r="V155" i="16"/>
  <c r="K155" i="16"/>
  <c r="AF154" i="16"/>
  <c r="AE154" i="16"/>
  <c r="AD154" i="16"/>
  <c r="AC154" i="16"/>
  <c r="AB154" i="16"/>
  <c r="AA154" i="16"/>
  <c r="Z154" i="16"/>
  <c r="Y154" i="16"/>
  <c r="V154" i="16"/>
  <c r="K154" i="16"/>
  <c r="AF153" i="16"/>
  <c r="AE153" i="16"/>
  <c r="AD153" i="16"/>
  <c r="AC153" i="16"/>
  <c r="AB153" i="16"/>
  <c r="AA153" i="16"/>
  <c r="Z153" i="16"/>
  <c r="Y153" i="16"/>
  <c r="V153" i="16"/>
  <c r="K153" i="16"/>
  <c r="Y151" i="16"/>
  <c r="N151" i="16"/>
  <c r="U147" i="16"/>
  <c r="T147" i="16"/>
  <c r="S147" i="16"/>
  <c r="R147" i="16"/>
  <c r="Q147" i="16"/>
  <c r="P147" i="16"/>
  <c r="O147" i="16"/>
  <c r="N147" i="16"/>
  <c r="J147" i="16"/>
  <c r="I147" i="16"/>
  <c r="H147" i="16"/>
  <c r="G147" i="16"/>
  <c r="F147" i="16"/>
  <c r="E147" i="16"/>
  <c r="D147" i="16"/>
  <c r="C147" i="16"/>
  <c r="AF146" i="16"/>
  <c r="AE146" i="16"/>
  <c r="AD146" i="16"/>
  <c r="AC146" i="16"/>
  <c r="AB146" i="16"/>
  <c r="AA146" i="16"/>
  <c r="Z146" i="16"/>
  <c r="Y146" i="16"/>
  <c r="V146" i="16"/>
  <c r="K146" i="16"/>
  <c r="AF145" i="16"/>
  <c r="AE145" i="16"/>
  <c r="AD145" i="16"/>
  <c r="AC145" i="16"/>
  <c r="AB145" i="16"/>
  <c r="AA145" i="16"/>
  <c r="Z145" i="16"/>
  <c r="Y145" i="16"/>
  <c r="V145" i="16"/>
  <c r="K145" i="16"/>
  <c r="AF144" i="16"/>
  <c r="AE144" i="16"/>
  <c r="AD144" i="16"/>
  <c r="AC144" i="16"/>
  <c r="AB144" i="16"/>
  <c r="AA144" i="16"/>
  <c r="Z144" i="16"/>
  <c r="Y144" i="16"/>
  <c r="V144" i="16"/>
  <c r="K144" i="16"/>
  <c r="AF143" i="16"/>
  <c r="AE143" i="16"/>
  <c r="AD143" i="16"/>
  <c r="AC143" i="16"/>
  <c r="AB143" i="16"/>
  <c r="AA143" i="16"/>
  <c r="Z143" i="16"/>
  <c r="Y143" i="16"/>
  <c r="V143" i="16"/>
  <c r="K143" i="16"/>
  <c r="AF142" i="16"/>
  <c r="AE142" i="16"/>
  <c r="AD142" i="16"/>
  <c r="AC142" i="16"/>
  <c r="AB142" i="16"/>
  <c r="AA142" i="16"/>
  <c r="Z142" i="16"/>
  <c r="Y142" i="16"/>
  <c r="V142" i="16"/>
  <c r="K142" i="16"/>
  <c r="AF141" i="16"/>
  <c r="AE141" i="16"/>
  <c r="AD141" i="16"/>
  <c r="AC141" i="16"/>
  <c r="AB141" i="16"/>
  <c r="AA141" i="16"/>
  <c r="Z141" i="16"/>
  <c r="Y141" i="16"/>
  <c r="V141" i="16"/>
  <c r="K141" i="16"/>
  <c r="AF140" i="16"/>
  <c r="AE140" i="16"/>
  <c r="AD140" i="16"/>
  <c r="AC140" i="16"/>
  <c r="AB140" i="16"/>
  <c r="AA140" i="16"/>
  <c r="Z140" i="16"/>
  <c r="Y140" i="16"/>
  <c r="V140" i="16"/>
  <c r="K140" i="16"/>
  <c r="AF139" i="16"/>
  <c r="AE139" i="16"/>
  <c r="AD139" i="16"/>
  <c r="AC139" i="16"/>
  <c r="AB139" i="16"/>
  <c r="AA139" i="16"/>
  <c r="Z139" i="16"/>
  <c r="Y139" i="16"/>
  <c r="V139" i="16"/>
  <c r="K139" i="16"/>
  <c r="AF138" i="16"/>
  <c r="AE138" i="16"/>
  <c r="AD138" i="16"/>
  <c r="AC138" i="16"/>
  <c r="AB138" i="16"/>
  <c r="AA138" i="16"/>
  <c r="Z138" i="16"/>
  <c r="Y138" i="16"/>
  <c r="V138" i="16"/>
  <c r="K138" i="16"/>
  <c r="AF137" i="16"/>
  <c r="AE137" i="16"/>
  <c r="AD137" i="16"/>
  <c r="AC137" i="16"/>
  <c r="AB137" i="16"/>
  <c r="AA137" i="16"/>
  <c r="Z137" i="16"/>
  <c r="Y137" i="16"/>
  <c r="V137" i="16"/>
  <c r="K137" i="16"/>
  <c r="AF136" i="16"/>
  <c r="AE136" i="16"/>
  <c r="AD136" i="16"/>
  <c r="AC136" i="16"/>
  <c r="AB136" i="16"/>
  <c r="AA136" i="16"/>
  <c r="Z136" i="16"/>
  <c r="Y136" i="16"/>
  <c r="V136" i="16"/>
  <c r="K136" i="16"/>
  <c r="AF135" i="16"/>
  <c r="AE135" i="16"/>
  <c r="AD135" i="16"/>
  <c r="AC135" i="16"/>
  <c r="AB135" i="16"/>
  <c r="AA135" i="16"/>
  <c r="Z135" i="16"/>
  <c r="Y135" i="16"/>
  <c r="V135" i="16"/>
  <c r="K135" i="16"/>
  <c r="AF134" i="16"/>
  <c r="AE134" i="16"/>
  <c r="AD134" i="16"/>
  <c r="AC134" i="16"/>
  <c r="AB134" i="16"/>
  <c r="AA134" i="16"/>
  <c r="Z134" i="16"/>
  <c r="Y134" i="16"/>
  <c r="V134" i="16"/>
  <c r="K134" i="16"/>
  <c r="AF133" i="16"/>
  <c r="AE133" i="16"/>
  <c r="AD133" i="16"/>
  <c r="AC133" i="16"/>
  <c r="AB133" i="16"/>
  <c r="AA133" i="16"/>
  <c r="Z133" i="16"/>
  <c r="Y133" i="16"/>
  <c r="V133" i="16"/>
  <c r="K133" i="16"/>
  <c r="AF132" i="16"/>
  <c r="AE132" i="16"/>
  <c r="AD132" i="16"/>
  <c r="AC132" i="16"/>
  <c r="AB132" i="16"/>
  <c r="AA132" i="16"/>
  <c r="Z132" i="16"/>
  <c r="Y132" i="16"/>
  <c r="V132" i="16"/>
  <c r="K132" i="16"/>
  <c r="AF131" i="16"/>
  <c r="AE131" i="16"/>
  <c r="AD131" i="16"/>
  <c r="AC131" i="16"/>
  <c r="AB131" i="16"/>
  <c r="AA131" i="16"/>
  <c r="Z131" i="16"/>
  <c r="Y131" i="16"/>
  <c r="V131" i="16"/>
  <c r="K131" i="16"/>
  <c r="AF130" i="16"/>
  <c r="AE130" i="16"/>
  <c r="AD130" i="16"/>
  <c r="AC130" i="16"/>
  <c r="AB130" i="16"/>
  <c r="AA130" i="16"/>
  <c r="Z130" i="16"/>
  <c r="Y130" i="16"/>
  <c r="V130" i="16"/>
  <c r="K130" i="16"/>
  <c r="AF129" i="16"/>
  <c r="AE129" i="16"/>
  <c r="AD129" i="16"/>
  <c r="AC129" i="16"/>
  <c r="AB129" i="16"/>
  <c r="AA129" i="16"/>
  <c r="Z129" i="16"/>
  <c r="Y129" i="16"/>
  <c r="V129" i="16"/>
  <c r="K129" i="16"/>
  <c r="AF128" i="16"/>
  <c r="AE128" i="16"/>
  <c r="AD128" i="16"/>
  <c r="AC128" i="16"/>
  <c r="AB128" i="16"/>
  <c r="AA128" i="16"/>
  <c r="Z128" i="16"/>
  <c r="Y128" i="16"/>
  <c r="V128" i="16"/>
  <c r="K128" i="16"/>
  <c r="AF127" i="16"/>
  <c r="AE127" i="16"/>
  <c r="AD127" i="16"/>
  <c r="AC127" i="16"/>
  <c r="AB127" i="16"/>
  <c r="AA127" i="16"/>
  <c r="Z127" i="16"/>
  <c r="Y127" i="16"/>
  <c r="V127" i="16"/>
  <c r="K127" i="16"/>
  <c r="Y125" i="16"/>
  <c r="N125" i="16"/>
  <c r="U121" i="16"/>
  <c r="T121" i="16"/>
  <c r="S121" i="16"/>
  <c r="R121" i="16"/>
  <c r="Q121" i="16"/>
  <c r="P121" i="16"/>
  <c r="O121" i="16"/>
  <c r="N121" i="16"/>
  <c r="J121" i="16"/>
  <c r="I121" i="16"/>
  <c r="H121" i="16"/>
  <c r="G121" i="16"/>
  <c r="F121" i="16"/>
  <c r="E121" i="16"/>
  <c r="D121" i="16"/>
  <c r="C121" i="16"/>
  <c r="AF120" i="16"/>
  <c r="AE120" i="16"/>
  <c r="AD120" i="16"/>
  <c r="AC120" i="16"/>
  <c r="AB120" i="16"/>
  <c r="AA120" i="16"/>
  <c r="Z120" i="16"/>
  <c r="Y120" i="16"/>
  <c r="V120" i="16"/>
  <c r="K120" i="16"/>
  <c r="AF119" i="16"/>
  <c r="AE119" i="16"/>
  <c r="AD119" i="16"/>
  <c r="AC119" i="16"/>
  <c r="AB119" i="16"/>
  <c r="AA119" i="16"/>
  <c r="Z119" i="16"/>
  <c r="Y119" i="16"/>
  <c r="V119" i="16"/>
  <c r="K119" i="16"/>
  <c r="AF118" i="16"/>
  <c r="AE118" i="16"/>
  <c r="AD118" i="16"/>
  <c r="AC118" i="16"/>
  <c r="AB118" i="16"/>
  <c r="AA118" i="16"/>
  <c r="Z118" i="16"/>
  <c r="Y118" i="16"/>
  <c r="V118" i="16"/>
  <c r="K118" i="16"/>
  <c r="AF117" i="16"/>
  <c r="AE117" i="16"/>
  <c r="AD117" i="16"/>
  <c r="AC117" i="16"/>
  <c r="AB117" i="16"/>
  <c r="AA117" i="16"/>
  <c r="Z117" i="16"/>
  <c r="Y117" i="16"/>
  <c r="V117" i="16"/>
  <c r="K117" i="16"/>
  <c r="AF116" i="16"/>
  <c r="AE116" i="16"/>
  <c r="AD116" i="16"/>
  <c r="AC116" i="16"/>
  <c r="AB116" i="16"/>
  <c r="AA116" i="16"/>
  <c r="Z116" i="16"/>
  <c r="Y116" i="16"/>
  <c r="V116" i="16"/>
  <c r="K116" i="16"/>
  <c r="AF115" i="16"/>
  <c r="AE115" i="16"/>
  <c r="AD115" i="16"/>
  <c r="AC115" i="16"/>
  <c r="AB115" i="16"/>
  <c r="AA115" i="16"/>
  <c r="Z115" i="16"/>
  <c r="Y115" i="16"/>
  <c r="V115" i="16"/>
  <c r="K115" i="16"/>
  <c r="AF114" i="16"/>
  <c r="AE114" i="16"/>
  <c r="AD114" i="16"/>
  <c r="AC114" i="16"/>
  <c r="AB114" i="16"/>
  <c r="AA114" i="16"/>
  <c r="Z114" i="16"/>
  <c r="Y114" i="16"/>
  <c r="V114" i="16"/>
  <c r="K114" i="16"/>
  <c r="AF113" i="16"/>
  <c r="AE113" i="16"/>
  <c r="AD113" i="16"/>
  <c r="AC113" i="16"/>
  <c r="AB113" i="16"/>
  <c r="AA113" i="16"/>
  <c r="Z113" i="16"/>
  <c r="Y113" i="16"/>
  <c r="V113" i="16"/>
  <c r="K113" i="16"/>
  <c r="AF112" i="16"/>
  <c r="AE112" i="16"/>
  <c r="AD112" i="16"/>
  <c r="AC112" i="16"/>
  <c r="AB112" i="16"/>
  <c r="AA112" i="16"/>
  <c r="Z112" i="16"/>
  <c r="Y112" i="16"/>
  <c r="V112" i="16"/>
  <c r="K112" i="16"/>
  <c r="AF111" i="16"/>
  <c r="AE111" i="16"/>
  <c r="AD111" i="16"/>
  <c r="AC111" i="16"/>
  <c r="AB111" i="16"/>
  <c r="AA111" i="16"/>
  <c r="Z111" i="16"/>
  <c r="Y111" i="16"/>
  <c r="V111" i="16"/>
  <c r="K111" i="16"/>
  <c r="AF110" i="16"/>
  <c r="AE110" i="16"/>
  <c r="AD110" i="16"/>
  <c r="AC110" i="16"/>
  <c r="AB110" i="16"/>
  <c r="AA110" i="16"/>
  <c r="Z110" i="16"/>
  <c r="Y110" i="16"/>
  <c r="V110" i="16"/>
  <c r="K110" i="16"/>
  <c r="AF109" i="16"/>
  <c r="AE109" i="16"/>
  <c r="AD109" i="16"/>
  <c r="AC109" i="16"/>
  <c r="AB109" i="16"/>
  <c r="AA109" i="16"/>
  <c r="Z109" i="16"/>
  <c r="Y109" i="16"/>
  <c r="V109" i="16"/>
  <c r="K109" i="16"/>
  <c r="AF108" i="16"/>
  <c r="AE108" i="16"/>
  <c r="AD108" i="16"/>
  <c r="AC108" i="16"/>
  <c r="AB108" i="16"/>
  <c r="AA108" i="16"/>
  <c r="Z108" i="16"/>
  <c r="Y108" i="16"/>
  <c r="V108" i="16"/>
  <c r="K108" i="16"/>
  <c r="AF107" i="16"/>
  <c r="AE107" i="16"/>
  <c r="AD107" i="16"/>
  <c r="AC107" i="16"/>
  <c r="AB107" i="16"/>
  <c r="AA107" i="16"/>
  <c r="Z107" i="16"/>
  <c r="Y107" i="16"/>
  <c r="V107" i="16"/>
  <c r="K107" i="16"/>
  <c r="AF106" i="16"/>
  <c r="AE106" i="16"/>
  <c r="AD106" i="16"/>
  <c r="AC106" i="16"/>
  <c r="AB106" i="16"/>
  <c r="AA106" i="16"/>
  <c r="Z106" i="16"/>
  <c r="Y106" i="16"/>
  <c r="V106" i="16"/>
  <c r="K106" i="16"/>
  <c r="AF105" i="16"/>
  <c r="AE105" i="16"/>
  <c r="AD105" i="16"/>
  <c r="AC105" i="16"/>
  <c r="AB105" i="16"/>
  <c r="AA105" i="16"/>
  <c r="Z105" i="16"/>
  <c r="Y105" i="16"/>
  <c r="V105" i="16"/>
  <c r="K105" i="16"/>
  <c r="AF104" i="16"/>
  <c r="AE104" i="16"/>
  <c r="AD104" i="16"/>
  <c r="AC104" i="16"/>
  <c r="AB104" i="16"/>
  <c r="AA104" i="16"/>
  <c r="Z104" i="16"/>
  <c r="Y104" i="16"/>
  <c r="V104" i="16"/>
  <c r="K104" i="16"/>
  <c r="AF103" i="16"/>
  <c r="AE103" i="16"/>
  <c r="AD103" i="16"/>
  <c r="AC103" i="16"/>
  <c r="AB103" i="16"/>
  <c r="AA103" i="16"/>
  <c r="Z103" i="16"/>
  <c r="Y103" i="16"/>
  <c r="V103" i="16"/>
  <c r="K103" i="16"/>
  <c r="AF102" i="16"/>
  <c r="AE102" i="16"/>
  <c r="AD102" i="16"/>
  <c r="AC102" i="16"/>
  <c r="AB102" i="16"/>
  <c r="AA102" i="16"/>
  <c r="Z102" i="16"/>
  <c r="Y102" i="16"/>
  <c r="V102" i="16"/>
  <c r="K102" i="16"/>
  <c r="AF101" i="16"/>
  <c r="AE101" i="16"/>
  <c r="AD101" i="16"/>
  <c r="AC101" i="16"/>
  <c r="AB101" i="16"/>
  <c r="AA101" i="16"/>
  <c r="Z101" i="16"/>
  <c r="Y101" i="16"/>
  <c r="V101" i="16"/>
  <c r="K101" i="16"/>
  <c r="Y99" i="16"/>
  <c r="N99" i="16"/>
  <c r="U95" i="16"/>
  <c r="T95" i="16"/>
  <c r="S95" i="16"/>
  <c r="R95" i="16"/>
  <c r="Q95" i="16"/>
  <c r="P95" i="16"/>
  <c r="O95" i="16"/>
  <c r="N95" i="16"/>
  <c r="J95" i="16"/>
  <c r="I95" i="16"/>
  <c r="H95" i="16"/>
  <c r="G95" i="16"/>
  <c r="F95" i="16"/>
  <c r="E95" i="16"/>
  <c r="D95" i="16"/>
  <c r="C95" i="16"/>
  <c r="AF94" i="16"/>
  <c r="AE94" i="16"/>
  <c r="AD94" i="16"/>
  <c r="AC94" i="16"/>
  <c r="AB94" i="16"/>
  <c r="AA94" i="16"/>
  <c r="Z94" i="16"/>
  <c r="Y94" i="16"/>
  <c r="V94" i="16"/>
  <c r="K94" i="16"/>
  <c r="AF93" i="16"/>
  <c r="AE93" i="16"/>
  <c r="AD93" i="16"/>
  <c r="AC93" i="16"/>
  <c r="AB93" i="16"/>
  <c r="AA93" i="16"/>
  <c r="Z93" i="16"/>
  <c r="Y93" i="16"/>
  <c r="V93" i="16"/>
  <c r="K93" i="16"/>
  <c r="AF92" i="16"/>
  <c r="AE92" i="16"/>
  <c r="AD92" i="16"/>
  <c r="AC92" i="16"/>
  <c r="AB92" i="16"/>
  <c r="AA92" i="16"/>
  <c r="Z92" i="16"/>
  <c r="Y92" i="16"/>
  <c r="V92" i="16"/>
  <c r="K92" i="16"/>
  <c r="AF91" i="16"/>
  <c r="AE91" i="16"/>
  <c r="AD91" i="16"/>
  <c r="AC91" i="16"/>
  <c r="AB91" i="16"/>
  <c r="AA91" i="16"/>
  <c r="Z91" i="16"/>
  <c r="Y91" i="16"/>
  <c r="V91" i="16"/>
  <c r="K91" i="16"/>
  <c r="AF90" i="16"/>
  <c r="AE90" i="16"/>
  <c r="AD90" i="16"/>
  <c r="AC90" i="16"/>
  <c r="AB90" i="16"/>
  <c r="AA90" i="16"/>
  <c r="Z90" i="16"/>
  <c r="Y90" i="16"/>
  <c r="V90" i="16"/>
  <c r="K90" i="16"/>
  <c r="AF89" i="16"/>
  <c r="AE89" i="16"/>
  <c r="AD89" i="16"/>
  <c r="AC89" i="16"/>
  <c r="AB89" i="16"/>
  <c r="AA89" i="16"/>
  <c r="Z89" i="16"/>
  <c r="Y89" i="16"/>
  <c r="V89" i="16"/>
  <c r="K89" i="16"/>
  <c r="AF88" i="16"/>
  <c r="AE88" i="16"/>
  <c r="AD88" i="16"/>
  <c r="AC88" i="16"/>
  <c r="AB88" i="16"/>
  <c r="AA88" i="16"/>
  <c r="Z88" i="16"/>
  <c r="Y88" i="16"/>
  <c r="V88" i="16"/>
  <c r="K88" i="16"/>
  <c r="AF87" i="16"/>
  <c r="AE87" i="16"/>
  <c r="AD87" i="16"/>
  <c r="AC87" i="16"/>
  <c r="AB87" i="16"/>
  <c r="AA87" i="16"/>
  <c r="Z87" i="16"/>
  <c r="Y87" i="16"/>
  <c r="V87" i="16"/>
  <c r="K87" i="16"/>
  <c r="AF86" i="16"/>
  <c r="AE86" i="16"/>
  <c r="AD86" i="16"/>
  <c r="AC86" i="16"/>
  <c r="AB86" i="16"/>
  <c r="AA86" i="16"/>
  <c r="Z86" i="16"/>
  <c r="Y86" i="16"/>
  <c r="V86" i="16"/>
  <c r="K86" i="16"/>
  <c r="AF85" i="16"/>
  <c r="AE85" i="16"/>
  <c r="AD85" i="16"/>
  <c r="AC85" i="16"/>
  <c r="AB85" i="16"/>
  <c r="AA85" i="16"/>
  <c r="Z85" i="16"/>
  <c r="Y85" i="16"/>
  <c r="V85" i="16"/>
  <c r="K85" i="16"/>
  <c r="AF84" i="16"/>
  <c r="AE84" i="16"/>
  <c r="AD84" i="16"/>
  <c r="AC84" i="16"/>
  <c r="AB84" i="16"/>
  <c r="AA84" i="16"/>
  <c r="Z84" i="16"/>
  <c r="Y84" i="16"/>
  <c r="V84" i="16"/>
  <c r="K84" i="16"/>
  <c r="AF83" i="16"/>
  <c r="AE83" i="16"/>
  <c r="AD83" i="16"/>
  <c r="AC83" i="16"/>
  <c r="AB83" i="16"/>
  <c r="AA83" i="16"/>
  <c r="Z83" i="16"/>
  <c r="Y83" i="16"/>
  <c r="V83" i="16"/>
  <c r="K83" i="16"/>
  <c r="AF82" i="16"/>
  <c r="AE82" i="16"/>
  <c r="AD82" i="16"/>
  <c r="AC82" i="16"/>
  <c r="AB82" i="16"/>
  <c r="AA82" i="16"/>
  <c r="Z82" i="16"/>
  <c r="Y82" i="16"/>
  <c r="V82" i="16"/>
  <c r="K82" i="16"/>
  <c r="AF81" i="16"/>
  <c r="AE81" i="16"/>
  <c r="AD81" i="16"/>
  <c r="AC81" i="16"/>
  <c r="AB81" i="16"/>
  <c r="AA81" i="16"/>
  <c r="Z81" i="16"/>
  <c r="Y81" i="16"/>
  <c r="V81" i="16"/>
  <c r="K81" i="16"/>
  <c r="AF80" i="16"/>
  <c r="AE80" i="16"/>
  <c r="AD80" i="16"/>
  <c r="AC80" i="16"/>
  <c r="AB80" i="16"/>
  <c r="AA80" i="16"/>
  <c r="Z80" i="16"/>
  <c r="Y80" i="16"/>
  <c r="V80" i="16"/>
  <c r="K80" i="16"/>
  <c r="AF79" i="16"/>
  <c r="AE79" i="16"/>
  <c r="AD79" i="16"/>
  <c r="AC79" i="16"/>
  <c r="AB79" i="16"/>
  <c r="AA79" i="16"/>
  <c r="Z79" i="16"/>
  <c r="Y79" i="16"/>
  <c r="V79" i="16"/>
  <c r="K79" i="16"/>
  <c r="AF78" i="16"/>
  <c r="AE78" i="16"/>
  <c r="AD78" i="16"/>
  <c r="AC78" i="16"/>
  <c r="AB78" i="16"/>
  <c r="AA78" i="16"/>
  <c r="Z78" i="16"/>
  <c r="Y78" i="16"/>
  <c r="V78" i="16"/>
  <c r="K78" i="16"/>
  <c r="AF77" i="16"/>
  <c r="AE77" i="16"/>
  <c r="AD77" i="16"/>
  <c r="AC77" i="16"/>
  <c r="AB77" i="16"/>
  <c r="AA77" i="16"/>
  <c r="Z77" i="16"/>
  <c r="Y77" i="16"/>
  <c r="V77" i="16"/>
  <c r="K77" i="16"/>
  <c r="AF76" i="16"/>
  <c r="AE76" i="16"/>
  <c r="AD76" i="16"/>
  <c r="AC76" i="16"/>
  <c r="AB76" i="16"/>
  <c r="AA76" i="16"/>
  <c r="Z76" i="16"/>
  <c r="Y76" i="16"/>
  <c r="V76" i="16"/>
  <c r="K76" i="16"/>
  <c r="AF75" i="16"/>
  <c r="AE75" i="16"/>
  <c r="AD75" i="16"/>
  <c r="AC75" i="16"/>
  <c r="AB75" i="16"/>
  <c r="AA75" i="16"/>
  <c r="Z75" i="16"/>
  <c r="Y75" i="16"/>
  <c r="V75" i="16"/>
  <c r="K75" i="16"/>
  <c r="Y73" i="16"/>
  <c r="N73" i="16"/>
  <c r="U69" i="16"/>
  <c r="T69" i="16"/>
  <c r="S69" i="16"/>
  <c r="R69" i="16"/>
  <c r="Q69" i="16"/>
  <c r="P69" i="16"/>
  <c r="O69" i="16"/>
  <c r="N69" i="16"/>
  <c r="J69" i="16"/>
  <c r="I69" i="16"/>
  <c r="H69" i="16"/>
  <c r="G69" i="16"/>
  <c r="F69" i="16"/>
  <c r="E69" i="16"/>
  <c r="D69" i="16"/>
  <c r="C69" i="16"/>
  <c r="AF68" i="16"/>
  <c r="AE68" i="16"/>
  <c r="AD68" i="16"/>
  <c r="AC68" i="16"/>
  <c r="AB68" i="16"/>
  <c r="AA68" i="16"/>
  <c r="Z68" i="16"/>
  <c r="Y68" i="16"/>
  <c r="V68" i="16"/>
  <c r="K68" i="16"/>
  <c r="AF66" i="16"/>
  <c r="AE66" i="16"/>
  <c r="AD66" i="16"/>
  <c r="AC66" i="16"/>
  <c r="AB66" i="16"/>
  <c r="AA66" i="16"/>
  <c r="Z66" i="16"/>
  <c r="Y66" i="16"/>
  <c r="V66" i="16"/>
  <c r="K66" i="16"/>
  <c r="AF67" i="16"/>
  <c r="AE67" i="16"/>
  <c r="AD67" i="16"/>
  <c r="AC67" i="16"/>
  <c r="AB67" i="16"/>
  <c r="AA67" i="16"/>
  <c r="Z67" i="16"/>
  <c r="Y67" i="16"/>
  <c r="V67" i="16"/>
  <c r="K67" i="16"/>
  <c r="AF65" i="16"/>
  <c r="AE65" i="16"/>
  <c r="AD65" i="16"/>
  <c r="AC65" i="16"/>
  <c r="AB65" i="16"/>
  <c r="AA65" i="16"/>
  <c r="Z65" i="16"/>
  <c r="Y65" i="16"/>
  <c r="V65" i="16"/>
  <c r="K65" i="16"/>
  <c r="AF64" i="16"/>
  <c r="AE64" i="16"/>
  <c r="AD64" i="16"/>
  <c r="AC64" i="16"/>
  <c r="AB64" i="16"/>
  <c r="AA64" i="16"/>
  <c r="Z64" i="16"/>
  <c r="Y64" i="16"/>
  <c r="V64" i="16"/>
  <c r="K64" i="16"/>
  <c r="AF63" i="16"/>
  <c r="AE63" i="16"/>
  <c r="AD63" i="16"/>
  <c r="AC63" i="16"/>
  <c r="AB63" i="16"/>
  <c r="AA63" i="16"/>
  <c r="Z63" i="16"/>
  <c r="Y63" i="16"/>
  <c r="V63" i="16"/>
  <c r="K63" i="16"/>
  <c r="AF62" i="16"/>
  <c r="AE62" i="16"/>
  <c r="AD62" i="16"/>
  <c r="AC62" i="16"/>
  <c r="AB62" i="16"/>
  <c r="AA62" i="16"/>
  <c r="Z62" i="16"/>
  <c r="Y62" i="16"/>
  <c r="V62" i="16"/>
  <c r="K62" i="16"/>
  <c r="AF61" i="16"/>
  <c r="AE61" i="16"/>
  <c r="AD61" i="16"/>
  <c r="AC61" i="16"/>
  <c r="AB61" i="16"/>
  <c r="AA61" i="16"/>
  <c r="Z61" i="16"/>
  <c r="Y61" i="16"/>
  <c r="V61" i="16"/>
  <c r="K61" i="16"/>
  <c r="AF60" i="16"/>
  <c r="AE60" i="16"/>
  <c r="AD60" i="16"/>
  <c r="AC60" i="16"/>
  <c r="AB60" i="16"/>
  <c r="AA60" i="16"/>
  <c r="Z60" i="16"/>
  <c r="Y60" i="16"/>
  <c r="V60" i="16"/>
  <c r="K60" i="16"/>
  <c r="AF59" i="16"/>
  <c r="AE59" i="16"/>
  <c r="AD59" i="16"/>
  <c r="AC59" i="16"/>
  <c r="AB59" i="16"/>
  <c r="AA59" i="16"/>
  <c r="Z59" i="16"/>
  <c r="Y59" i="16"/>
  <c r="V59" i="16"/>
  <c r="K59" i="16"/>
  <c r="AF58" i="16"/>
  <c r="AE58" i="16"/>
  <c r="AD58" i="16"/>
  <c r="AC58" i="16"/>
  <c r="AB58" i="16"/>
  <c r="AA58" i="16"/>
  <c r="Z58" i="16"/>
  <c r="Y58" i="16"/>
  <c r="V58" i="16"/>
  <c r="K58" i="16"/>
  <c r="AF57" i="16"/>
  <c r="AE57" i="16"/>
  <c r="AD57" i="16"/>
  <c r="AC57" i="16"/>
  <c r="AB57" i="16"/>
  <c r="AA57" i="16"/>
  <c r="Z57" i="16"/>
  <c r="Y57" i="16"/>
  <c r="V57" i="16"/>
  <c r="K57" i="16"/>
  <c r="AF56" i="16"/>
  <c r="AE56" i="16"/>
  <c r="AD56" i="16"/>
  <c r="AC56" i="16"/>
  <c r="AB56" i="16"/>
  <c r="AA56" i="16"/>
  <c r="Z56" i="16"/>
  <c r="Y56" i="16"/>
  <c r="V56" i="16"/>
  <c r="K56" i="16"/>
  <c r="AF55" i="16"/>
  <c r="AE55" i="16"/>
  <c r="AD55" i="16"/>
  <c r="AC55" i="16"/>
  <c r="AB55" i="16"/>
  <c r="AA55" i="16"/>
  <c r="Z55" i="16"/>
  <c r="Y55" i="16"/>
  <c r="V55" i="16"/>
  <c r="K55" i="16"/>
  <c r="AF54" i="16"/>
  <c r="AE54" i="16"/>
  <c r="AD54" i="16"/>
  <c r="AC54" i="16"/>
  <c r="AB54" i="16"/>
  <c r="AA54" i="16"/>
  <c r="Z54" i="16"/>
  <c r="Y54" i="16"/>
  <c r="V54" i="16"/>
  <c r="K54" i="16"/>
  <c r="AF53" i="16"/>
  <c r="AE53" i="16"/>
  <c r="AD53" i="16"/>
  <c r="AC53" i="16"/>
  <c r="AB53" i="16"/>
  <c r="AA53" i="16"/>
  <c r="Z53" i="16"/>
  <c r="Y53" i="16"/>
  <c r="V53" i="16"/>
  <c r="K53" i="16"/>
  <c r="AF52" i="16"/>
  <c r="AE52" i="16"/>
  <c r="AD52" i="16"/>
  <c r="AC52" i="16"/>
  <c r="AB52" i="16"/>
  <c r="AA52" i="16"/>
  <c r="Z52" i="16"/>
  <c r="Y52" i="16"/>
  <c r="V52" i="16"/>
  <c r="K52" i="16"/>
  <c r="AF51" i="16"/>
  <c r="AE51" i="16"/>
  <c r="AD51" i="16"/>
  <c r="AC51" i="16"/>
  <c r="AB51" i="16"/>
  <c r="AA51" i="16"/>
  <c r="Z51" i="16"/>
  <c r="Y51" i="16"/>
  <c r="V51" i="16"/>
  <c r="K51" i="16"/>
  <c r="AF50" i="16"/>
  <c r="AE50" i="16"/>
  <c r="AD50" i="16"/>
  <c r="AC50" i="16"/>
  <c r="AB50" i="16"/>
  <c r="AA50" i="16"/>
  <c r="Z50" i="16"/>
  <c r="Y50" i="16"/>
  <c r="V50" i="16"/>
  <c r="K50" i="16"/>
  <c r="AF49" i="16"/>
  <c r="AE49" i="16"/>
  <c r="AD49" i="16"/>
  <c r="AC49" i="16"/>
  <c r="AB49" i="16"/>
  <c r="AA49" i="16"/>
  <c r="Z49" i="16"/>
  <c r="Y49" i="16"/>
  <c r="V49" i="16"/>
  <c r="K49" i="16"/>
  <c r="Y47" i="16"/>
  <c r="N47" i="16"/>
  <c r="AJ9" i="8"/>
  <c r="AK9" i="8"/>
  <c r="AL9" i="8"/>
  <c r="AM9" i="8"/>
  <c r="AN9" i="8"/>
  <c r="AO9" i="8"/>
  <c r="AP9" i="8"/>
  <c r="AQ9" i="8"/>
  <c r="AR9" i="8"/>
  <c r="AS9" i="8"/>
  <c r="AT9" i="8"/>
  <c r="AU9" i="8"/>
  <c r="AV9" i="8"/>
  <c r="AW9" i="8"/>
  <c r="AX9" i="8"/>
  <c r="AY9" i="8"/>
  <c r="AL10" i="8"/>
  <c r="AM10" i="8"/>
  <c r="AN10" i="8"/>
  <c r="AO10" i="8"/>
  <c r="AP10" i="8"/>
  <c r="AQ10" i="8"/>
  <c r="AR10" i="8"/>
  <c r="AS10" i="8"/>
  <c r="AT10" i="8"/>
  <c r="AU10" i="8"/>
  <c r="AV10" i="8"/>
  <c r="AW10" i="8"/>
  <c r="AX10" i="8"/>
  <c r="AL11" i="8"/>
  <c r="AM11" i="8"/>
  <c r="AN11" i="8"/>
  <c r="AO11" i="8"/>
  <c r="AP11" i="8"/>
  <c r="AQ11" i="8"/>
  <c r="AR11" i="8"/>
  <c r="AS11" i="8"/>
  <c r="AT11" i="8"/>
  <c r="AU11" i="8"/>
  <c r="AV11" i="8"/>
  <c r="AW11" i="8"/>
  <c r="AX11" i="8"/>
  <c r="AK12" i="8"/>
  <c r="AL12" i="8"/>
  <c r="AM12" i="8"/>
  <c r="AN12" i="8"/>
  <c r="AO12" i="8"/>
  <c r="AP12" i="8"/>
  <c r="AQ12" i="8"/>
  <c r="AR12" i="8"/>
  <c r="AS12" i="8"/>
  <c r="AT12" i="8"/>
  <c r="AU12" i="8"/>
  <c r="AV12" i="8"/>
  <c r="AW12" i="8"/>
  <c r="AX12" i="8"/>
  <c r="AY12" i="8"/>
  <c r="AL13" i="8"/>
  <c r="AM13" i="8"/>
  <c r="AN13" i="8"/>
  <c r="AO13" i="8"/>
  <c r="AP13" i="8"/>
  <c r="AQ13" i="8"/>
  <c r="AR13" i="8"/>
  <c r="AS13" i="8"/>
  <c r="AT13" i="8"/>
  <c r="AU13" i="8"/>
  <c r="AV13" i="8"/>
  <c r="AW13" i="8"/>
  <c r="AX13" i="8"/>
  <c r="AK14" i="8"/>
  <c r="AL14" i="8"/>
  <c r="AM14" i="8"/>
  <c r="AN14" i="8"/>
  <c r="AO14" i="8"/>
  <c r="AP14" i="8"/>
  <c r="AQ14" i="8"/>
  <c r="AR14" i="8"/>
  <c r="AS14" i="8"/>
  <c r="AT14" i="8"/>
  <c r="AU14" i="8"/>
  <c r="AV14" i="8"/>
  <c r="AW14" i="8"/>
  <c r="AX14" i="8"/>
  <c r="AY14" i="8"/>
  <c r="AL15" i="8"/>
  <c r="AM15" i="8"/>
  <c r="AN15" i="8"/>
  <c r="AO15" i="8"/>
  <c r="AP15" i="8"/>
  <c r="AQ15" i="8"/>
  <c r="AR15" i="8"/>
  <c r="AS15" i="8"/>
  <c r="AT15" i="8"/>
  <c r="AU15" i="8"/>
  <c r="AV15" i="8"/>
  <c r="AW15" i="8"/>
  <c r="AX15" i="8"/>
  <c r="AK16" i="8"/>
  <c r="AL16" i="8"/>
  <c r="AM16" i="8"/>
  <c r="AN16" i="8"/>
  <c r="AO16" i="8"/>
  <c r="AP16" i="8"/>
  <c r="AQ16" i="8"/>
  <c r="AR16" i="8"/>
  <c r="AS16" i="8"/>
  <c r="AT16" i="8"/>
  <c r="AU16" i="8"/>
  <c r="AV16" i="8"/>
  <c r="AW16" i="8"/>
  <c r="AX16" i="8"/>
  <c r="AY16" i="8"/>
  <c r="AL17" i="8"/>
  <c r="AM17" i="8"/>
  <c r="AN17" i="8"/>
  <c r="AO17" i="8"/>
  <c r="AP17" i="8"/>
  <c r="AQ17" i="8"/>
  <c r="AR17" i="8"/>
  <c r="AS17" i="8"/>
  <c r="AT17" i="8"/>
  <c r="AU17" i="8"/>
  <c r="AV17" i="8"/>
  <c r="AW17" i="8"/>
  <c r="AX17" i="8"/>
  <c r="AL18" i="8"/>
  <c r="AM18" i="8"/>
  <c r="AN18" i="8"/>
  <c r="AO18" i="8"/>
  <c r="AP18" i="8"/>
  <c r="AQ18" i="8"/>
  <c r="AR18" i="8"/>
  <c r="AS18" i="8"/>
  <c r="AT18" i="8"/>
  <c r="AU18" i="8"/>
  <c r="AV18" i="8"/>
  <c r="AW18" i="8"/>
  <c r="AX18" i="8"/>
  <c r="AK19" i="8"/>
  <c r="AL19" i="8"/>
  <c r="AM19" i="8"/>
  <c r="AN19" i="8"/>
  <c r="AO19" i="8"/>
  <c r="AP19" i="8"/>
  <c r="AQ19" i="8"/>
  <c r="AR19" i="8"/>
  <c r="AS19" i="8"/>
  <c r="AT19" i="8"/>
  <c r="AU19" i="8"/>
  <c r="AV19" i="8"/>
  <c r="AW19" i="8"/>
  <c r="AX19" i="8"/>
  <c r="AL20" i="8"/>
  <c r="AM20" i="8"/>
  <c r="AN20" i="8"/>
  <c r="AO20" i="8"/>
  <c r="AP20" i="8"/>
  <c r="AQ20" i="8"/>
  <c r="AR20" i="8"/>
  <c r="AS20" i="8"/>
  <c r="AT20" i="8"/>
  <c r="AU20" i="8"/>
  <c r="AV20" i="8"/>
  <c r="AW20" i="8"/>
  <c r="AX20" i="8"/>
  <c r="AK21" i="8"/>
  <c r="AL21" i="8"/>
  <c r="AM21" i="8"/>
  <c r="AN21" i="8"/>
  <c r="AO21" i="8"/>
  <c r="AP21" i="8"/>
  <c r="AQ21" i="8"/>
  <c r="AR21" i="8"/>
  <c r="AS21" i="8"/>
  <c r="AT21" i="8"/>
  <c r="AU21" i="8"/>
  <c r="AV21" i="8"/>
  <c r="AW21" i="8"/>
  <c r="AX21" i="8"/>
  <c r="AY21" i="8"/>
  <c r="AK22" i="8"/>
  <c r="AL22" i="8"/>
  <c r="AM22" i="8"/>
  <c r="AN22" i="8"/>
  <c r="AO22" i="8"/>
  <c r="AP22" i="8"/>
  <c r="AQ22" i="8"/>
  <c r="AR22" i="8"/>
  <c r="AS22" i="8"/>
  <c r="AT22" i="8"/>
  <c r="AU22" i="8"/>
  <c r="AV22" i="8"/>
  <c r="AW22" i="8"/>
  <c r="AX22" i="8"/>
  <c r="AY22" i="8"/>
  <c r="AL23" i="8"/>
  <c r="AM23" i="8"/>
  <c r="AN23" i="8"/>
  <c r="AO23" i="8"/>
  <c r="AP23" i="8"/>
  <c r="AQ23" i="8"/>
  <c r="AR23" i="8"/>
  <c r="AS23" i="8"/>
  <c r="AT23" i="8"/>
  <c r="AU23" i="8"/>
  <c r="AV23" i="8"/>
  <c r="AW23" i="8"/>
  <c r="AX23" i="8"/>
  <c r="AL24" i="8"/>
  <c r="AM24" i="8"/>
  <c r="AN24" i="8"/>
  <c r="AO24" i="8"/>
  <c r="AP24" i="8"/>
  <c r="AQ24" i="8"/>
  <c r="AR24" i="8"/>
  <c r="AS24" i="8"/>
  <c r="AT24" i="8"/>
  <c r="AU24" i="8"/>
  <c r="AV24" i="8"/>
  <c r="AW24" i="8"/>
  <c r="AX24" i="8"/>
  <c r="AL25" i="8"/>
  <c r="AM25" i="8"/>
  <c r="AN25" i="8"/>
  <c r="AO25" i="8"/>
  <c r="AP25" i="8"/>
  <c r="AQ25" i="8"/>
  <c r="AR25" i="8"/>
  <c r="AS25" i="8"/>
  <c r="AT25" i="8"/>
  <c r="AU25" i="8"/>
  <c r="AV25" i="8"/>
  <c r="AW25" i="8"/>
  <c r="AX25" i="8"/>
  <c r="AL26" i="8"/>
  <c r="AM26" i="8"/>
  <c r="AN26" i="8"/>
  <c r="AO26" i="8"/>
  <c r="AP26" i="8"/>
  <c r="AQ26" i="8"/>
  <c r="AR26" i="8"/>
  <c r="AS26" i="8"/>
  <c r="AT26" i="8"/>
  <c r="AU26" i="8"/>
  <c r="AV26" i="8"/>
  <c r="AW26" i="8"/>
  <c r="AX26" i="8"/>
  <c r="AK27" i="8"/>
  <c r="AL27" i="8"/>
  <c r="AM27" i="8"/>
  <c r="AN27" i="8"/>
  <c r="AO27" i="8"/>
  <c r="AP27" i="8"/>
  <c r="AQ27" i="8"/>
  <c r="AR27" i="8"/>
  <c r="AS27" i="8"/>
  <c r="AT27" i="8"/>
  <c r="AU27" i="8"/>
  <c r="AV27" i="8"/>
  <c r="AW27" i="8"/>
  <c r="AX27" i="8"/>
  <c r="AY27" i="8"/>
  <c r="AL28" i="8"/>
  <c r="AM28" i="8"/>
  <c r="AN28" i="8"/>
  <c r="AO28" i="8"/>
  <c r="AP28" i="8"/>
  <c r="AQ28" i="8"/>
  <c r="AR28" i="8"/>
  <c r="AS28" i="8"/>
  <c r="AT28" i="8"/>
  <c r="AU28" i="8"/>
  <c r="AV28" i="8"/>
  <c r="AW28" i="8"/>
  <c r="AX28" i="8"/>
  <c r="AJ12" i="8"/>
  <c r="AJ14" i="8"/>
  <c r="AJ16" i="8"/>
  <c r="AJ19" i="8"/>
  <c r="AJ21" i="8"/>
  <c r="AJ22" i="8"/>
  <c r="AJ27" i="8"/>
  <c r="Z420" i="16" l="1"/>
  <c r="Z422" i="16"/>
  <c r="AC432" i="16"/>
  <c r="Y424" i="16"/>
  <c r="AC429" i="16"/>
  <c r="AF420" i="16"/>
  <c r="AE415" i="16"/>
  <c r="Z431" i="16"/>
  <c r="AE419" i="16"/>
  <c r="AB416" i="16"/>
  <c r="AF429" i="16"/>
  <c r="Z423" i="16"/>
  <c r="AD419" i="16"/>
  <c r="AB426" i="16"/>
  <c r="AF422" i="16"/>
  <c r="AC419" i="16"/>
  <c r="AE417" i="16"/>
  <c r="AC424" i="16"/>
  <c r="AD417" i="16"/>
  <c r="AA422" i="16"/>
  <c r="AE427" i="16"/>
  <c r="AC425" i="16"/>
  <c r="AC413" i="16"/>
  <c r="AA415" i="16"/>
  <c r="AC420" i="16"/>
  <c r="AA419" i="16"/>
  <c r="AD418" i="16"/>
  <c r="AF415" i="16"/>
  <c r="AA417" i="16"/>
  <c r="AE422" i="16"/>
  <c r="AC421" i="16"/>
  <c r="AC423" i="16"/>
  <c r="AE423" i="16"/>
  <c r="AD420" i="16"/>
  <c r="AC422" i="16"/>
  <c r="AB424" i="16"/>
  <c r="Z421" i="16"/>
  <c r="AA424" i="16"/>
  <c r="AF424" i="16"/>
  <c r="AD422" i="16"/>
  <c r="AF417" i="16"/>
  <c r="Z419" i="16"/>
  <c r="AB419" i="16"/>
  <c r="AD421" i="16"/>
  <c r="AD430" i="16"/>
  <c r="Z424" i="16"/>
  <c r="AF423" i="16"/>
  <c r="AB431" i="16"/>
  <c r="Y426" i="16"/>
  <c r="AA430" i="16"/>
  <c r="AB430" i="16"/>
  <c r="AC417" i="16"/>
  <c r="AF427" i="16"/>
  <c r="AD429" i="16"/>
  <c r="AF416" i="16"/>
  <c r="Z418" i="16"/>
  <c r="AB420" i="16"/>
  <c r="Y423" i="16"/>
  <c r="AE421" i="16"/>
  <c r="Z417" i="16"/>
  <c r="AB428" i="16"/>
  <c r="AD431" i="16"/>
  <c r="Z428" i="16"/>
  <c r="AF430" i="16"/>
  <c r="Z425" i="16"/>
  <c r="AF425" i="16"/>
  <c r="AE431" i="16"/>
  <c r="AA426" i="16"/>
  <c r="AC428" i="16"/>
  <c r="AC414" i="16"/>
  <c r="Z426" i="16"/>
  <c r="Y421" i="16"/>
  <c r="AD426" i="16"/>
  <c r="AF432" i="16"/>
  <c r="AE430" i="16"/>
  <c r="AD425" i="16"/>
  <c r="AA414" i="16"/>
  <c r="Y414" i="16"/>
  <c r="Y425" i="16"/>
  <c r="AF419" i="16"/>
  <c r="AB423" i="16"/>
  <c r="AD423" i="16"/>
  <c r="AD424" i="16"/>
  <c r="AA418" i="16"/>
  <c r="AB427" i="16"/>
  <c r="L56" i="2"/>
  <c r="L60" i="2"/>
  <c r="D101" i="2"/>
  <c r="L101" i="2" s="1"/>
  <c r="L61" i="2"/>
  <c r="L51" i="2"/>
  <c r="L57" i="2"/>
  <c r="L53" i="2"/>
  <c r="L59" i="2"/>
  <c r="L64" i="2"/>
  <c r="L65" i="2"/>
  <c r="L55" i="2"/>
  <c r="D96" i="2"/>
  <c r="D117" i="2" s="1"/>
  <c r="L52" i="2"/>
  <c r="D93" i="2"/>
  <c r="D114" i="2" s="1"/>
  <c r="L54" i="2"/>
  <c r="L58" i="2"/>
  <c r="D99" i="2"/>
  <c r="D120" i="2" s="1"/>
  <c r="AB407" i="16"/>
  <c r="V407" i="16"/>
  <c r="O36" i="13" s="1"/>
  <c r="P36" i="13" s="1"/>
  <c r="J70" i="1"/>
  <c r="L20" i="2"/>
  <c r="D62" i="2"/>
  <c r="L21" i="2"/>
  <c r="D63" i="2"/>
  <c r="L50" i="2"/>
  <c r="AF407" i="16"/>
  <c r="K407" i="16"/>
  <c r="Q36" i="13" s="1"/>
  <c r="AA407" i="16"/>
  <c r="AE407" i="16"/>
  <c r="AE420" i="16"/>
  <c r="Y95" i="16"/>
  <c r="V419" i="16"/>
  <c r="O42" i="18" s="1"/>
  <c r="P42" i="18" s="1"/>
  <c r="AA425" i="16"/>
  <c r="AA413" i="16"/>
  <c r="Y416" i="16"/>
  <c r="V427" i="16"/>
  <c r="O50" i="18" s="1"/>
  <c r="P50" i="18" s="1"/>
  <c r="AC95" i="16"/>
  <c r="V413" i="16"/>
  <c r="O36" i="18" s="1"/>
  <c r="P36" i="18" s="1"/>
  <c r="AD413" i="16"/>
  <c r="V428" i="16"/>
  <c r="O51" i="18" s="1"/>
  <c r="P51" i="18" s="1"/>
  <c r="V424" i="16"/>
  <c r="O47" i="18" s="1"/>
  <c r="P47" i="18" s="1"/>
  <c r="V420" i="16"/>
  <c r="O43" i="18" s="1"/>
  <c r="P43" i="18" s="1"/>
  <c r="P433" i="16"/>
  <c r="V429" i="16"/>
  <c r="O52" i="18" s="1"/>
  <c r="P52" i="18" s="1"/>
  <c r="V425" i="16"/>
  <c r="O48" i="18" s="1"/>
  <c r="P48" i="18" s="1"/>
  <c r="V421" i="16"/>
  <c r="O44" i="18" s="1"/>
  <c r="P44" i="18" s="1"/>
  <c r="V417" i="16"/>
  <c r="O40" i="18" s="1"/>
  <c r="P40" i="18" s="1"/>
  <c r="AD427" i="16"/>
  <c r="AE424" i="16"/>
  <c r="AF421" i="16"/>
  <c r="AA420" i="16"/>
  <c r="AE416" i="16"/>
  <c r="AA416" i="16"/>
  <c r="AD415" i="16"/>
  <c r="Z415" i="16"/>
  <c r="AF413" i="16"/>
  <c r="Y420" i="16"/>
  <c r="V423" i="16"/>
  <c r="O46" i="18" s="1"/>
  <c r="P46" i="18" s="1"/>
  <c r="V415" i="16"/>
  <c r="O38" i="18" s="1"/>
  <c r="P38" i="18" s="1"/>
  <c r="AC430" i="16"/>
  <c r="AF426" i="16"/>
  <c r="V426" i="16"/>
  <c r="O49" i="18" s="1"/>
  <c r="P49" i="18" s="1"/>
  <c r="V422" i="16"/>
  <c r="O45" i="18" s="1"/>
  <c r="P45" i="18" s="1"/>
  <c r="V418" i="16"/>
  <c r="O41" i="18" s="1"/>
  <c r="P41" i="18" s="1"/>
  <c r="V95" i="16"/>
  <c r="O24" i="13" s="1"/>
  <c r="P24" i="13" s="1"/>
  <c r="AB95" i="16"/>
  <c r="AF95" i="16"/>
  <c r="Z121" i="16"/>
  <c r="AD121" i="16"/>
  <c r="V147" i="16"/>
  <c r="O26" i="13" s="1"/>
  <c r="P26" i="13" s="1"/>
  <c r="V199" i="16"/>
  <c r="O28" i="13" s="1"/>
  <c r="P28" i="13" s="1"/>
  <c r="Z225" i="16"/>
  <c r="AD225" i="16"/>
  <c r="V251" i="16"/>
  <c r="O30" i="13" s="1"/>
  <c r="P30" i="13" s="1"/>
  <c r="AB251" i="16"/>
  <c r="AF251" i="16"/>
  <c r="Z277" i="16"/>
  <c r="AD277" i="16"/>
  <c r="V303" i="16"/>
  <c r="O32" i="13" s="1"/>
  <c r="P32" i="13" s="1"/>
  <c r="AB303" i="16"/>
  <c r="AF303" i="16"/>
  <c r="Z329" i="16"/>
  <c r="AD329" i="16"/>
  <c r="V355" i="16"/>
  <c r="O34" i="13" s="1"/>
  <c r="P34" i="13" s="1"/>
  <c r="Z381" i="16"/>
  <c r="AD381" i="16"/>
  <c r="J8" i="1"/>
  <c r="B12" i="1"/>
  <c r="L11" i="2"/>
  <c r="B18" i="1"/>
  <c r="L17" i="2"/>
  <c r="B23" i="1"/>
  <c r="L22" i="2"/>
  <c r="B24" i="1"/>
  <c r="L23" i="2"/>
  <c r="B11" i="1"/>
  <c r="L10" i="2"/>
  <c r="B13" i="1"/>
  <c r="L12" i="2"/>
  <c r="B17" i="1"/>
  <c r="L16" i="2"/>
  <c r="B10" i="1"/>
  <c r="L9" i="2"/>
  <c r="B14" i="1"/>
  <c r="L13" i="2"/>
  <c r="B16" i="1"/>
  <c r="L15" i="2"/>
  <c r="B21" i="1"/>
  <c r="B9" i="1"/>
  <c r="L8" i="2"/>
  <c r="B15" i="1"/>
  <c r="L14" i="2"/>
  <c r="B19" i="1"/>
  <c r="L18" i="2"/>
  <c r="B20" i="1"/>
  <c r="L19" i="2"/>
  <c r="V416" i="16"/>
  <c r="O39" i="18" s="1"/>
  <c r="P39" i="18" s="1"/>
  <c r="K182" i="2"/>
  <c r="V430" i="16"/>
  <c r="O53" i="18" s="1"/>
  <c r="P53" i="18" s="1"/>
  <c r="V431" i="16"/>
  <c r="O54" i="18" s="1"/>
  <c r="P54" i="18" s="1"/>
  <c r="Z430" i="16"/>
  <c r="R433" i="16"/>
  <c r="AD416" i="16"/>
  <c r="Z416" i="16"/>
  <c r="AB147" i="16"/>
  <c r="AF147" i="16"/>
  <c r="AE429" i="16"/>
  <c r="K416" i="16"/>
  <c r="Z69" i="16"/>
  <c r="AD69" i="16"/>
  <c r="K419" i="16"/>
  <c r="AG117" i="16"/>
  <c r="AG119" i="16"/>
  <c r="K147" i="16"/>
  <c r="Q26" i="13" s="1"/>
  <c r="AA147" i="16"/>
  <c r="AE147" i="16"/>
  <c r="AG128" i="16"/>
  <c r="AG130" i="16"/>
  <c r="AG132" i="16"/>
  <c r="AG134" i="16"/>
  <c r="AG136" i="16"/>
  <c r="AG138" i="16"/>
  <c r="AG140" i="16"/>
  <c r="AG142" i="16"/>
  <c r="AG144" i="16"/>
  <c r="AG146" i="16"/>
  <c r="Y173" i="16"/>
  <c r="AC173" i="16"/>
  <c r="AG155" i="16"/>
  <c r="AG157" i="16"/>
  <c r="AG159" i="16"/>
  <c r="AG161" i="16"/>
  <c r="AG163" i="16"/>
  <c r="AG165" i="16"/>
  <c r="AG167" i="16"/>
  <c r="AG169" i="16"/>
  <c r="AG171" i="16"/>
  <c r="AA199" i="16"/>
  <c r="AE199" i="16"/>
  <c r="AG180" i="16"/>
  <c r="AG182" i="16"/>
  <c r="AG184" i="16"/>
  <c r="AG186" i="16"/>
  <c r="AG188" i="16"/>
  <c r="AG190" i="16"/>
  <c r="AG192" i="16"/>
  <c r="AG194" i="16"/>
  <c r="Y225" i="16"/>
  <c r="AC225" i="16"/>
  <c r="AG207" i="16"/>
  <c r="AG209" i="16"/>
  <c r="AG211" i="16"/>
  <c r="AG213" i="16"/>
  <c r="AG215" i="16"/>
  <c r="AG217" i="16"/>
  <c r="N433" i="16"/>
  <c r="T433" i="16"/>
  <c r="AG219" i="16"/>
  <c r="AG221" i="16"/>
  <c r="AG223" i="16"/>
  <c r="AA251" i="16"/>
  <c r="AE251" i="16"/>
  <c r="AG232" i="16"/>
  <c r="AG234" i="16"/>
  <c r="AG236" i="16"/>
  <c r="AG238" i="16"/>
  <c r="AG240" i="16"/>
  <c r="AG242" i="16"/>
  <c r="AG244" i="16"/>
  <c r="AG246" i="16"/>
  <c r="AG248" i="16"/>
  <c r="AG250" i="16"/>
  <c r="Y277" i="16"/>
  <c r="AC277" i="16"/>
  <c r="AG259" i="16"/>
  <c r="AG261" i="16"/>
  <c r="AG263" i="16"/>
  <c r="AG265" i="16"/>
  <c r="AG267" i="16"/>
  <c r="AG269" i="16"/>
  <c r="AG271" i="16"/>
  <c r="AG273" i="16"/>
  <c r="AG275" i="16"/>
  <c r="AA303" i="16"/>
  <c r="AG286" i="16"/>
  <c r="AG288" i="16"/>
  <c r="AG290" i="16"/>
  <c r="AG292" i="16"/>
  <c r="AG294" i="16"/>
  <c r="AG296" i="16"/>
  <c r="AG298" i="16"/>
  <c r="AG300" i="16"/>
  <c r="AG302" i="16"/>
  <c r="Y329" i="16"/>
  <c r="AC329" i="16"/>
  <c r="AG311" i="16"/>
  <c r="AG313" i="16"/>
  <c r="AG315" i="16"/>
  <c r="AG317" i="16"/>
  <c r="AG319" i="16"/>
  <c r="AG321" i="16"/>
  <c r="AG323" i="16"/>
  <c r="AG325" i="16"/>
  <c r="AG327" i="16"/>
  <c r="K355" i="16"/>
  <c r="Q34" i="13" s="1"/>
  <c r="AA355" i="16"/>
  <c r="AE355" i="16"/>
  <c r="AG336" i="16"/>
  <c r="AG338" i="16"/>
  <c r="AG340" i="16"/>
  <c r="AG342" i="16"/>
  <c r="AG344" i="16"/>
  <c r="AG346" i="16"/>
  <c r="AG348" i="16"/>
  <c r="AG350" i="16"/>
  <c r="AG352" i="16"/>
  <c r="AG354" i="16"/>
  <c r="Y381" i="16"/>
  <c r="AC381" i="16"/>
  <c r="AG363" i="16"/>
  <c r="AG365" i="16"/>
  <c r="AG367" i="16"/>
  <c r="AG369" i="16"/>
  <c r="AG371" i="16"/>
  <c r="AG373" i="16"/>
  <c r="AG375" i="16"/>
  <c r="AG377" i="16"/>
  <c r="AG379" i="16"/>
  <c r="AG388" i="16"/>
  <c r="AG390" i="16"/>
  <c r="AG392" i="16"/>
  <c r="AG394" i="16"/>
  <c r="AG396" i="16"/>
  <c r="AG398" i="16"/>
  <c r="AG400" i="16"/>
  <c r="AG402" i="16"/>
  <c r="AG404" i="16"/>
  <c r="AG406" i="16"/>
  <c r="Q433" i="16"/>
  <c r="J433" i="16"/>
  <c r="AB355" i="16"/>
  <c r="AF355" i="16"/>
  <c r="J14" i="36"/>
  <c r="G25" i="36"/>
  <c r="H25" i="36"/>
  <c r="AF199" i="16"/>
  <c r="Z173" i="16"/>
  <c r="AD173" i="16"/>
  <c r="AA69" i="16"/>
  <c r="AE69" i="16"/>
  <c r="B22" i="1"/>
  <c r="K303" i="16"/>
  <c r="Q32" i="13" s="1"/>
  <c r="AE303" i="16"/>
  <c r="AD414" i="16"/>
  <c r="AG284" i="16"/>
  <c r="E433" i="16"/>
  <c r="AE432" i="16"/>
  <c r="I433" i="16"/>
  <c r="AE428" i="16"/>
  <c r="AE414" i="16"/>
  <c r="Z427" i="16"/>
  <c r="Z414" i="16"/>
  <c r="Z432" i="16"/>
  <c r="Z429" i="16"/>
  <c r="K421" i="16"/>
  <c r="AA421" i="16"/>
  <c r="K426" i="16"/>
  <c r="AA431" i="16"/>
  <c r="AA427" i="16"/>
  <c r="AA423" i="16"/>
  <c r="AA428" i="16"/>
  <c r="AA429" i="16"/>
  <c r="AA432" i="16"/>
  <c r="AC431" i="16"/>
  <c r="AC426" i="16"/>
  <c r="K199" i="16"/>
  <c r="Q28" i="13" s="1"/>
  <c r="G433" i="16"/>
  <c r="K431" i="16"/>
  <c r="K418" i="16"/>
  <c r="K251" i="16"/>
  <c r="Q30" i="13" s="1"/>
  <c r="K420" i="16"/>
  <c r="Y427" i="16"/>
  <c r="Y428" i="16"/>
  <c r="AG198" i="16"/>
  <c r="AB199" i="16"/>
  <c r="K417" i="16"/>
  <c r="AB417" i="16"/>
  <c r="AB421" i="16"/>
  <c r="AB429" i="16"/>
  <c r="F433" i="16"/>
  <c r="AG196" i="16"/>
  <c r="K429" i="16"/>
  <c r="AB413" i="16"/>
  <c r="Y432" i="16"/>
  <c r="K432" i="16"/>
  <c r="Y418" i="16"/>
  <c r="Y419" i="16"/>
  <c r="K415" i="16"/>
  <c r="Y431" i="16"/>
  <c r="K422" i="16"/>
  <c r="K414" i="16"/>
  <c r="Y429" i="16"/>
  <c r="Y417" i="16"/>
  <c r="K424" i="16"/>
  <c r="Y413" i="16"/>
  <c r="K423" i="16"/>
  <c r="AG116" i="16"/>
  <c r="K430" i="16"/>
  <c r="K427" i="16"/>
  <c r="K428" i="16"/>
  <c r="D433" i="16"/>
  <c r="Z413" i="16"/>
  <c r="Y430" i="16"/>
  <c r="K425" i="16"/>
  <c r="Y422" i="16"/>
  <c r="K69" i="16"/>
  <c r="Y415" i="16"/>
  <c r="K413" i="16"/>
  <c r="AF414" i="16"/>
  <c r="U433" i="16"/>
  <c r="AB414" i="16"/>
  <c r="O433" i="16"/>
  <c r="V414" i="16"/>
  <c r="O37" i="18" s="1"/>
  <c r="P37" i="18" s="1"/>
  <c r="H433" i="16"/>
  <c r="C433" i="16"/>
  <c r="V69" i="16"/>
  <c r="O22" i="13" s="1"/>
  <c r="P22" i="13" s="1"/>
  <c r="AF69" i="16"/>
  <c r="AD95" i="16"/>
  <c r="V121" i="16"/>
  <c r="O25" i="13" s="1"/>
  <c r="P25" i="13" s="1"/>
  <c r="AB121" i="16"/>
  <c r="AF121" i="16"/>
  <c r="AG118" i="16"/>
  <c r="AG120" i="16"/>
  <c r="Y147" i="16"/>
  <c r="AC147" i="16"/>
  <c r="AG129" i="16"/>
  <c r="AG131" i="16"/>
  <c r="AG133" i="16"/>
  <c r="AG135" i="16"/>
  <c r="AG137" i="16"/>
  <c r="AG139" i="16"/>
  <c r="AG141" i="16"/>
  <c r="AG143" i="16"/>
  <c r="AG145" i="16"/>
  <c r="K173" i="16"/>
  <c r="Q27" i="13" s="1"/>
  <c r="AA173" i="16"/>
  <c r="AE173" i="16"/>
  <c r="AG154" i="16"/>
  <c r="AG156" i="16"/>
  <c r="AG158" i="16"/>
  <c r="AG160" i="16"/>
  <c r="AG162" i="16"/>
  <c r="AG164" i="16"/>
  <c r="AG166" i="16"/>
  <c r="AG168" i="16"/>
  <c r="AG170" i="16"/>
  <c r="AG172" i="16"/>
  <c r="Y199" i="16"/>
  <c r="AC199" i="16"/>
  <c r="AG181" i="16"/>
  <c r="AG183" i="16"/>
  <c r="AG185" i="16"/>
  <c r="AG187" i="16"/>
  <c r="AG189" i="16"/>
  <c r="AG191" i="16"/>
  <c r="AG193" i="16"/>
  <c r="AG195" i="16"/>
  <c r="AG197" i="16"/>
  <c r="K225" i="16"/>
  <c r="Q29" i="13" s="1"/>
  <c r="AA225" i="16"/>
  <c r="AE225" i="16"/>
  <c r="AG206" i="16"/>
  <c r="AG208" i="16"/>
  <c r="AG210" i="16"/>
  <c r="AG212" i="16"/>
  <c r="AG214" i="16"/>
  <c r="AG216" i="16"/>
  <c r="AG218" i="16"/>
  <c r="AG220" i="16"/>
  <c r="AG222" i="16"/>
  <c r="AB69" i="16"/>
  <c r="Z95" i="16"/>
  <c r="Y69" i="16"/>
  <c r="AC69" i="16"/>
  <c r="AG51" i="16"/>
  <c r="AG53" i="16"/>
  <c r="AG55" i="16"/>
  <c r="AG57" i="16"/>
  <c r="AG59" i="16"/>
  <c r="AG61" i="16"/>
  <c r="AG63" i="16"/>
  <c r="AG65" i="16"/>
  <c r="AG66" i="16"/>
  <c r="K95" i="16"/>
  <c r="Q24" i="13" s="1"/>
  <c r="AA95" i="16"/>
  <c r="AE95" i="16"/>
  <c r="AG76" i="16"/>
  <c r="AG78" i="16"/>
  <c r="AG80" i="16"/>
  <c r="AG82" i="16"/>
  <c r="AG84" i="16"/>
  <c r="AG86" i="16"/>
  <c r="AG88" i="16"/>
  <c r="AG90" i="16"/>
  <c r="AG92" i="16"/>
  <c r="AG94" i="16"/>
  <c r="Y121" i="16"/>
  <c r="AC121" i="16"/>
  <c r="AG103" i="16"/>
  <c r="AG105" i="16"/>
  <c r="AG107" i="16"/>
  <c r="AG109" i="16"/>
  <c r="AG111" i="16"/>
  <c r="AG113" i="16"/>
  <c r="AG115" i="16"/>
  <c r="Z147" i="16"/>
  <c r="AD147" i="16"/>
  <c r="V173" i="16"/>
  <c r="O27" i="13" s="1"/>
  <c r="P27" i="13" s="1"/>
  <c r="AB173" i="16"/>
  <c r="AF173" i="16"/>
  <c r="Z199" i="16"/>
  <c r="AD199" i="16"/>
  <c r="V225" i="16"/>
  <c r="O29" i="13" s="1"/>
  <c r="P29" i="13" s="1"/>
  <c r="AB225" i="16"/>
  <c r="AF225" i="16"/>
  <c r="AG50" i="16"/>
  <c r="AG52" i="16"/>
  <c r="AG54" i="16"/>
  <c r="AG56" i="16"/>
  <c r="AG58" i="16"/>
  <c r="AG60" i="16"/>
  <c r="AG62" i="16"/>
  <c r="AG64" i="16"/>
  <c r="AG67" i="16"/>
  <c r="AG68" i="16"/>
  <c r="AG77" i="16"/>
  <c r="AG79" i="16"/>
  <c r="AG81" i="16"/>
  <c r="AG83" i="16"/>
  <c r="AG85" i="16"/>
  <c r="AG87" i="16"/>
  <c r="AG89" i="16"/>
  <c r="AG91" i="16"/>
  <c r="AG93" i="16"/>
  <c r="K121" i="16"/>
  <c r="Q25" i="13" s="1"/>
  <c r="AA121" i="16"/>
  <c r="AE121" i="16"/>
  <c r="AG102" i="16"/>
  <c r="AG104" i="16"/>
  <c r="AG106" i="16"/>
  <c r="AG108" i="16"/>
  <c r="AG110" i="16"/>
  <c r="AG112" i="16"/>
  <c r="AG114" i="16"/>
  <c r="Z251" i="16"/>
  <c r="AD251" i="16"/>
  <c r="V277" i="16"/>
  <c r="O31" i="13" s="1"/>
  <c r="P31" i="13" s="1"/>
  <c r="AB277" i="16"/>
  <c r="AF277" i="16"/>
  <c r="Z303" i="16"/>
  <c r="AD303" i="16"/>
  <c r="V329" i="16"/>
  <c r="O33" i="13" s="1"/>
  <c r="P33" i="13" s="1"/>
  <c r="AB329" i="16"/>
  <c r="AF329" i="16"/>
  <c r="Z355" i="16"/>
  <c r="AD355" i="16"/>
  <c r="V381" i="16"/>
  <c r="O35" i="13" s="1"/>
  <c r="P35" i="13" s="1"/>
  <c r="AB381" i="16"/>
  <c r="AF381" i="16"/>
  <c r="Z407" i="16"/>
  <c r="AD407" i="16"/>
  <c r="AB432" i="16"/>
  <c r="S433" i="16"/>
  <c r="AG224" i="16"/>
  <c r="Y251" i="16"/>
  <c r="AC251" i="16"/>
  <c r="AG233" i="16"/>
  <c r="AG235" i="16"/>
  <c r="AG237" i="16"/>
  <c r="AG239" i="16"/>
  <c r="AG241" i="16"/>
  <c r="AG243" i="16"/>
  <c r="AG245" i="16"/>
  <c r="AG247" i="16"/>
  <c r="AG249" i="16"/>
  <c r="K277" i="16"/>
  <c r="Q31" i="13" s="1"/>
  <c r="AA277" i="16"/>
  <c r="AE277" i="16"/>
  <c r="AG258" i="16"/>
  <c r="AG260" i="16"/>
  <c r="AG262" i="16"/>
  <c r="AG264" i="16"/>
  <c r="AG266" i="16"/>
  <c r="AG268" i="16"/>
  <c r="AG270" i="16"/>
  <c r="AG272" i="16"/>
  <c r="AG274" i="16"/>
  <c r="AG276" i="16"/>
  <c r="Y303" i="16"/>
  <c r="AC303" i="16"/>
  <c r="AG285" i="16"/>
  <c r="AG287" i="16"/>
  <c r="AG289" i="16"/>
  <c r="AG291" i="16"/>
  <c r="AG293" i="16"/>
  <c r="AG295" i="16"/>
  <c r="AG297" i="16"/>
  <c r="AG299" i="16"/>
  <c r="AG301" i="16"/>
  <c r="K329" i="16"/>
  <c r="Q33" i="13" s="1"/>
  <c r="AA329" i="16"/>
  <c r="AE329" i="16"/>
  <c r="AG310" i="16"/>
  <c r="AG312" i="16"/>
  <c r="AG314" i="16"/>
  <c r="AG316" i="16"/>
  <c r="AG318" i="16"/>
  <c r="AG320" i="16"/>
  <c r="AG322" i="16"/>
  <c r="AG324" i="16"/>
  <c r="AG326" i="16"/>
  <c r="AG328" i="16"/>
  <c r="Y355" i="16"/>
  <c r="AC355" i="16"/>
  <c r="AG337" i="16"/>
  <c r="AG339" i="16"/>
  <c r="AG341" i="16"/>
  <c r="AG343" i="16"/>
  <c r="AG345" i="16"/>
  <c r="AG347" i="16"/>
  <c r="AG349" i="16"/>
  <c r="AG351" i="16"/>
  <c r="AG353" i="16"/>
  <c r="K381" i="16"/>
  <c r="Q35" i="13" s="1"/>
  <c r="AA381" i="16"/>
  <c r="AE381" i="16"/>
  <c r="AG362" i="16"/>
  <c r="AG364" i="16"/>
  <c r="AG366" i="16"/>
  <c r="AG368" i="16"/>
  <c r="AG370" i="16"/>
  <c r="AG372" i="16"/>
  <c r="AG374" i="16"/>
  <c r="AG376" i="16"/>
  <c r="AG378" i="16"/>
  <c r="AG380" i="16"/>
  <c r="Y407" i="16"/>
  <c r="AC407" i="16"/>
  <c r="AG389" i="16"/>
  <c r="AG391" i="16"/>
  <c r="AG393" i="16"/>
  <c r="AG395" i="16"/>
  <c r="AG397" i="16"/>
  <c r="AG399" i="16"/>
  <c r="AG401" i="16"/>
  <c r="AG403" i="16"/>
  <c r="AG405" i="16"/>
  <c r="V432" i="16"/>
  <c r="AD432" i="16"/>
  <c r="AG387" i="16"/>
  <c r="AG361" i="16"/>
  <c r="AG335" i="16"/>
  <c r="AG309" i="16"/>
  <c r="AG283" i="16"/>
  <c r="AG257" i="16"/>
  <c r="AG231" i="16"/>
  <c r="AG205" i="16"/>
  <c r="AG179" i="16"/>
  <c r="AG153" i="16"/>
  <c r="AG127" i="16"/>
  <c r="AG101" i="16"/>
  <c r="AG75" i="16"/>
  <c r="AG49" i="16"/>
  <c r="A12" i="17"/>
  <c r="Y21" i="16"/>
  <c r="N21" i="16"/>
  <c r="U43" i="16"/>
  <c r="T43" i="16"/>
  <c r="S43" i="16"/>
  <c r="R43" i="16"/>
  <c r="Q43" i="16"/>
  <c r="P43" i="16"/>
  <c r="O43" i="16"/>
  <c r="N43" i="16"/>
  <c r="D43" i="16"/>
  <c r="E43" i="16"/>
  <c r="F43" i="16"/>
  <c r="G43" i="16"/>
  <c r="H43" i="16"/>
  <c r="I43" i="16"/>
  <c r="J43" i="16"/>
  <c r="C43" i="16"/>
  <c r="AG422" i="16" l="1"/>
  <c r="R36" i="13"/>
  <c r="AG419" i="16"/>
  <c r="R25" i="13"/>
  <c r="AG425" i="16"/>
  <c r="Q22" i="13"/>
  <c r="R22" i="13" s="1"/>
  <c r="Q36" i="18"/>
  <c r="R36" i="18" s="1"/>
  <c r="Q46" i="18"/>
  <c r="R46" i="18" s="1"/>
  <c r="Q54" i="18"/>
  <c r="R54" i="18" s="1"/>
  <c r="Q53" i="18"/>
  <c r="R53" i="18" s="1"/>
  <c r="Q47" i="18"/>
  <c r="R47" i="18" s="1"/>
  <c r="Q45" i="18"/>
  <c r="R45" i="18" s="1"/>
  <c r="Q52" i="18"/>
  <c r="R52" i="18" s="1"/>
  <c r="Q55" i="18"/>
  <c r="Q41" i="18"/>
  <c r="R41" i="18" s="1"/>
  <c r="Q49" i="18"/>
  <c r="R49" i="18" s="1"/>
  <c r="Q39" i="18"/>
  <c r="Q51" i="18"/>
  <c r="Q38" i="18"/>
  <c r="R38" i="18" s="1"/>
  <c r="Q40" i="18"/>
  <c r="R40" i="18" s="1"/>
  <c r="Q42" i="18"/>
  <c r="R42" i="18" s="1"/>
  <c r="Q48" i="18"/>
  <c r="R48" i="18" s="1"/>
  <c r="Q50" i="18"/>
  <c r="R50" i="18" s="1"/>
  <c r="Q37" i="18"/>
  <c r="Q43" i="18"/>
  <c r="R43" i="18" s="1"/>
  <c r="Q44" i="18"/>
  <c r="R44" i="18" s="1"/>
  <c r="R24" i="13"/>
  <c r="AG417" i="16"/>
  <c r="R34" i="13"/>
  <c r="AG423" i="16"/>
  <c r="AG424" i="16"/>
  <c r="AG418" i="16"/>
  <c r="L93" i="2"/>
  <c r="L99" i="2"/>
  <c r="L96" i="2"/>
  <c r="D122" i="2"/>
  <c r="D163" i="2" s="1"/>
  <c r="L63" i="2"/>
  <c r="L62" i="2"/>
  <c r="R26" i="13"/>
  <c r="J19" i="1"/>
  <c r="B81" i="1"/>
  <c r="J18" i="1"/>
  <c r="B80" i="1"/>
  <c r="J22" i="1"/>
  <c r="B84" i="1"/>
  <c r="J15" i="1"/>
  <c r="B77" i="1"/>
  <c r="J14" i="1"/>
  <c r="B76" i="1"/>
  <c r="J11" i="1"/>
  <c r="B73" i="1"/>
  <c r="J12" i="1"/>
  <c r="B74" i="1"/>
  <c r="J16" i="1"/>
  <c r="B78" i="1"/>
  <c r="J20" i="1"/>
  <c r="B82" i="1"/>
  <c r="J21" i="1"/>
  <c r="B83" i="1"/>
  <c r="J17" i="1"/>
  <c r="B79" i="1"/>
  <c r="J23" i="1"/>
  <c r="B85" i="1"/>
  <c r="J13" i="1"/>
  <c r="B75" i="1"/>
  <c r="J9" i="1"/>
  <c r="B71" i="1"/>
  <c r="J10" i="1"/>
  <c r="B72" i="1"/>
  <c r="J24" i="1"/>
  <c r="B86" i="1"/>
  <c r="D66" i="2"/>
  <c r="R30" i="13"/>
  <c r="R28" i="13"/>
  <c r="R32" i="13"/>
  <c r="AG225" i="16"/>
  <c r="AG420" i="16"/>
  <c r="R51" i="18"/>
  <c r="AF433" i="16"/>
  <c r="AG426" i="16"/>
  <c r="AG415" i="16"/>
  <c r="AG430" i="16"/>
  <c r="AG416" i="16"/>
  <c r="L24" i="2"/>
  <c r="B25" i="1"/>
  <c r="R33" i="13"/>
  <c r="R31" i="13"/>
  <c r="R35" i="13"/>
  <c r="AG147" i="16"/>
  <c r="AG121" i="16"/>
  <c r="AG429" i="16"/>
  <c r="AG431" i="16"/>
  <c r="AC433" i="16"/>
  <c r="AE433" i="16"/>
  <c r="AG428" i="16"/>
  <c r="V433" i="16"/>
  <c r="O55" i="18"/>
  <c r="P55" i="18" s="1"/>
  <c r="R29" i="13"/>
  <c r="R27" i="13"/>
  <c r="AA433" i="16"/>
  <c r="AG427" i="16"/>
  <c r="J25" i="36"/>
  <c r="AG329" i="16"/>
  <c r="G87" i="36"/>
  <c r="J76" i="36"/>
  <c r="J87" i="36" s="1"/>
  <c r="H66" i="36"/>
  <c r="J55" i="36"/>
  <c r="J66" i="36" s="1"/>
  <c r="M66" i="36" s="1"/>
  <c r="G66" i="36"/>
  <c r="H161" i="2"/>
  <c r="F162" i="1" s="1"/>
  <c r="F183" i="1" s="1"/>
  <c r="I155" i="2"/>
  <c r="G156" i="1" s="1"/>
  <c r="G177" i="1" s="1"/>
  <c r="I158" i="2"/>
  <c r="G159" i="1" s="1"/>
  <c r="G180" i="1" s="1"/>
  <c r="F158" i="2"/>
  <c r="D159" i="1" s="1"/>
  <c r="D180" i="1" s="1"/>
  <c r="I161" i="2"/>
  <c r="G162" i="1" s="1"/>
  <c r="G183" i="1" s="1"/>
  <c r="E163" i="2"/>
  <c r="C164" i="1" s="1"/>
  <c r="C185" i="1" s="1"/>
  <c r="J155" i="2"/>
  <c r="H156" i="1" s="1"/>
  <c r="H177" i="1" s="1"/>
  <c r="Z433" i="16"/>
  <c r="B102" i="1"/>
  <c r="G155" i="2"/>
  <c r="E156" i="1" s="1"/>
  <c r="E177" i="1" s="1"/>
  <c r="B94" i="1"/>
  <c r="G158" i="2"/>
  <c r="E159" i="1" s="1"/>
  <c r="E180" i="1" s="1"/>
  <c r="I163" i="2"/>
  <c r="G164" i="1" s="1"/>
  <c r="G185" i="1" s="1"/>
  <c r="E158" i="2"/>
  <c r="C159" i="1" s="1"/>
  <c r="C180" i="1" s="1"/>
  <c r="D161" i="2"/>
  <c r="B100" i="1"/>
  <c r="F155" i="2"/>
  <c r="D156" i="1" s="1"/>
  <c r="D177" i="1" s="1"/>
  <c r="G163" i="2"/>
  <c r="E164" i="1" s="1"/>
  <c r="E185" i="1" s="1"/>
  <c r="H155" i="2"/>
  <c r="D158" i="2"/>
  <c r="B97" i="1"/>
  <c r="J97" i="1" s="1"/>
  <c r="H158" i="2"/>
  <c r="F159" i="1" s="1"/>
  <c r="F180" i="1" s="1"/>
  <c r="AG421" i="16"/>
  <c r="AD43" i="16"/>
  <c r="K433" i="16"/>
  <c r="K25" i="1" s="1"/>
  <c r="AG432" i="16"/>
  <c r="Y433" i="16"/>
  <c r="AB433" i="16"/>
  <c r="AG414" i="16"/>
  <c r="AG199" i="16"/>
  <c r="AG173" i="16"/>
  <c r="AG413" i="16"/>
  <c r="AG69" i="16"/>
  <c r="V43" i="16"/>
  <c r="O23" i="13" s="1"/>
  <c r="P23" i="13" s="1"/>
  <c r="P37" i="13" s="1"/>
  <c r="AC43" i="16"/>
  <c r="Y43" i="16"/>
  <c r="Z43" i="16"/>
  <c r="AG277" i="16"/>
  <c r="AG381" i="16"/>
  <c r="K43" i="16"/>
  <c r="AG95" i="16"/>
  <c r="AG303" i="16"/>
  <c r="AG407" i="16"/>
  <c r="AF43" i="16"/>
  <c r="AB43" i="16"/>
  <c r="AE43" i="16"/>
  <c r="AA43" i="16"/>
  <c r="AG251" i="16"/>
  <c r="AG355" i="16"/>
  <c r="AD433" i="16"/>
  <c r="A12" i="9"/>
  <c r="Q56" i="18" l="1"/>
  <c r="R39" i="18"/>
  <c r="Q23" i="13"/>
  <c r="Q37" i="13" s="1"/>
  <c r="L66" i="2"/>
  <c r="N66" i="2" s="1"/>
  <c r="J73" i="1"/>
  <c r="B115" i="1"/>
  <c r="J115" i="1" s="1"/>
  <c r="J82" i="1"/>
  <c r="J86" i="1"/>
  <c r="J85" i="1"/>
  <c r="J78" i="1"/>
  <c r="J77" i="1"/>
  <c r="J80" i="1"/>
  <c r="J75" i="1"/>
  <c r="J81" i="1"/>
  <c r="B123" i="1"/>
  <c r="J123" i="1" s="1"/>
  <c r="J83" i="1"/>
  <c r="J76" i="1"/>
  <c r="B118" i="1"/>
  <c r="J72" i="1"/>
  <c r="J79" i="1"/>
  <c r="B121" i="1"/>
  <c r="J121" i="1" s="1"/>
  <c r="J74" i="1"/>
  <c r="J84" i="1"/>
  <c r="J25" i="1"/>
  <c r="L25" i="1" s="1"/>
  <c r="J71" i="1"/>
  <c r="B87" i="1"/>
  <c r="D155" i="2"/>
  <c r="B156" i="1" s="1"/>
  <c r="L114" i="2"/>
  <c r="R55" i="18"/>
  <c r="J94" i="1"/>
  <c r="J102" i="1"/>
  <c r="E155" i="2"/>
  <c r="C156" i="1" s="1"/>
  <c r="C177" i="1" s="1"/>
  <c r="H163" i="2"/>
  <c r="F164" i="1" s="1"/>
  <c r="F185" i="1" s="1"/>
  <c r="J163" i="2"/>
  <c r="H164" i="1" s="1"/>
  <c r="H185" i="1" s="1"/>
  <c r="F163" i="2"/>
  <c r="F184" i="2" s="1"/>
  <c r="J158" i="2"/>
  <c r="H159" i="1" s="1"/>
  <c r="H180" i="1" s="1"/>
  <c r="O56" i="18"/>
  <c r="J100" i="1"/>
  <c r="E161" i="2"/>
  <c r="J161" i="2"/>
  <c r="H162" i="1" s="1"/>
  <c r="H183" i="1" s="1"/>
  <c r="F161" i="2"/>
  <c r="F182" i="2" s="1"/>
  <c r="G161" i="2"/>
  <c r="E162" i="1" s="1"/>
  <c r="E183" i="1" s="1"/>
  <c r="L117" i="2"/>
  <c r="L122" i="2"/>
  <c r="L120" i="2"/>
  <c r="J117" i="36"/>
  <c r="J128" i="36" s="1"/>
  <c r="M128" i="36" s="1"/>
  <c r="H87" i="36"/>
  <c r="F16" i="57"/>
  <c r="E16" i="57"/>
  <c r="G128" i="36"/>
  <c r="F179" i="2"/>
  <c r="I176" i="2"/>
  <c r="H182" i="2"/>
  <c r="D179" i="2"/>
  <c r="G184" i="2"/>
  <c r="I184" i="2"/>
  <c r="D182" i="2"/>
  <c r="B162" i="1"/>
  <c r="D184" i="2"/>
  <c r="B164" i="1"/>
  <c r="E179" i="2"/>
  <c r="J176" i="2"/>
  <c r="F176" i="2"/>
  <c r="G179" i="2"/>
  <c r="I182" i="2"/>
  <c r="H179" i="2"/>
  <c r="E184" i="2"/>
  <c r="G176" i="2"/>
  <c r="AG43" i="16"/>
  <c r="AG433" i="16"/>
  <c r="O37" i="13"/>
  <c r="R37" i="18"/>
  <c r="I179" i="2"/>
  <c r="R23" i="13"/>
  <c r="R37" i="13" s="1"/>
  <c r="E70" i="2"/>
  <c r="E90" i="2" s="1"/>
  <c r="E111" i="2" s="1"/>
  <c r="B183" i="1" l="1"/>
  <c r="B185" i="1"/>
  <c r="B177" i="1"/>
  <c r="J118" i="1"/>
  <c r="J87" i="1"/>
  <c r="L87" i="1" s="1"/>
  <c r="J179" i="2"/>
  <c r="L179" i="2" s="1"/>
  <c r="D176" i="2"/>
  <c r="J184" i="2"/>
  <c r="E176" i="2"/>
  <c r="L158" i="2"/>
  <c r="G182" i="2"/>
  <c r="L161" i="2"/>
  <c r="L163" i="2"/>
  <c r="F70" i="2"/>
  <c r="F90" i="2" s="1"/>
  <c r="F111" i="2" s="1"/>
  <c r="H184" i="2"/>
  <c r="P56" i="18"/>
  <c r="J182" i="2"/>
  <c r="D164" i="1"/>
  <c r="D185" i="1" s="1"/>
  <c r="R56" i="18"/>
  <c r="D162" i="1"/>
  <c r="D183" i="1" s="1"/>
  <c r="C162" i="1"/>
  <c r="C183" i="1" s="1"/>
  <c r="E182" i="2"/>
  <c r="H176" i="2"/>
  <c r="F156" i="1"/>
  <c r="F177" i="1" s="1"/>
  <c r="L155" i="2"/>
  <c r="B159" i="1"/>
  <c r="J159" i="1" s="1"/>
  <c r="F15" i="57"/>
  <c r="E14" i="57" s="1"/>
  <c r="E15" i="57"/>
  <c r="F14" i="57" s="1"/>
  <c r="E18" i="57"/>
  <c r="F18" i="57"/>
  <c r="G149" i="36"/>
  <c r="H149" i="36"/>
  <c r="H128" i="36"/>
  <c r="B180" i="1" l="1"/>
  <c r="J180" i="1" s="1"/>
  <c r="L176" i="2"/>
  <c r="L184" i="2"/>
  <c r="J185" i="1"/>
  <c r="C91" i="1"/>
  <c r="C112" i="1" s="1"/>
  <c r="G70" i="2"/>
  <c r="G90" i="2" s="1"/>
  <c r="G111" i="2" s="1"/>
  <c r="D91" i="1"/>
  <c r="D112" i="1" s="1"/>
  <c r="L182" i="2"/>
  <c r="J164" i="1"/>
  <c r="J156" i="1"/>
  <c r="J177" i="1"/>
  <c r="J183" i="1"/>
  <c r="J162" i="1"/>
  <c r="J138" i="36"/>
  <c r="J149" i="36" s="1"/>
  <c r="E23" i="57"/>
  <c r="F23" i="57"/>
  <c r="H70" i="2" l="1"/>
  <c r="H90" i="2" s="1"/>
  <c r="H111" i="2" s="1"/>
  <c r="E91" i="1"/>
  <c r="E112" i="1" s="1"/>
  <c r="B91" i="1"/>
  <c r="B112" i="1" s="1"/>
  <c r="I70" i="2" l="1"/>
  <c r="I90" i="2" s="1"/>
  <c r="I111" i="2" s="1"/>
  <c r="D152" i="2"/>
  <c r="F91" i="1" l="1"/>
  <c r="F112" i="1" s="1"/>
  <c r="J70" i="2"/>
  <c r="J90" i="2" s="1"/>
  <c r="J111" i="2" s="1"/>
  <c r="G91" i="1"/>
  <c r="G112" i="1" s="1"/>
  <c r="E152" i="2"/>
  <c r="G152" i="2"/>
  <c r="F152" i="2"/>
  <c r="H152" i="2"/>
  <c r="D173" i="2"/>
  <c r="S8" i="6"/>
  <c r="T8" i="6" s="1"/>
  <c r="T21" i="6" s="1"/>
  <c r="S9" i="6"/>
  <c r="T9" i="6" s="1"/>
  <c r="W22" i="6" s="1"/>
  <c r="S10" i="6"/>
  <c r="T10" i="6" s="1"/>
  <c r="W23" i="6" s="1"/>
  <c r="S11" i="6"/>
  <c r="T11" i="6" s="1"/>
  <c r="X24" i="6" s="1"/>
  <c r="S12" i="6"/>
  <c r="T12" i="6" s="1"/>
  <c r="T25" i="6" s="1"/>
  <c r="S13" i="6"/>
  <c r="T13" i="6" s="1"/>
  <c r="X26" i="6" s="1"/>
  <c r="S14" i="6"/>
  <c r="T14" i="6" s="1"/>
  <c r="U27" i="6" s="1"/>
  <c r="S15" i="6"/>
  <c r="T15" i="6" s="1"/>
  <c r="T28" i="6" s="1"/>
  <c r="S16" i="6"/>
  <c r="T16" i="6" s="1"/>
  <c r="W29" i="6" s="1"/>
  <c r="S7" i="6"/>
  <c r="T7" i="6" s="1"/>
  <c r="V20" i="6" s="1"/>
  <c r="C5" i="6"/>
  <c r="I152" i="2" l="1"/>
  <c r="G153" i="1" s="1"/>
  <c r="G174" i="1" s="1"/>
  <c r="L70" i="2"/>
  <c r="K70" i="2"/>
  <c r="K90" i="2" s="1"/>
  <c r="K111" i="2" s="1"/>
  <c r="B153" i="1"/>
  <c r="E153" i="1"/>
  <c r="E174" i="1" s="1"/>
  <c r="D153" i="1"/>
  <c r="D174" i="1" s="1"/>
  <c r="E173" i="2"/>
  <c r="T22" i="6"/>
  <c r="U20" i="6"/>
  <c r="Y26" i="6"/>
  <c r="Y22" i="6"/>
  <c r="S20" i="6"/>
  <c r="S26" i="6"/>
  <c r="U22" i="6"/>
  <c r="Y20" i="6"/>
  <c r="W26" i="6"/>
  <c r="S22" i="6"/>
  <c r="X27" i="6"/>
  <c r="U23" i="6"/>
  <c r="W27" i="6"/>
  <c r="S23" i="6"/>
  <c r="X22" i="6"/>
  <c r="Y24" i="6"/>
  <c r="T27" i="6"/>
  <c r="W20" i="6"/>
  <c r="Y23" i="6"/>
  <c r="U26" i="6"/>
  <c r="V22" i="6"/>
  <c r="U24" i="6"/>
  <c r="W28" i="6"/>
  <c r="V23" i="6"/>
  <c r="V26" i="6"/>
  <c r="Y21" i="6"/>
  <c r="W21" i="6"/>
  <c r="S29" i="6"/>
  <c r="V29" i="6"/>
  <c r="X25" i="6"/>
  <c r="S21" i="6"/>
  <c r="V21" i="6"/>
  <c r="T24" i="6"/>
  <c r="S28" i="6"/>
  <c r="V28" i="6"/>
  <c r="Y29" i="6"/>
  <c r="U29" i="6"/>
  <c r="U25" i="6"/>
  <c r="Y25" i="6"/>
  <c r="U21" i="6"/>
  <c r="W24" i="6"/>
  <c r="S27" i="6"/>
  <c r="V27" i="6"/>
  <c r="Y28" i="6"/>
  <c r="U28" i="6"/>
  <c r="X29" i="6"/>
  <c r="T29" i="6"/>
  <c r="X23" i="6"/>
  <c r="T23" i="6"/>
  <c r="V25" i="6"/>
  <c r="T17" i="6"/>
  <c r="X21" i="6"/>
  <c r="S24" i="6"/>
  <c r="V24" i="6"/>
  <c r="Y27" i="6"/>
  <c r="X28" i="6"/>
  <c r="X20" i="6"/>
  <c r="T20" i="6"/>
  <c r="S25" i="6"/>
  <c r="W25" i="6"/>
  <c r="T26" i="6"/>
  <c r="S17" i="6"/>
  <c r="I91" i="1" l="1"/>
  <c r="I112" i="1" s="1"/>
  <c r="L90" i="2"/>
  <c r="H91" i="1"/>
  <c r="H112" i="1" s="1"/>
  <c r="B174" i="1"/>
  <c r="F153" i="1"/>
  <c r="F174" i="1" s="1"/>
  <c r="C153" i="1"/>
  <c r="C174" i="1" s="1"/>
  <c r="G173" i="2"/>
  <c r="H173" i="2"/>
  <c r="F173" i="2"/>
  <c r="I173" i="2"/>
  <c r="Z26" i="6"/>
  <c r="Z22" i="6"/>
  <c r="X30" i="6"/>
  <c r="Z24" i="6"/>
  <c r="Z23" i="6"/>
  <c r="W30" i="6"/>
  <c r="Y30" i="6"/>
  <c r="U30" i="6"/>
  <c r="V30" i="6"/>
  <c r="Z29" i="6"/>
  <c r="Z25" i="6"/>
  <c r="Z21" i="6"/>
  <c r="T30" i="6"/>
  <c r="Z27" i="6"/>
  <c r="Z28" i="6"/>
  <c r="K152" i="2" l="1"/>
  <c r="I153" i="1" s="1"/>
  <c r="I174" i="1" s="1"/>
  <c r="J152" i="2"/>
  <c r="J173" i="2" s="1"/>
  <c r="L111" i="2"/>
  <c r="J112" i="1"/>
  <c r="J91" i="1"/>
  <c r="C8" i="6"/>
  <c r="C21" i="6" s="1"/>
  <c r="L8" i="6" s="1"/>
  <c r="D8" i="6"/>
  <c r="D21" i="6" s="1"/>
  <c r="M8" i="6" s="1"/>
  <c r="E8" i="6"/>
  <c r="F8" i="6"/>
  <c r="G8" i="6"/>
  <c r="H8" i="6"/>
  <c r="C9" i="6"/>
  <c r="C22" i="6" s="1"/>
  <c r="L9" i="6" s="1"/>
  <c r="D9" i="6"/>
  <c r="D22" i="6" s="1"/>
  <c r="M9" i="6" s="1"/>
  <c r="E9" i="6"/>
  <c r="F9" i="6"/>
  <c r="G9" i="6"/>
  <c r="H9" i="6"/>
  <c r="C10" i="6"/>
  <c r="D10" i="6"/>
  <c r="E10" i="6"/>
  <c r="F10" i="6"/>
  <c r="G10" i="6"/>
  <c r="H10" i="6"/>
  <c r="C11" i="6"/>
  <c r="D11" i="6"/>
  <c r="E11" i="6"/>
  <c r="F11" i="6"/>
  <c r="G11" i="6"/>
  <c r="H11" i="6"/>
  <c r="C12" i="6"/>
  <c r="D12" i="6"/>
  <c r="E12" i="6"/>
  <c r="F12" i="6"/>
  <c r="G12" i="6"/>
  <c r="H12" i="6"/>
  <c r="C13" i="6"/>
  <c r="D13" i="6"/>
  <c r="E13" i="6"/>
  <c r="F13" i="6"/>
  <c r="G13" i="6"/>
  <c r="H13" i="6"/>
  <c r="C14" i="6"/>
  <c r="D14" i="6"/>
  <c r="E14" i="6"/>
  <c r="F14" i="6"/>
  <c r="G14" i="6"/>
  <c r="H14" i="6"/>
  <c r="C15" i="6"/>
  <c r="C28" i="6" s="1"/>
  <c r="L15" i="6" s="1"/>
  <c r="D15" i="6"/>
  <c r="D28" i="6" s="1"/>
  <c r="M15" i="6" s="1"/>
  <c r="E15" i="6"/>
  <c r="F15" i="6"/>
  <c r="G15" i="6"/>
  <c r="H15" i="6"/>
  <c r="C16" i="6"/>
  <c r="D16" i="6"/>
  <c r="D29" i="6" s="1"/>
  <c r="M16" i="6" s="1"/>
  <c r="E16" i="6"/>
  <c r="F16" i="6"/>
  <c r="G16" i="6"/>
  <c r="H16" i="6"/>
  <c r="E7" i="6"/>
  <c r="F7" i="6"/>
  <c r="G7" i="6"/>
  <c r="H7" i="6"/>
  <c r="D7" i="6"/>
  <c r="C7" i="6"/>
  <c r="B16" i="6"/>
  <c r="B15" i="6"/>
  <c r="B14" i="6"/>
  <c r="B13" i="6"/>
  <c r="B12" i="6"/>
  <c r="B11" i="6"/>
  <c r="B10" i="6"/>
  <c r="B9" i="6"/>
  <c r="B8" i="6"/>
  <c r="B7" i="6"/>
  <c r="K173" i="2" l="1"/>
  <c r="L173" i="2" s="1"/>
  <c r="H153" i="1"/>
  <c r="H174" i="1" s="1"/>
  <c r="L152" i="2"/>
  <c r="B21" i="6"/>
  <c r="K8" i="6" s="1"/>
  <c r="I8" i="6"/>
  <c r="B23" i="6"/>
  <c r="K10" i="6" s="1"/>
  <c r="B47" i="6" s="1"/>
  <c r="I10" i="6"/>
  <c r="B25" i="6"/>
  <c r="K12" i="6" s="1"/>
  <c r="I12" i="6"/>
  <c r="B29" i="6"/>
  <c r="K16" i="6" s="1"/>
  <c r="I16" i="6"/>
  <c r="D20" i="6"/>
  <c r="M7" i="6" s="1"/>
  <c r="G17" i="6"/>
  <c r="G20" i="6"/>
  <c r="G52" i="6"/>
  <c r="P7" i="6"/>
  <c r="E20" i="6"/>
  <c r="N7" i="6" s="1"/>
  <c r="E52" i="6" s="1"/>
  <c r="G29" i="6"/>
  <c r="P16" i="6" s="1"/>
  <c r="G59" i="6" s="1"/>
  <c r="E29" i="6"/>
  <c r="N16" i="6" s="1"/>
  <c r="E59" i="6" s="1"/>
  <c r="C29" i="6"/>
  <c r="L16" i="6" s="1"/>
  <c r="G28" i="6"/>
  <c r="P15" i="6" s="1"/>
  <c r="G58" i="6" s="1"/>
  <c r="E28" i="6"/>
  <c r="N15" i="6" s="1"/>
  <c r="E58" i="6" s="1"/>
  <c r="G27" i="6"/>
  <c r="P14" i="6" s="1"/>
  <c r="G39" i="6"/>
  <c r="G26" i="6"/>
  <c r="P13" i="6" s="1"/>
  <c r="G56" i="6" s="1"/>
  <c r="E26" i="6"/>
  <c r="N13" i="6" s="1"/>
  <c r="E56" i="6" s="1"/>
  <c r="C26" i="6"/>
  <c r="L13" i="6" s="1"/>
  <c r="G25" i="6"/>
  <c r="P12" i="6" s="1"/>
  <c r="G55" i="6" s="1"/>
  <c r="E25" i="6"/>
  <c r="N12" i="6" s="1"/>
  <c r="E55" i="6" s="1"/>
  <c r="C25" i="6"/>
  <c r="L12" i="6" s="1"/>
  <c r="G24" i="6"/>
  <c r="P11" i="6" s="1"/>
  <c r="G48" i="6" s="1"/>
  <c r="E24" i="6"/>
  <c r="N11" i="6" s="1"/>
  <c r="E48" i="6" s="1"/>
  <c r="C24" i="6"/>
  <c r="L11" i="6" s="1"/>
  <c r="C48" i="6" s="1"/>
  <c r="G23" i="6"/>
  <c r="P10" i="6" s="1"/>
  <c r="G47" i="6" s="1"/>
  <c r="E23" i="6"/>
  <c r="N10" i="6" s="1"/>
  <c r="E47" i="6" s="1"/>
  <c r="C23" i="6"/>
  <c r="L10" i="6" s="1"/>
  <c r="C47" i="6" s="1"/>
  <c r="G22" i="6"/>
  <c r="P9" i="6" s="1"/>
  <c r="G54" i="6" s="1"/>
  <c r="E22" i="6"/>
  <c r="N9" i="6" s="1"/>
  <c r="E54" i="6" s="1"/>
  <c r="G21" i="6"/>
  <c r="P8" i="6" s="1"/>
  <c r="G53" i="6" s="1"/>
  <c r="E21" i="6"/>
  <c r="N8" i="6" s="1"/>
  <c r="E53" i="6" s="1"/>
  <c r="B20" i="6"/>
  <c r="K7" i="6" s="1"/>
  <c r="I7" i="6"/>
  <c r="B22" i="6"/>
  <c r="K9" i="6" s="1"/>
  <c r="I9" i="6"/>
  <c r="B24" i="6"/>
  <c r="K11" i="6" s="1"/>
  <c r="B48" i="6" s="1"/>
  <c r="I11" i="6"/>
  <c r="B26" i="6"/>
  <c r="K13" i="6" s="1"/>
  <c r="I13" i="6"/>
  <c r="B28" i="6"/>
  <c r="K15" i="6" s="1"/>
  <c r="I15" i="6"/>
  <c r="C20" i="6"/>
  <c r="L7" i="6" s="1"/>
  <c r="H20" i="6"/>
  <c r="H52" i="6"/>
  <c r="Q7" i="6"/>
  <c r="H17" i="6"/>
  <c r="F20" i="6"/>
  <c r="O7" i="6" s="1"/>
  <c r="F52" i="6" s="1"/>
  <c r="H29" i="6"/>
  <c r="Q16" i="6" s="1"/>
  <c r="H59" i="6" s="1"/>
  <c r="F29" i="6"/>
  <c r="O16" i="6" s="1"/>
  <c r="F59" i="6" s="1"/>
  <c r="H28" i="6"/>
  <c r="Q15" i="6" s="1"/>
  <c r="H58" i="6" s="1"/>
  <c r="F28" i="6"/>
  <c r="O15" i="6" s="1"/>
  <c r="F58" i="6" s="1"/>
  <c r="H27" i="6"/>
  <c r="Q14" i="6" s="1"/>
  <c r="H39" i="6"/>
  <c r="H26" i="6"/>
  <c r="Q13" i="6" s="1"/>
  <c r="H56" i="6" s="1"/>
  <c r="F26" i="6"/>
  <c r="O13" i="6" s="1"/>
  <c r="F56" i="6" s="1"/>
  <c r="D26" i="6"/>
  <c r="M13" i="6" s="1"/>
  <c r="H25" i="6"/>
  <c r="Q12" i="6" s="1"/>
  <c r="H55" i="6" s="1"/>
  <c r="F25" i="6"/>
  <c r="O12" i="6" s="1"/>
  <c r="F55" i="6" s="1"/>
  <c r="D25" i="6"/>
  <c r="M12" i="6" s="1"/>
  <c r="H24" i="6"/>
  <c r="Q11" i="6" s="1"/>
  <c r="H48" i="6" s="1"/>
  <c r="F24" i="6"/>
  <c r="O11" i="6" s="1"/>
  <c r="F48" i="6" s="1"/>
  <c r="D24" i="6"/>
  <c r="M11" i="6" s="1"/>
  <c r="D48" i="6" s="1"/>
  <c r="H23" i="6"/>
  <c r="Q10" i="6" s="1"/>
  <c r="H47" i="6" s="1"/>
  <c r="F23" i="6"/>
  <c r="O10" i="6" s="1"/>
  <c r="F47" i="6" s="1"/>
  <c r="D23" i="6"/>
  <c r="M10" i="6" s="1"/>
  <c r="D47" i="6" s="1"/>
  <c r="H22" i="6"/>
  <c r="Q9" i="6" s="1"/>
  <c r="H54" i="6" s="1"/>
  <c r="F22" i="6"/>
  <c r="O9" i="6" s="1"/>
  <c r="F54" i="6" s="1"/>
  <c r="H21" i="6"/>
  <c r="Q8" i="6" s="1"/>
  <c r="H53" i="6" s="1"/>
  <c r="F21" i="6"/>
  <c r="O8" i="6" s="1"/>
  <c r="F53" i="6" s="1"/>
  <c r="F27" i="6"/>
  <c r="F17" i="6"/>
  <c r="F39" i="6"/>
  <c r="E27" i="6"/>
  <c r="E17" i="6"/>
  <c r="E39" i="6"/>
  <c r="D17" i="6"/>
  <c r="D27" i="6"/>
  <c r="M14" i="6" s="1"/>
  <c r="D39" i="6"/>
  <c r="C27" i="6"/>
  <c r="C39" i="6"/>
  <c r="C17" i="6"/>
  <c r="B39" i="6"/>
  <c r="B27" i="6"/>
  <c r="I14" i="6"/>
  <c r="B17" i="6"/>
  <c r="J174" i="1" l="1"/>
  <c r="J153" i="1"/>
  <c r="H57" i="6"/>
  <c r="H60" i="6" s="1"/>
  <c r="G57" i="6"/>
  <c r="G60" i="6" s="1"/>
  <c r="E30" i="6"/>
  <c r="E32" i="6" s="1"/>
  <c r="E38" i="6" s="1"/>
  <c r="E40" i="6" s="1"/>
  <c r="E42" i="6" s="1"/>
  <c r="E43" i="6" s="1"/>
  <c r="C30" i="6"/>
  <c r="C32" i="6" s="1"/>
  <c r="C38" i="6" s="1"/>
  <c r="C40" i="6" s="1"/>
  <c r="C42" i="6" s="1"/>
  <c r="C43" i="6" s="1"/>
  <c r="N14" i="6"/>
  <c r="E57" i="6" s="1"/>
  <c r="E60" i="6" s="1"/>
  <c r="H49" i="6"/>
  <c r="F49" i="6"/>
  <c r="F30" i="6"/>
  <c r="F32" i="6" s="1"/>
  <c r="F38" i="6" s="1"/>
  <c r="F40" i="6" s="1"/>
  <c r="F42" i="6" s="1"/>
  <c r="F43" i="6" s="1"/>
  <c r="E49" i="6"/>
  <c r="C49" i="6"/>
  <c r="D54" i="6"/>
  <c r="C54" i="6"/>
  <c r="B54" i="6"/>
  <c r="D53" i="6"/>
  <c r="B53" i="6"/>
  <c r="C53" i="6"/>
  <c r="L14" i="6"/>
  <c r="C57" i="6" s="1"/>
  <c r="D30" i="6"/>
  <c r="D32" i="6" s="1"/>
  <c r="D38" i="6" s="1"/>
  <c r="D40" i="6" s="1"/>
  <c r="D42" i="6" s="1"/>
  <c r="D43" i="6" s="1"/>
  <c r="O14" i="6"/>
  <c r="F57" i="6" s="1"/>
  <c r="F60" i="6" s="1"/>
  <c r="I28" i="6"/>
  <c r="I48" i="6"/>
  <c r="I24" i="6"/>
  <c r="I20" i="6"/>
  <c r="G49" i="6"/>
  <c r="G30" i="6"/>
  <c r="G32" i="6" s="1"/>
  <c r="G38" i="6" s="1"/>
  <c r="G40" i="6" s="1"/>
  <c r="G42" i="6" s="1"/>
  <c r="G43" i="6" s="1"/>
  <c r="I29" i="6"/>
  <c r="I23" i="6"/>
  <c r="I21" i="6"/>
  <c r="B52" i="6"/>
  <c r="D52" i="6"/>
  <c r="C52" i="6"/>
  <c r="I47" i="6"/>
  <c r="B49" i="6"/>
  <c r="D49" i="6"/>
  <c r="H30" i="6"/>
  <c r="H32" i="6" s="1"/>
  <c r="H38" i="6" s="1"/>
  <c r="H40" i="6" s="1"/>
  <c r="H42" i="6" s="1"/>
  <c r="H43" i="6" s="1"/>
  <c r="I26" i="6"/>
  <c r="I22" i="6"/>
  <c r="I25" i="6"/>
  <c r="I39" i="6"/>
  <c r="D57" i="6"/>
  <c r="I27" i="6"/>
  <c r="B30" i="6"/>
  <c r="B32" i="6" s="1"/>
  <c r="B38" i="6" s="1"/>
  <c r="I17" i="6"/>
  <c r="K14" i="6"/>
  <c r="B57" i="6" s="1"/>
  <c r="C55" i="6" l="1"/>
  <c r="D55" i="6"/>
  <c r="C58" i="6"/>
  <c r="B56" i="6"/>
  <c r="D56" i="6"/>
  <c r="C56" i="6"/>
  <c r="B55" i="6"/>
  <c r="H62" i="6"/>
  <c r="H64" i="6" s="1"/>
  <c r="C59" i="6"/>
  <c r="B59" i="6"/>
  <c r="D59" i="6"/>
  <c r="G62" i="6"/>
  <c r="G64" i="6" s="1"/>
  <c r="F62" i="6"/>
  <c r="F64" i="6" s="1"/>
  <c r="D58" i="6"/>
  <c r="B58" i="6"/>
  <c r="E62" i="6"/>
  <c r="E64" i="6" s="1"/>
  <c r="I54" i="6"/>
  <c r="I30" i="6"/>
  <c r="I32" i="6" s="1"/>
  <c r="I49" i="6"/>
  <c r="I52" i="6"/>
  <c r="I53" i="6"/>
  <c r="B40" i="6"/>
  <c r="I40" i="6" s="1"/>
  <c r="I38" i="6"/>
  <c r="I57" i="6"/>
  <c r="I55" i="6" l="1"/>
  <c r="C60" i="6"/>
  <c r="C62" i="6" s="1"/>
  <c r="C64" i="6" s="1"/>
  <c r="I56" i="6"/>
  <c r="I59" i="6"/>
  <c r="B60" i="6"/>
  <c r="B62" i="6" s="1"/>
  <c r="D60" i="6"/>
  <c r="D62" i="6" s="1"/>
  <c r="D64" i="6" s="1"/>
  <c r="I58" i="6"/>
  <c r="I42" i="6"/>
  <c r="I43" i="6" s="1"/>
  <c r="C44" i="6" s="1"/>
  <c r="B42" i="6"/>
  <c r="B43" i="6" s="1"/>
  <c r="D19" i="23" l="1"/>
  <c r="E19" i="23"/>
  <c r="E20" i="23" s="1"/>
  <c r="I60" i="6"/>
  <c r="I62" i="6" s="1"/>
  <c r="I64" i="6" s="1"/>
  <c r="H44" i="6"/>
  <c r="E44" i="6"/>
  <c r="D44" i="6"/>
  <c r="F44" i="6"/>
  <c r="G44" i="6"/>
  <c r="B64" i="6"/>
  <c r="B44" i="6"/>
  <c r="D24" i="2"/>
  <c r="I44" i="6" l="1"/>
  <c r="S30" i="6" l="1"/>
  <c r="Z20" i="6"/>
  <c r="Z30" i="6" s="1"/>
  <c r="E17" i="17"/>
  <c r="D17" i="17"/>
  <c r="D36" i="1" l="1"/>
  <c r="E37" i="1"/>
  <c r="D44" i="1"/>
  <c r="E45" i="1"/>
  <c r="D34" i="1"/>
  <c r="D42" i="1"/>
  <c r="E43" i="1"/>
  <c r="D37" i="1"/>
  <c r="E34" i="1"/>
  <c r="E42" i="1"/>
  <c r="E44" i="1"/>
  <c r="D32" i="1"/>
  <c r="Q19" i="8"/>
  <c r="AY19" i="8" s="1"/>
  <c r="D45" i="1"/>
  <c r="E36" i="1"/>
  <c r="D43" i="1"/>
  <c r="E32" i="1"/>
  <c r="D39" i="1"/>
  <c r="E39" i="1"/>
  <c r="B13" i="8"/>
  <c r="AJ13" i="8" s="1"/>
  <c r="C18" i="8"/>
  <c r="D78" i="28" s="1"/>
  <c r="C17" i="8"/>
  <c r="Q13" i="8"/>
  <c r="C13" i="8" s="1"/>
  <c r="B32" i="1"/>
  <c r="Q17" i="8"/>
  <c r="B17" i="8" s="1"/>
  <c r="Q23" i="8"/>
  <c r="B42" i="1" s="1"/>
  <c r="Q18" i="8"/>
  <c r="AY18" i="8" s="1"/>
  <c r="Q26" i="8"/>
  <c r="C26" i="8" s="1"/>
  <c r="Q25" i="8"/>
  <c r="B25" i="8" s="1"/>
  <c r="Q10" i="8"/>
  <c r="Q15" i="8"/>
  <c r="AY15" i="8" s="1"/>
  <c r="Q24" i="8"/>
  <c r="Q11" i="8"/>
  <c r="Q20" i="8"/>
  <c r="B39" i="1" s="1"/>
  <c r="Q28" i="8"/>
  <c r="AY28" i="8"/>
  <c r="B36" i="1" l="1"/>
  <c r="AK18" i="8"/>
  <c r="AY17" i="8"/>
  <c r="B37" i="1"/>
  <c r="AY13" i="8"/>
  <c r="AJ25" i="8"/>
  <c r="D84" i="2"/>
  <c r="D74" i="2"/>
  <c r="B43" i="1"/>
  <c r="B24" i="8"/>
  <c r="B23" i="8"/>
  <c r="C23" i="8"/>
  <c r="AY23" i="8"/>
  <c r="B34" i="1"/>
  <c r="B20" i="8"/>
  <c r="C20" i="8"/>
  <c r="AY20" i="8"/>
  <c r="C24" i="8"/>
  <c r="AK17" i="8"/>
  <c r="D77" i="28"/>
  <c r="B30" i="1"/>
  <c r="C30" i="1" s="1"/>
  <c r="D30" i="1" s="1"/>
  <c r="E30" i="1" s="1"/>
  <c r="F30" i="1" s="1"/>
  <c r="G30" i="1" s="1"/>
  <c r="H30" i="1" s="1"/>
  <c r="J30" i="1" s="1"/>
  <c r="AY11" i="8"/>
  <c r="B11" i="8"/>
  <c r="C11" i="8"/>
  <c r="AK13" i="8"/>
  <c r="D74" i="28"/>
  <c r="AK26" i="8"/>
  <c r="D85" i="28"/>
  <c r="B44" i="1"/>
  <c r="C25" i="8"/>
  <c r="AY24" i="8"/>
  <c r="B15" i="8"/>
  <c r="C15" i="8"/>
  <c r="AJ17" i="8"/>
  <c r="D77" i="2"/>
  <c r="AY25" i="8"/>
  <c r="B28" i="8"/>
  <c r="C28" i="8"/>
  <c r="B10" i="8"/>
  <c r="B29" i="1"/>
  <c r="C29" i="1" s="1"/>
  <c r="D29" i="1" s="1"/>
  <c r="E29" i="1" s="1"/>
  <c r="F29" i="1" s="1"/>
  <c r="G29" i="1" s="1"/>
  <c r="H29" i="1" s="1"/>
  <c r="J29" i="1" s="1"/>
  <c r="AY10" i="8"/>
  <c r="C10" i="8"/>
  <c r="B26" i="8"/>
  <c r="AY26" i="8"/>
  <c r="B45" i="1"/>
  <c r="D98" i="28"/>
  <c r="E78" i="28"/>
  <c r="B38" i="1"/>
  <c r="B18" i="8"/>
  <c r="AJ23" i="8" l="1"/>
  <c r="D82" i="2"/>
  <c r="D83" i="2"/>
  <c r="AJ24" i="8"/>
  <c r="D97" i="28"/>
  <c r="E77" i="28"/>
  <c r="D85" i="2"/>
  <c r="AJ26" i="8"/>
  <c r="D94" i="28"/>
  <c r="E74" i="28"/>
  <c r="D75" i="28"/>
  <c r="AK15" i="8"/>
  <c r="D71" i="28"/>
  <c r="AK10" i="8"/>
  <c r="D78" i="2"/>
  <c r="AJ18" i="8"/>
  <c r="AJ15" i="8"/>
  <c r="D75" i="2"/>
  <c r="D94" i="2"/>
  <c r="E74" i="2"/>
  <c r="D105" i="28"/>
  <c r="E85" i="28"/>
  <c r="D97" i="2"/>
  <c r="E77" i="2"/>
  <c r="AK24" i="8"/>
  <c r="D83" i="28"/>
  <c r="F78" i="28"/>
  <c r="E98" i="28"/>
  <c r="E119" i="28" s="1"/>
  <c r="D72" i="2"/>
  <c r="AJ11" i="8"/>
  <c r="AJ20" i="8"/>
  <c r="D80" i="2"/>
  <c r="D104" i="2"/>
  <c r="E84" i="2"/>
  <c r="D86" i="2"/>
  <c r="AJ28" i="8"/>
  <c r="D82" i="28"/>
  <c r="AK23" i="8"/>
  <c r="D72" i="28"/>
  <c r="AK11" i="8"/>
  <c r="D80" i="28"/>
  <c r="AK20" i="8"/>
  <c r="D71" i="2"/>
  <c r="AJ10" i="8"/>
  <c r="D119" i="28"/>
  <c r="D86" i="28"/>
  <c r="AK28" i="8"/>
  <c r="D84" i="28"/>
  <c r="AK25" i="8"/>
  <c r="D105" i="2" l="1"/>
  <c r="E85" i="2"/>
  <c r="D92" i="28"/>
  <c r="E72" i="28"/>
  <c r="F77" i="28"/>
  <c r="E97" i="28"/>
  <c r="E118" i="28" s="1"/>
  <c r="E97" i="2"/>
  <c r="F77" i="2"/>
  <c r="D102" i="28"/>
  <c r="E82" i="28"/>
  <c r="D118" i="28"/>
  <c r="D100" i="2"/>
  <c r="E80" i="2"/>
  <c r="B98" i="1"/>
  <c r="D118" i="2"/>
  <c r="D160" i="28"/>
  <c r="D181" i="28" s="1"/>
  <c r="E160" i="28"/>
  <c r="E181" i="28" s="1"/>
  <c r="E94" i="2"/>
  <c r="F74" i="2"/>
  <c r="D106" i="28"/>
  <c r="E86" i="28"/>
  <c r="D98" i="2"/>
  <c r="E78" i="2"/>
  <c r="D126" i="28"/>
  <c r="B95" i="1"/>
  <c r="D115" i="2"/>
  <c r="D95" i="28"/>
  <c r="E75" i="28"/>
  <c r="D103" i="2"/>
  <c r="E83" i="2"/>
  <c r="E105" i="28"/>
  <c r="E126" i="28" s="1"/>
  <c r="F85" i="28"/>
  <c r="D91" i="28"/>
  <c r="E71" i="28"/>
  <c r="D106" i="2"/>
  <c r="E86" i="2"/>
  <c r="E104" i="2"/>
  <c r="F84" i="2"/>
  <c r="D103" i="28"/>
  <c r="E83" i="28"/>
  <c r="D95" i="2"/>
  <c r="E75" i="2"/>
  <c r="E94" i="28"/>
  <c r="E115" i="28" s="1"/>
  <c r="F74" i="28"/>
  <c r="D102" i="2"/>
  <c r="E82" i="2"/>
  <c r="E72" i="2"/>
  <c r="D92" i="2"/>
  <c r="D91" i="2"/>
  <c r="E71" i="2"/>
  <c r="G78" i="28"/>
  <c r="F98" i="28"/>
  <c r="D104" i="28"/>
  <c r="E84" i="28"/>
  <c r="D100" i="28"/>
  <c r="E80" i="28"/>
  <c r="D125" i="2"/>
  <c r="D115" i="28"/>
  <c r="B119" i="1" l="1"/>
  <c r="E118" i="2"/>
  <c r="C98" i="1"/>
  <c r="C119" i="1" s="1"/>
  <c r="D166" i="2"/>
  <c r="E103" i="28"/>
  <c r="E124" i="28" s="1"/>
  <c r="F83" i="28"/>
  <c r="E100" i="2"/>
  <c r="F80" i="2"/>
  <c r="E159" i="28"/>
  <c r="E180" i="28" s="1"/>
  <c r="B116" i="1"/>
  <c r="E103" i="2"/>
  <c r="F83" i="2"/>
  <c r="B101" i="1"/>
  <c r="D121" i="2"/>
  <c r="F97" i="28"/>
  <c r="F118" i="28" s="1"/>
  <c r="G77" i="28"/>
  <c r="B96" i="1"/>
  <c r="D116" i="2"/>
  <c r="F97" i="2"/>
  <c r="G77" i="2"/>
  <c r="E167" i="28"/>
  <c r="E188" i="28" s="1"/>
  <c r="F104" i="2"/>
  <c r="G84" i="2"/>
  <c r="D125" i="28"/>
  <c r="B103" i="1"/>
  <c r="D123" i="2"/>
  <c r="E125" i="2"/>
  <c r="B104" i="1"/>
  <c r="D124" i="2"/>
  <c r="E98" i="2"/>
  <c r="F78" i="2"/>
  <c r="D159" i="28"/>
  <c r="D180" i="28" s="1"/>
  <c r="E92" i="28"/>
  <c r="E113" i="28" s="1"/>
  <c r="F72" i="28"/>
  <c r="C95" i="1"/>
  <c r="C116" i="1" s="1"/>
  <c r="E115" i="2"/>
  <c r="E92" i="2"/>
  <c r="F72" i="2"/>
  <c r="E102" i="2"/>
  <c r="F82" i="2"/>
  <c r="G74" i="28"/>
  <c r="F94" i="28"/>
  <c r="B99" i="1"/>
  <c r="D119" i="2"/>
  <c r="D113" i="28"/>
  <c r="D107" i="2"/>
  <c r="D112" i="2"/>
  <c r="B92" i="1"/>
  <c r="D156" i="2"/>
  <c r="D177" i="2" s="1"/>
  <c r="D113" i="2"/>
  <c r="B93" i="1"/>
  <c r="D121" i="28"/>
  <c r="D167" i="28"/>
  <c r="F119" i="28"/>
  <c r="E156" i="28"/>
  <c r="E177" i="28" s="1"/>
  <c r="D127" i="2"/>
  <c r="B107" i="1"/>
  <c r="D116" i="28"/>
  <c r="F86" i="28"/>
  <c r="E106" i="28"/>
  <c r="E127" i="28" s="1"/>
  <c r="E102" i="28"/>
  <c r="E123" i="28" s="1"/>
  <c r="F82" i="28"/>
  <c r="E105" i="2"/>
  <c r="F85" i="2"/>
  <c r="D112" i="28"/>
  <c r="D107" i="28"/>
  <c r="F94" i="2"/>
  <c r="G74" i="2"/>
  <c r="F80" i="28"/>
  <c r="E100" i="28"/>
  <c r="E121" i="28" s="1"/>
  <c r="G85" i="28"/>
  <c r="F105" i="28"/>
  <c r="F126" i="28" s="1"/>
  <c r="D124" i="28"/>
  <c r="F84" i="28"/>
  <c r="E104" i="28"/>
  <c r="E125" i="28" s="1"/>
  <c r="D156" i="28"/>
  <c r="D177" i="28" s="1"/>
  <c r="E106" i="2"/>
  <c r="F86" i="2"/>
  <c r="E95" i="28"/>
  <c r="E116" i="28" s="1"/>
  <c r="F75" i="28"/>
  <c r="G98" i="28"/>
  <c r="G119" i="28" s="1"/>
  <c r="H78" i="28"/>
  <c r="B105" i="1"/>
  <c r="E91" i="2"/>
  <c r="F71" i="2"/>
  <c r="E95" i="2"/>
  <c r="F75" i="2"/>
  <c r="F71" i="28"/>
  <c r="E91" i="28"/>
  <c r="D127" i="28"/>
  <c r="D159" i="2"/>
  <c r="D180" i="2" s="1"/>
  <c r="D123" i="28"/>
  <c r="D126" i="2"/>
  <c r="B106" i="1"/>
  <c r="B126" i="1" l="1"/>
  <c r="B125" i="1"/>
  <c r="G104" i="2"/>
  <c r="H84" i="2"/>
  <c r="B117" i="1"/>
  <c r="D157" i="28"/>
  <c r="D178" i="28" s="1"/>
  <c r="F115" i="28"/>
  <c r="D165" i="2"/>
  <c r="D186" i="2" s="1"/>
  <c r="B128" i="1"/>
  <c r="G82" i="2"/>
  <c r="F102" i="2"/>
  <c r="E166" i="2"/>
  <c r="F125" i="2"/>
  <c r="G97" i="28"/>
  <c r="H77" i="28"/>
  <c r="B114" i="1"/>
  <c r="F92" i="28"/>
  <c r="F113" i="28" s="1"/>
  <c r="G72" i="28"/>
  <c r="D157" i="2"/>
  <c r="D154" i="28"/>
  <c r="E154" i="28"/>
  <c r="E175" i="28" s="1"/>
  <c r="D167" i="2"/>
  <c r="D188" i="2" s="1"/>
  <c r="I78" i="28"/>
  <c r="H98" i="28"/>
  <c r="H119" i="28" s="1"/>
  <c r="G80" i="28"/>
  <c r="F100" i="28"/>
  <c r="F121" i="28" s="1"/>
  <c r="F102" i="28"/>
  <c r="G82" i="28"/>
  <c r="D164" i="28"/>
  <c r="D185" i="28" s="1"/>
  <c r="E107" i="28"/>
  <c r="E112" i="28"/>
  <c r="G160" i="28"/>
  <c r="G181" i="28" s="1"/>
  <c r="E166" i="28"/>
  <c r="E187" i="28" s="1"/>
  <c r="G94" i="2"/>
  <c r="H74" i="2"/>
  <c r="E164" i="28"/>
  <c r="E185" i="28" s="1"/>
  <c r="D168" i="2"/>
  <c r="D188" i="28"/>
  <c r="C103" i="1"/>
  <c r="C124" i="1" s="1"/>
  <c r="E123" i="2"/>
  <c r="C105" i="1"/>
  <c r="C126" i="1" s="1"/>
  <c r="F159" i="28"/>
  <c r="F180" i="28" s="1"/>
  <c r="D187" i="2"/>
  <c r="B127" i="1"/>
  <c r="C106" i="1"/>
  <c r="C127" i="1" s="1"/>
  <c r="E126" i="2"/>
  <c r="D154" i="2"/>
  <c r="D175" i="2" s="1"/>
  <c r="G94" i="28"/>
  <c r="G115" i="28" s="1"/>
  <c r="H74" i="28"/>
  <c r="G71" i="28"/>
  <c r="F91" i="28"/>
  <c r="F95" i="28"/>
  <c r="F116" i="28" s="1"/>
  <c r="G75" i="28"/>
  <c r="G84" i="28"/>
  <c r="F104" i="28"/>
  <c r="F125" i="28" s="1"/>
  <c r="F115" i="2"/>
  <c r="D95" i="1"/>
  <c r="B157" i="1"/>
  <c r="F92" i="2"/>
  <c r="G72" i="2"/>
  <c r="D164" i="2"/>
  <c r="D185" i="2" s="1"/>
  <c r="F105" i="2"/>
  <c r="G85" i="2"/>
  <c r="D166" i="28"/>
  <c r="E157" i="28"/>
  <c r="E178" i="28" s="1"/>
  <c r="E168" i="28"/>
  <c r="E189" i="28" s="1"/>
  <c r="D162" i="28"/>
  <c r="D183" i="28" s="1"/>
  <c r="B108" i="1"/>
  <c r="B113" i="1"/>
  <c r="C93" i="1"/>
  <c r="C114" i="1" s="1"/>
  <c r="E113" i="2"/>
  <c r="F98" i="2"/>
  <c r="G78" i="2"/>
  <c r="G97" i="2"/>
  <c r="H77" i="2"/>
  <c r="D162" i="2"/>
  <c r="D183" i="2" s="1"/>
  <c r="F100" i="2"/>
  <c r="G80" i="2"/>
  <c r="E159" i="2"/>
  <c r="C160" i="1" s="1"/>
  <c r="C181" i="1" s="1"/>
  <c r="D168" i="28"/>
  <c r="F160" i="28"/>
  <c r="E165" i="28"/>
  <c r="E186" i="28" s="1"/>
  <c r="E162" i="28"/>
  <c r="E183" i="28" s="1"/>
  <c r="F95" i="2"/>
  <c r="G75" i="2"/>
  <c r="C96" i="1"/>
  <c r="C117" i="1" s="1"/>
  <c r="E116" i="2"/>
  <c r="F106" i="2"/>
  <c r="G86" i="2"/>
  <c r="D165" i="28"/>
  <c r="F106" i="28"/>
  <c r="G86" i="28"/>
  <c r="D160" i="2"/>
  <c r="E156" i="2"/>
  <c r="C157" i="1" s="1"/>
  <c r="C178" i="1" s="1"/>
  <c r="E119" i="2"/>
  <c r="C99" i="1"/>
  <c r="C120" i="1" s="1"/>
  <c r="B124" i="1"/>
  <c r="D98" i="1"/>
  <c r="D119" i="1" s="1"/>
  <c r="F118" i="2"/>
  <c r="B122" i="1"/>
  <c r="C101" i="1"/>
  <c r="C122" i="1" s="1"/>
  <c r="E121" i="2"/>
  <c r="C92" i="1"/>
  <c r="E107" i="2"/>
  <c r="E112" i="2"/>
  <c r="H85" i="28"/>
  <c r="G105" i="28"/>
  <c r="G126" i="28" s="1"/>
  <c r="C104" i="1"/>
  <c r="C125" i="1" s="1"/>
  <c r="E124" i="2"/>
  <c r="B160" i="1"/>
  <c r="B181" i="1" s="1"/>
  <c r="G71" i="2"/>
  <c r="F91" i="2"/>
  <c r="E127" i="2"/>
  <c r="C107" i="1"/>
  <c r="C128" i="1" s="1"/>
  <c r="F167" i="28"/>
  <c r="F188" i="28" s="1"/>
  <c r="D128" i="28"/>
  <c r="D153" i="28"/>
  <c r="D174" i="28" s="1"/>
  <c r="D153" i="2"/>
  <c r="D174" i="2" s="1"/>
  <c r="D128" i="2"/>
  <c r="B120" i="1"/>
  <c r="F103" i="2"/>
  <c r="G83" i="2"/>
  <c r="F103" i="28"/>
  <c r="F124" i="28" s="1"/>
  <c r="G83" i="28"/>
  <c r="D105" i="1" l="1"/>
  <c r="D126" i="1" s="1"/>
  <c r="E177" i="2"/>
  <c r="F159" i="2"/>
  <c r="H97" i="2"/>
  <c r="I77" i="2"/>
  <c r="B158" i="1"/>
  <c r="B179" i="1" s="1"/>
  <c r="C108" i="1"/>
  <c r="C113" i="1"/>
  <c r="G106" i="2"/>
  <c r="H86" i="2"/>
  <c r="E180" i="2"/>
  <c r="G118" i="2"/>
  <c r="E98" i="1"/>
  <c r="G91" i="28"/>
  <c r="H71" i="28"/>
  <c r="G118" i="28"/>
  <c r="B161" i="1"/>
  <c r="B182" i="1" s="1"/>
  <c r="B129" i="1"/>
  <c r="E95" i="1"/>
  <c r="E116" i="1" s="1"/>
  <c r="G115" i="2"/>
  <c r="D107" i="1"/>
  <c r="D128" i="1" s="1"/>
  <c r="F127" i="2"/>
  <c r="D116" i="1"/>
  <c r="H94" i="28"/>
  <c r="H115" i="28" s="1"/>
  <c r="I74" i="28"/>
  <c r="B169" i="1"/>
  <c r="B190" i="1" s="1"/>
  <c r="G102" i="28"/>
  <c r="G123" i="28" s="1"/>
  <c r="H82" i="28"/>
  <c r="D178" i="2"/>
  <c r="H97" i="28"/>
  <c r="H118" i="28" s="1"/>
  <c r="I77" i="28"/>
  <c r="D181" i="2"/>
  <c r="B154" i="1"/>
  <c r="B175" i="1" s="1"/>
  <c r="D169" i="2"/>
  <c r="E165" i="2"/>
  <c r="C166" i="1" s="1"/>
  <c r="C187" i="1" s="1"/>
  <c r="E162" i="2"/>
  <c r="C163" i="1" s="1"/>
  <c r="C184" i="1" s="1"/>
  <c r="E157" i="2"/>
  <c r="C158" i="1" s="1"/>
  <c r="C179" i="1" s="1"/>
  <c r="G100" i="2"/>
  <c r="H80" i="2"/>
  <c r="G98" i="2"/>
  <c r="H78" i="2"/>
  <c r="B165" i="1"/>
  <c r="B186" i="1" s="1"/>
  <c r="F156" i="2"/>
  <c r="F177" i="2" s="1"/>
  <c r="G156" i="28"/>
  <c r="G177" i="28" s="1"/>
  <c r="F123" i="28"/>
  <c r="G92" i="28"/>
  <c r="H72" i="28"/>
  <c r="F166" i="2"/>
  <c r="F187" i="2"/>
  <c r="H104" i="2"/>
  <c r="I84" i="2"/>
  <c r="G103" i="2"/>
  <c r="H83" i="2"/>
  <c r="F124" i="2"/>
  <c r="D104" i="1"/>
  <c r="D125" i="1" s="1"/>
  <c r="H86" i="28"/>
  <c r="G106" i="28"/>
  <c r="G127" i="28" s="1"/>
  <c r="D101" i="1"/>
  <c r="D122" i="1" s="1"/>
  <c r="F121" i="2"/>
  <c r="F119" i="2"/>
  <c r="D99" i="1"/>
  <c r="F166" i="28"/>
  <c r="D189" i="2"/>
  <c r="F162" i="28"/>
  <c r="F154" i="28"/>
  <c r="F175" i="28" s="1"/>
  <c r="C167" i="1"/>
  <c r="C188" i="1" s="1"/>
  <c r="G125" i="2"/>
  <c r="F112" i="28"/>
  <c r="F107" i="28"/>
  <c r="B168" i="1"/>
  <c r="B189" i="1" s="1"/>
  <c r="F156" i="28"/>
  <c r="F177" i="28" s="1"/>
  <c r="G167" i="28"/>
  <c r="G188" i="28" s="1"/>
  <c r="E160" i="2"/>
  <c r="C161" i="1" s="1"/>
  <c r="C182" i="1" s="1"/>
  <c r="F127" i="28"/>
  <c r="G95" i="2"/>
  <c r="H75" i="2"/>
  <c r="F181" i="28"/>
  <c r="E154" i="2"/>
  <c r="C155" i="1" s="1"/>
  <c r="C176" i="1" s="1"/>
  <c r="D187" i="28"/>
  <c r="G92" i="2"/>
  <c r="H72" i="2"/>
  <c r="G104" i="28"/>
  <c r="E105" i="1" s="1"/>
  <c r="H84" i="28"/>
  <c r="B155" i="1"/>
  <c r="B176" i="1" s="1"/>
  <c r="E153" i="28"/>
  <c r="E169" i="28" s="1"/>
  <c r="E128" i="28"/>
  <c r="H80" i="28"/>
  <c r="G100" i="28"/>
  <c r="E187" i="2"/>
  <c r="F165" i="28"/>
  <c r="F186" i="28" s="1"/>
  <c r="E168" i="2"/>
  <c r="C169" i="1" s="1"/>
  <c r="C190" i="1" s="1"/>
  <c r="H105" i="28"/>
  <c r="H126" i="28" s="1"/>
  <c r="I85" i="28"/>
  <c r="F116" i="2"/>
  <c r="D96" i="1"/>
  <c r="D117" i="1" s="1"/>
  <c r="G105" i="2"/>
  <c r="H85" i="2"/>
  <c r="F113" i="2"/>
  <c r="D93" i="1"/>
  <c r="D114" i="1" s="1"/>
  <c r="H75" i="28"/>
  <c r="G95" i="28"/>
  <c r="H160" i="28"/>
  <c r="H181" i="28" s="1"/>
  <c r="D103" i="1"/>
  <c r="D124" i="1" s="1"/>
  <c r="F123" i="2"/>
  <c r="B166" i="1"/>
  <c r="B167" i="1"/>
  <c r="B188" i="1" s="1"/>
  <c r="H71" i="2"/>
  <c r="G91" i="2"/>
  <c r="G103" i="28"/>
  <c r="G124" i="28" s="1"/>
  <c r="H83" i="28"/>
  <c r="D169" i="28"/>
  <c r="F112" i="2"/>
  <c r="D92" i="1"/>
  <c r="F107" i="2"/>
  <c r="E153" i="2"/>
  <c r="E174" i="2" s="1"/>
  <c r="E128" i="2"/>
  <c r="D186" i="28"/>
  <c r="D189" i="28"/>
  <c r="B163" i="1"/>
  <c r="B184" i="1" s="1"/>
  <c r="D106" i="1"/>
  <c r="D127" i="1" s="1"/>
  <c r="F126" i="2"/>
  <c r="F157" i="28"/>
  <c r="E167" i="2"/>
  <c r="C168" i="1" s="1"/>
  <c r="C189" i="1" s="1"/>
  <c r="E164" i="2"/>
  <c r="C165" i="1" s="1"/>
  <c r="C186" i="1" s="1"/>
  <c r="H94" i="2"/>
  <c r="I74" i="2"/>
  <c r="I98" i="28"/>
  <c r="J78" i="28"/>
  <c r="D175" i="28"/>
  <c r="G102" i="2"/>
  <c r="H82" i="2"/>
  <c r="B178" i="1"/>
  <c r="E175" i="2" l="1"/>
  <c r="E189" i="2"/>
  <c r="D190" i="2"/>
  <c r="E183" i="2"/>
  <c r="E174" i="28"/>
  <c r="E190" i="28" s="1"/>
  <c r="E126" i="1"/>
  <c r="I83" i="28"/>
  <c r="H103" i="28"/>
  <c r="H124" i="28" s="1"/>
  <c r="F168" i="2"/>
  <c r="F189" i="2" s="1"/>
  <c r="E185" i="2"/>
  <c r="F183" i="28"/>
  <c r="F160" i="2"/>
  <c r="F181" i="2"/>
  <c r="H125" i="2"/>
  <c r="F164" i="28"/>
  <c r="F185" i="28" s="1"/>
  <c r="H106" i="2"/>
  <c r="I86" i="2"/>
  <c r="H118" i="2"/>
  <c r="F98" i="1"/>
  <c r="F119" i="1" s="1"/>
  <c r="F128" i="28"/>
  <c r="F153" i="28"/>
  <c r="I86" i="28"/>
  <c r="H106" i="28"/>
  <c r="H127" i="28" s="1"/>
  <c r="E169" i="2"/>
  <c r="C154" i="1"/>
  <c r="C170" i="1" s="1"/>
  <c r="G116" i="28"/>
  <c r="H104" i="28"/>
  <c r="H125" i="28" s="1"/>
  <c r="I84" i="28"/>
  <c r="H95" i="2"/>
  <c r="I75" i="2"/>
  <c r="H98" i="2"/>
  <c r="I78" i="2"/>
  <c r="I97" i="28"/>
  <c r="I118" i="28" s="1"/>
  <c r="J77" i="28"/>
  <c r="I94" i="28"/>
  <c r="J74" i="28"/>
  <c r="G156" i="2"/>
  <c r="E157" i="1" s="1"/>
  <c r="E178" i="1" s="1"/>
  <c r="E107" i="1"/>
  <c r="E128" i="1" s="1"/>
  <c r="G127" i="2"/>
  <c r="F95" i="1"/>
  <c r="F116" i="1" s="1"/>
  <c r="H115" i="2"/>
  <c r="E106" i="1"/>
  <c r="E127" i="1" s="1"/>
  <c r="G126" i="2"/>
  <c r="G112" i="2"/>
  <c r="G107" i="2"/>
  <c r="E92" i="1"/>
  <c r="I75" i="28"/>
  <c r="H95" i="28"/>
  <c r="H116" i="28" s="1"/>
  <c r="G121" i="28"/>
  <c r="G125" i="28"/>
  <c r="G116" i="2"/>
  <c r="E96" i="1"/>
  <c r="E117" i="1" s="1"/>
  <c r="G166" i="2"/>
  <c r="G187" i="2" s="1"/>
  <c r="F162" i="2"/>
  <c r="F183" i="2" s="1"/>
  <c r="E99" i="1"/>
  <c r="E120" i="1" s="1"/>
  <c r="G119" i="2"/>
  <c r="H159" i="28"/>
  <c r="H180" i="28" s="1"/>
  <c r="H156" i="28"/>
  <c r="H177" i="28" s="1"/>
  <c r="I71" i="28"/>
  <c r="H91" i="28"/>
  <c r="D160" i="1"/>
  <c r="I82" i="2"/>
  <c r="H102" i="2"/>
  <c r="F167" i="2"/>
  <c r="D168" i="1" s="1"/>
  <c r="D189" i="1" s="1"/>
  <c r="I97" i="2"/>
  <c r="J77" i="2"/>
  <c r="E103" i="1"/>
  <c r="G123" i="2"/>
  <c r="F164" i="2"/>
  <c r="D165" i="1" s="1"/>
  <c r="D186" i="1" s="1"/>
  <c r="E188" i="2"/>
  <c r="J98" i="28"/>
  <c r="J119" i="28" s="1"/>
  <c r="K78" i="28"/>
  <c r="K98" i="28" s="1"/>
  <c r="K119" i="28" s="1"/>
  <c r="L78" i="28"/>
  <c r="F178" i="28"/>
  <c r="D108" i="1"/>
  <c r="D113" i="1"/>
  <c r="I71" i="2"/>
  <c r="H91" i="2"/>
  <c r="F157" i="2"/>
  <c r="D158" i="1" s="1"/>
  <c r="D179" i="1" s="1"/>
  <c r="B187" i="1"/>
  <c r="B191" i="1" s="1"/>
  <c r="I80" i="28"/>
  <c r="H100" i="28"/>
  <c r="H121" i="28" s="1"/>
  <c r="H92" i="2"/>
  <c r="I72" i="2"/>
  <c r="F165" i="2"/>
  <c r="H100" i="2"/>
  <c r="I80" i="2"/>
  <c r="G112" i="28"/>
  <c r="G107" i="28"/>
  <c r="C129" i="1"/>
  <c r="F180" i="2"/>
  <c r="B170" i="1"/>
  <c r="G113" i="2"/>
  <c r="E93" i="1"/>
  <c r="E114" i="1" s="1"/>
  <c r="F168" i="28"/>
  <c r="F187" i="28"/>
  <c r="H103" i="2"/>
  <c r="I83" i="2"/>
  <c r="D167" i="1"/>
  <c r="D188" i="1" s="1"/>
  <c r="D157" i="1"/>
  <c r="D178" i="1" s="1"/>
  <c r="G121" i="2"/>
  <c r="E101" i="1"/>
  <c r="E186" i="2"/>
  <c r="H102" i="28"/>
  <c r="I82" i="28"/>
  <c r="H167" i="28"/>
  <c r="H188" i="28" s="1"/>
  <c r="D120" i="1"/>
  <c r="I104" i="2"/>
  <c r="J84" i="2"/>
  <c r="G165" i="28"/>
  <c r="G186" i="28" s="1"/>
  <c r="I119" i="28"/>
  <c r="F128" i="2"/>
  <c r="F153" i="2"/>
  <c r="I94" i="2"/>
  <c r="J74" i="2"/>
  <c r="F154" i="2"/>
  <c r="F175" i="2" s="1"/>
  <c r="E181" i="2"/>
  <c r="E104" i="1"/>
  <c r="G124" i="2"/>
  <c r="I72" i="28"/>
  <c r="H92" i="28"/>
  <c r="H113" i="28" s="1"/>
  <c r="E178" i="2"/>
  <c r="G164" i="28"/>
  <c r="G185" i="28" s="1"/>
  <c r="G159" i="28"/>
  <c r="G180" i="28" s="1"/>
  <c r="E119" i="1"/>
  <c r="D190" i="28"/>
  <c r="H105" i="2"/>
  <c r="I85" i="2"/>
  <c r="I105" i="28"/>
  <c r="I126" i="28" s="1"/>
  <c r="J85" i="28"/>
  <c r="G168" i="28"/>
  <c r="G189" i="28" s="1"/>
  <c r="G113" i="28"/>
  <c r="G159" i="2"/>
  <c r="G180" i="2"/>
  <c r="E160" i="1" l="1"/>
  <c r="F178" i="2"/>
  <c r="C175" i="1"/>
  <c r="C191" i="1" s="1"/>
  <c r="F188" i="2"/>
  <c r="F96" i="1"/>
  <c r="F117" i="1" s="1"/>
  <c r="H116" i="2"/>
  <c r="G153" i="28"/>
  <c r="G128" i="28"/>
  <c r="G157" i="2"/>
  <c r="G178" i="2" s="1"/>
  <c r="E113" i="1"/>
  <c r="E108" i="1"/>
  <c r="J97" i="28"/>
  <c r="L77" i="28"/>
  <c r="K77" i="28"/>
  <c r="K97" i="28" s="1"/>
  <c r="K118" i="28" s="1"/>
  <c r="J84" i="28"/>
  <c r="I104" i="28"/>
  <c r="I106" i="28"/>
  <c r="I127" i="28" s="1"/>
  <c r="J86" i="28"/>
  <c r="H124" i="2"/>
  <c r="F104" i="1"/>
  <c r="F125" i="1" s="1"/>
  <c r="H156" i="2"/>
  <c r="D155" i="1"/>
  <c r="D154" i="1"/>
  <c r="D175" i="1" s="1"/>
  <c r="F169" i="2"/>
  <c r="E122" i="1"/>
  <c r="E190" i="2"/>
  <c r="J160" i="28"/>
  <c r="J181" i="28" s="1"/>
  <c r="G164" i="2"/>
  <c r="G185" i="2" s="1"/>
  <c r="F103" i="1"/>
  <c r="F124" i="1" s="1"/>
  <c r="H123" i="2"/>
  <c r="D163" i="1"/>
  <c r="G168" i="2"/>
  <c r="G189" i="2" s="1"/>
  <c r="I159" i="28"/>
  <c r="I180" i="28" s="1"/>
  <c r="H166" i="28"/>
  <c r="H187" i="28" s="1"/>
  <c r="H159" i="2"/>
  <c r="F160" i="1" s="1"/>
  <c r="F181" i="1" s="1"/>
  <c r="E181" i="1"/>
  <c r="F92" i="1"/>
  <c r="H112" i="2"/>
  <c r="H107" i="2"/>
  <c r="E124" i="1"/>
  <c r="I102" i="2"/>
  <c r="J82" i="2"/>
  <c r="G166" i="28"/>
  <c r="G187" i="28" s="1"/>
  <c r="G153" i="2"/>
  <c r="G174" i="2" s="1"/>
  <c r="G128" i="2"/>
  <c r="I98" i="2"/>
  <c r="J78" i="2"/>
  <c r="F169" i="28"/>
  <c r="I106" i="2"/>
  <c r="J86" i="2"/>
  <c r="H166" i="2"/>
  <c r="H168" i="28"/>
  <c r="H189" i="28" s="1"/>
  <c r="K160" i="28"/>
  <c r="K85" i="28"/>
  <c r="K105" i="28" s="1"/>
  <c r="J105" i="28"/>
  <c r="J126" i="28" s="1"/>
  <c r="L85" i="28"/>
  <c r="H154" i="28"/>
  <c r="H175" i="28" s="1"/>
  <c r="J104" i="2"/>
  <c r="K84" i="2"/>
  <c r="K104" i="2" s="1"/>
  <c r="L84" i="2"/>
  <c r="G162" i="2"/>
  <c r="G183" i="2" s="1"/>
  <c r="I92" i="2"/>
  <c r="J72" i="2"/>
  <c r="I167" i="28"/>
  <c r="I188" i="28" s="1"/>
  <c r="I92" i="28"/>
  <c r="I113" i="28" s="1"/>
  <c r="J72" i="28"/>
  <c r="J94" i="2"/>
  <c r="K74" i="2"/>
  <c r="K94" i="2" s="1"/>
  <c r="L74" i="2"/>
  <c r="F174" i="2"/>
  <c r="I125" i="2"/>
  <c r="G105" i="1"/>
  <c r="G126" i="1" s="1"/>
  <c r="I100" i="2"/>
  <c r="J80" i="2"/>
  <c r="F93" i="1"/>
  <c r="H113" i="2"/>
  <c r="I91" i="2"/>
  <c r="J71" i="2"/>
  <c r="J97" i="2"/>
  <c r="K77" i="2"/>
  <c r="K97" i="2" s="1"/>
  <c r="L77" i="2"/>
  <c r="G177" i="2"/>
  <c r="H119" i="2"/>
  <c r="F99" i="1"/>
  <c r="F120" i="1" s="1"/>
  <c r="G157" i="28"/>
  <c r="G178" i="28" s="1"/>
  <c r="F107" i="1"/>
  <c r="H127" i="2"/>
  <c r="F105" i="1"/>
  <c r="G165" i="2"/>
  <c r="E166" i="1" s="1"/>
  <c r="H162" i="28"/>
  <c r="H183" i="28" s="1"/>
  <c r="D129" i="1"/>
  <c r="I118" i="2"/>
  <c r="G98" i="1"/>
  <c r="E167" i="1"/>
  <c r="G162" i="28"/>
  <c r="F174" i="28"/>
  <c r="D169" i="1"/>
  <c r="G154" i="2"/>
  <c r="J71" i="28"/>
  <c r="I91" i="28"/>
  <c r="G95" i="1"/>
  <c r="I115" i="2"/>
  <c r="E125" i="1"/>
  <c r="L98" i="28"/>
  <c r="F189" i="28"/>
  <c r="D166" i="1"/>
  <c r="I100" i="28"/>
  <c r="I121" i="28" s="1"/>
  <c r="J80" i="28"/>
  <c r="D181" i="1"/>
  <c r="G167" i="2"/>
  <c r="G188" i="2" s="1"/>
  <c r="J94" i="28"/>
  <c r="J115" i="28" s="1"/>
  <c r="K74" i="28"/>
  <c r="K94" i="28" s="1"/>
  <c r="K115" i="28" s="1"/>
  <c r="L74" i="28"/>
  <c r="H165" i="28"/>
  <c r="H186" i="28" s="1"/>
  <c r="H123" i="28"/>
  <c r="I95" i="28"/>
  <c r="J75" i="28"/>
  <c r="I105" i="2"/>
  <c r="J85" i="2"/>
  <c r="F101" i="1"/>
  <c r="F122" i="1" s="1"/>
  <c r="H121" i="2"/>
  <c r="F106" i="1"/>
  <c r="F127" i="1" s="1"/>
  <c r="H126" i="2"/>
  <c r="G154" i="28"/>
  <c r="G175" i="28" s="1"/>
  <c r="I160" i="28"/>
  <c r="I181" i="28" s="1"/>
  <c r="L119" i="28"/>
  <c r="J82" i="28"/>
  <c r="I102" i="28"/>
  <c r="I123" i="28" s="1"/>
  <c r="I103" i="2"/>
  <c r="J83" i="2"/>
  <c r="F186" i="2"/>
  <c r="F185" i="2"/>
  <c r="H107" i="28"/>
  <c r="H112" i="28"/>
  <c r="G160" i="2"/>
  <c r="E161" i="1" s="1"/>
  <c r="E182" i="1" s="1"/>
  <c r="H157" i="28"/>
  <c r="H178" i="28" s="1"/>
  <c r="I115" i="28"/>
  <c r="I95" i="2"/>
  <c r="J75" i="2"/>
  <c r="D161" i="1"/>
  <c r="D182" i="1" s="1"/>
  <c r="J83" i="28"/>
  <c r="I103" i="28"/>
  <c r="F167" i="1" l="1"/>
  <c r="G169" i="28"/>
  <c r="E155" i="1"/>
  <c r="E176" i="1" s="1"/>
  <c r="L104" i="2"/>
  <c r="E169" i="1"/>
  <c r="E190" i="1" s="1"/>
  <c r="D176" i="1"/>
  <c r="K86" i="28"/>
  <c r="K106" i="28" s="1"/>
  <c r="K127" i="28" s="1"/>
  <c r="L86" i="28"/>
  <c r="J106" i="28"/>
  <c r="G174" i="28"/>
  <c r="H167" i="2"/>
  <c r="F168" i="1" s="1"/>
  <c r="F189" i="1" s="1"/>
  <c r="D187" i="1"/>
  <c r="G175" i="2"/>
  <c r="F114" i="1"/>
  <c r="I113" i="2"/>
  <c r="G93" i="1"/>
  <c r="G114" i="1" s="1"/>
  <c r="J106" i="2"/>
  <c r="L106" i="2" s="1"/>
  <c r="K86" i="2"/>
  <c r="K106" i="2" s="1"/>
  <c r="L86" i="2"/>
  <c r="G96" i="1"/>
  <c r="G117" i="1" s="1"/>
  <c r="I116" i="2"/>
  <c r="G181" i="2"/>
  <c r="E168" i="1"/>
  <c r="I156" i="2"/>
  <c r="K80" i="2"/>
  <c r="K100" i="2" s="1"/>
  <c r="J100" i="2"/>
  <c r="L80" i="2"/>
  <c r="I95" i="1"/>
  <c r="I116" i="1" s="1"/>
  <c r="K115" i="2"/>
  <c r="L94" i="2"/>
  <c r="G107" i="1"/>
  <c r="G128" i="1" s="1"/>
  <c r="I127" i="2"/>
  <c r="E154" i="1"/>
  <c r="G169" i="2"/>
  <c r="H180" i="2"/>
  <c r="I168" i="28"/>
  <c r="K75" i="28"/>
  <c r="K95" i="28" s="1"/>
  <c r="K116" i="28" s="1"/>
  <c r="J95" i="28"/>
  <c r="J116" i="28" s="1"/>
  <c r="L75" i="28"/>
  <c r="J92" i="2"/>
  <c r="K72" i="2"/>
  <c r="K92" i="2" s="1"/>
  <c r="L72" i="2"/>
  <c r="G116" i="1"/>
  <c r="D190" i="1"/>
  <c r="G119" i="1"/>
  <c r="I98" i="1"/>
  <c r="I119" i="1" s="1"/>
  <c r="K118" i="2"/>
  <c r="I121" i="2"/>
  <c r="G101" i="1"/>
  <c r="G122" i="1" s="1"/>
  <c r="H95" i="1"/>
  <c r="H116" i="1" s="1"/>
  <c r="J115" i="2"/>
  <c r="D184" i="1"/>
  <c r="F157" i="1"/>
  <c r="I125" i="28"/>
  <c r="E129" i="1"/>
  <c r="H157" i="2"/>
  <c r="H178" i="2" s="1"/>
  <c r="J103" i="2"/>
  <c r="K83" i="2"/>
  <c r="K103" i="2" s="1"/>
  <c r="L83" i="2"/>
  <c r="H162" i="2"/>
  <c r="F163" i="1" s="1"/>
  <c r="F184" i="1" s="1"/>
  <c r="H164" i="28"/>
  <c r="H185" i="28" s="1"/>
  <c r="I156" i="28"/>
  <c r="I177" i="28" s="1"/>
  <c r="L115" i="28"/>
  <c r="H153" i="28"/>
  <c r="H174" i="28" s="1"/>
  <c r="H128" i="28"/>
  <c r="G104" i="1"/>
  <c r="I124" i="2"/>
  <c r="F190" i="28"/>
  <c r="I159" i="2"/>
  <c r="I180" i="2" s="1"/>
  <c r="H98" i="1"/>
  <c r="H119" i="1" s="1"/>
  <c r="J118" i="2"/>
  <c r="L97" i="2"/>
  <c r="L72" i="28"/>
  <c r="K72" i="28"/>
  <c r="K92" i="28" s="1"/>
  <c r="K113" i="28" s="1"/>
  <c r="J92" i="28"/>
  <c r="E163" i="1"/>
  <c r="E184" i="1" s="1"/>
  <c r="J167" i="28"/>
  <c r="J188" i="28" s="1"/>
  <c r="H153" i="2"/>
  <c r="H174" i="2" s="1"/>
  <c r="H128" i="2"/>
  <c r="H164" i="2"/>
  <c r="H177" i="2"/>
  <c r="L84" i="28"/>
  <c r="K84" i="28"/>
  <c r="K104" i="28" s="1"/>
  <c r="K125" i="28" s="1"/>
  <c r="J104" i="28"/>
  <c r="J125" i="28" s="1"/>
  <c r="H168" i="2"/>
  <c r="F169" i="1" s="1"/>
  <c r="F190" i="2"/>
  <c r="I116" i="28"/>
  <c r="L95" i="28"/>
  <c r="I154" i="28"/>
  <c r="I175" i="28" s="1"/>
  <c r="K126" i="28"/>
  <c r="L105" i="28"/>
  <c r="J98" i="2"/>
  <c r="K78" i="2"/>
  <c r="K98" i="2" s="1"/>
  <c r="L78" i="2"/>
  <c r="F108" i="1"/>
  <c r="F113" i="1"/>
  <c r="K159" i="28"/>
  <c r="K180" i="28" s="1"/>
  <c r="E158" i="1"/>
  <c r="F128" i="1"/>
  <c r="I124" i="28"/>
  <c r="I164" i="28"/>
  <c r="I185" i="28" s="1"/>
  <c r="J103" i="28"/>
  <c r="J124" i="28" s="1"/>
  <c r="L83" i="28"/>
  <c r="K83" i="28"/>
  <c r="K103" i="28" s="1"/>
  <c r="K124" i="28" s="1"/>
  <c r="K82" i="28"/>
  <c r="K102" i="28" s="1"/>
  <c r="K123" i="28" s="1"/>
  <c r="L82" i="28"/>
  <c r="J102" i="28"/>
  <c r="J123" i="28" s="1"/>
  <c r="K85" i="2"/>
  <c r="K105" i="2" s="1"/>
  <c r="J105" i="2"/>
  <c r="L85" i="2"/>
  <c r="J91" i="28"/>
  <c r="K71" i="28"/>
  <c r="K91" i="28" s="1"/>
  <c r="L71" i="28"/>
  <c r="F126" i="1"/>
  <c r="K71" i="2"/>
  <c r="K91" i="2" s="1"/>
  <c r="J91" i="2"/>
  <c r="L71" i="2"/>
  <c r="L160" i="28"/>
  <c r="G99" i="1"/>
  <c r="I119" i="2"/>
  <c r="K156" i="28"/>
  <c r="H154" i="2"/>
  <c r="F155" i="1" s="1"/>
  <c r="J125" i="2"/>
  <c r="G103" i="1"/>
  <c r="I123" i="2"/>
  <c r="J95" i="2"/>
  <c r="L75" i="2"/>
  <c r="K75" i="2"/>
  <c r="K95" i="2" s="1"/>
  <c r="J156" i="28"/>
  <c r="J177" i="28" s="1"/>
  <c r="L94" i="28"/>
  <c r="I112" i="28"/>
  <c r="I107" i="28"/>
  <c r="E188" i="1"/>
  <c r="J100" i="28"/>
  <c r="L80" i="28"/>
  <c r="K80" i="28"/>
  <c r="K100" i="28" s="1"/>
  <c r="K121" i="28" s="1"/>
  <c r="G186" i="2"/>
  <c r="G106" i="1"/>
  <c r="G127" i="1" s="1"/>
  <c r="I126" i="2"/>
  <c r="I162" i="28"/>
  <c r="I183" i="28" s="1"/>
  <c r="E187" i="1"/>
  <c r="G183" i="28"/>
  <c r="H160" i="2"/>
  <c r="F161" i="1" s="1"/>
  <c r="F182" i="1" s="1"/>
  <c r="I112" i="2"/>
  <c r="G92" i="1"/>
  <c r="I107" i="2"/>
  <c r="I166" i="2"/>
  <c r="I187" i="2" s="1"/>
  <c r="K125" i="2"/>
  <c r="K181" i="28"/>
  <c r="L181" i="28" s="1"/>
  <c r="H187" i="2"/>
  <c r="J102" i="2"/>
  <c r="K82" i="2"/>
  <c r="K102" i="2" s="1"/>
  <c r="L82" i="2"/>
  <c r="E165" i="1"/>
  <c r="D170" i="1"/>
  <c r="H165" i="2"/>
  <c r="J118" i="28"/>
  <c r="L97" i="28"/>
  <c r="H105" i="1" l="1"/>
  <c r="H126" i="1" s="1"/>
  <c r="I105" i="1"/>
  <c r="I126" i="1" s="1"/>
  <c r="H189" i="2"/>
  <c r="D191" i="1"/>
  <c r="H188" i="2"/>
  <c r="L103" i="2"/>
  <c r="H183" i="2"/>
  <c r="H181" i="2"/>
  <c r="G157" i="1"/>
  <c r="G178" i="1" s="1"/>
  <c r="L103" i="28"/>
  <c r="F165" i="1"/>
  <c r="F186" i="1" s="1"/>
  <c r="L156" i="28"/>
  <c r="J164" i="28"/>
  <c r="J185" i="28" s="1"/>
  <c r="I166" i="28"/>
  <c r="I187" i="28" s="1"/>
  <c r="L125" i="28"/>
  <c r="L102" i="28"/>
  <c r="H96" i="1"/>
  <c r="H117" i="1" s="1"/>
  <c r="J116" i="2"/>
  <c r="L95" i="2"/>
  <c r="H175" i="2"/>
  <c r="I165" i="28"/>
  <c r="I186" i="28" s="1"/>
  <c r="L124" i="28"/>
  <c r="H99" i="1"/>
  <c r="H120" i="1" s="1"/>
  <c r="J119" i="2"/>
  <c r="F154" i="1"/>
  <c r="F175" i="1" s="1"/>
  <c r="H169" i="2"/>
  <c r="J159" i="2"/>
  <c r="J124" i="2"/>
  <c r="H104" i="1"/>
  <c r="H125" i="1" s="1"/>
  <c r="J95" i="1"/>
  <c r="J157" i="28"/>
  <c r="J178" i="28" s="1"/>
  <c r="H101" i="1"/>
  <c r="J121" i="2"/>
  <c r="L100" i="2"/>
  <c r="G190" i="28"/>
  <c r="I128" i="28"/>
  <c r="I153" i="28"/>
  <c r="I174" i="28" s="1"/>
  <c r="K177" i="28"/>
  <c r="L177" i="28" s="1"/>
  <c r="K164" i="28"/>
  <c r="K185" i="28" s="1"/>
  <c r="I165" i="2"/>
  <c r="L123" i="28"/>
  <c r="F178" i="1"/>
  <c r="I162" i="2"/>
  <c r="G163" i="1" s="1"/>
  <c r="G184" i="1" s="1"/>
  <c r="J116" i="1"/>
  <c r="K157" i="28"/>
  <c r="K178" i="28" s="1"/>
  <c r="E170" i="1"/>
  <c r="I101" i="1"/>
  <c r="I122" i="1" s="1"/>
  <c r="K121" i="2"/>
  <c r="I157" i="2"/>
  <c r="F176" i="1"/>
  <c r="J127" i="28"/>
  <c r="L106" i="28"/>
  <c r="K119" i="2"/>
  <c r="I99" i="1"/>
  <c r="I120" i="1" s="1"/>
  <c r="L98" i="2"/>
  <c r="G125" i="1"/>
  <c r="K159" i="2"/>
  <c r="I160" i="1" s="1"/>
  <c r="I181" i="1" s="1"/>
  <c r="L118" i="2"/>
  <c r="I168" i="2"/>
  <c r="G169" i="1" s="1"/>
  <c r="I154" i="2"/>
  <c r="G155" i="1" s="1"/>
  <c r="G176" i="1" s="1"/>
  <c r="K165" i="28"/>
  <c r="K186" i="28" s="1"/>
  <c r="G108" i="1"/>
  <c r="G113" i="1"/>
  <c r="J107" i="2"/>
  <c r="H92" i="1"/>
  <c r="J112" i="2"/>
  <c r="F129" i="1"/>
  <c r="F158" i="1"/>
  <c r="F179" i="1" s="1"/>
  <c r="I189" i="28"/>
  <c r="I177" i="2"/>
  <c r="K168" i="28"/>
  <c r="K124" i="2"/>
  <c r="L124" i="2" s="1"/>
  <c r="I104" i="1"/>
  <c r="I125" i="1" s="1"/>
  <c r="J159" i="28"/>
  <c r="L159" i="28" s="1"/>
  <c r="L118" i="28"/>
  <c r="K112" i="28"/>
  <c r="K107" i="28"/>
  <c r="F190" i="1"/>
  <c r="F166" i="1"/>
  <c r="K162" i="28"/>
  <c r="K183" i="28" s="1"/>
  <c r="I164" i="2"/>
  <c r="J107" i="28"/>
  <c r="J112" i="28"/>
  <c r="L91" i="28"/>
  <c r="H186" i="2"/>
  <c r="I153" i="2"/>
  <c r="I128" i="2"/>
  <c r="G124" i="1"/>
  <c r="I92" i="1"/>
  <c r="K107" i="2"/>
  <c r="K112" i="2"/>
  <c r="L91" i="2"/>
  <c r="J165" i="28"/>
  <c r="J186" i="28" s="1"/>
  <c r="E179" i="1"/>
  <c r="H185" i="2"/>
  <c r="J113" i="28"/>
  <c r="L92" i="28"/>
  <c r="G160" i="1"/>
  <c r="G181" i="1" s="1"/>
  <c r="H169" i="28"/>
  <c r="E175" i="1"/>
  <c r="G190" i="2"/>
  <c r="J98" i="1"/>
  <c r="I107" i="1"/>
  <c r="I128" i="1" s="1"/>
  <c r="K127" i="2"/>
  <c r="G120" i="1"/>
  <c r="K167" i="28"/>
  <c r="L167" i="28" s="1"/>
  <c r="L126" i="28"/>
  <c r="H103" i="1"/>
  <c r="H124" i="1" s="1"/>
  <c r="J123" i="2"/>
  <c r="J121" i="28"/>
  <c r="L100" i="28"/>
  <c r="J166" i="2"/>
  <c r="L125" i="2"/>
  <c r="J126" i="2"/>
  <c r="H106" i="1"/>
  <c r="H127" i="1" s="1"/>
  <c r="L105" i="2"/>
  <c r="J166" i="28"/>
  <c r="J187" i="28" s="1"/>
  <c r="K154" i="28"/>
  <c r="K175" i="28" s="1"/>
  <c r="H190" i="28"/>
  <c r="J119" i="1"/>
  <c r="I93" i="1"/>
  <c r="I114" i="1" s="1"/>
  <c r="K113" i="2"/>
  <c r="L92" i="2"/>
  <c r="K156" i="2"/>
  <c r="I157" i="1" s="1"/>
  <c r="I178" i="1" s="1"/>
  <c r="L115" i="2"/>
  <c r="J127" i="2"/>
  <c r="H107" i="1"/>
  <c r="F188" i="1"/>
  <c r="J126" i="1"/>
  <c r="I103" i="1"/>
  <c r="I124" i="1" s="1"/>
  <c r="K123" i="2"/>
  <c r="L102" i="2"/>
  <c r="K166" i="2"/>
  <c r="K187" i="2" s="1"/>
  <c r="I167" i="2"/>
  <c r="I96" i="1"/>
  <c r="K116" i="2"/>
  <c r="I160" i="2"/>
  <c r="G161" i="1" s="1"/>
  <c r="J105" i="1"/>
  <c r="I106" i="1"/>
  <c r="K126" i="2"/>
  <c r="I157" i="28"/>
  <c r="I178" i="28" s="1"/>
  <c r="L116" i="28"/>
  <c r="K166" i="28"/>
  <c r="K187" i="28" s="1"/>
  <c r="L104" i="28"/>
  <c r="J156" i="2"/>
  <c r="H157" i="1" s="1"/>
  <c r="H178" i="1" s="1"/>
  <c r="H93" i="1"/>
  <c r="J113" i="2"/>
  <c r="E186" i="1"/>
  <c r="E189" i="1"/>
  <c r="L159" i="2" l="1"/>
  <c r="G167" i="1"/>
  <c r="G166" i="1"/>
  <c r="L112" i="2"/>
  <c r="I181" i="2"/>
  <c r="L126" i="2"/>
  <c r="J157" i="1"/>
  <c r="L156" i="2"/>
  <c r="I175" i="2"/>
  <c r="H190" i="2"/>
  <c r="L185" i="28"/>
  <c r="J104" i="1"/>
  <c r="I183" i="2"/>
  <c r="L166" i="28"/>
  <c r="I167" i="1"/>
  <c r="I188" i="1" s="1"/>
  <c r="J168" i="2"/>
  <c r="J189" i="2" s="1"/>
  <c r="J164" i="2"/>
  <c r="H165" i="1" s="1"/>
  <c r="H186" i="1" s="1"/>
  <c r="L123" i="2"/>
  <c r="L107" i="2"/>
  <c r="O107" i="2" s="1"/>
  <c r="I169" i="2"/>
  <c r="G154" i="1"/>
  <c r="G175" i="1" s="1"/>
  <c r="K189" i="28"/>
  <c r="L164" i="28"/>
  <c r="G129" i="1"/>
  <c r="L178" i="28"/>
  <c r="H128" i="1"/>
  <c r="J107" i="1"/>
  <c r="G182" i="1"/>
  <c r="J120" i="1"/>
  <c r="K168" i="2"/>
  <c r="I169" i="1" s="1"/>
  <c r="I190" i="1" s="1"/>
  <c r="L127" i="2"/>
  <c r="K128" i="2"/>
  <c r="K153" i="2"/>
  <c r="K174" i="2" s="1"/>
  <c r="J180" i="28"/>
  <c r="L180" i="28" s="1"/>
  <c r="J168" i="28"/>
  <c r="L168" i="28" s="1"/>
  <c r="L127" i="28"/>
  <c r="L157" i="28"/>
  <c r="I169" i="28"/>
  <c r="J162" i="2"/>
  <c r="J183" i="2" s="1"/>
  <c r="J165" i="2"/>
  <c r="I127" i="1"/>
  <c r="J106" i="1"/>
  <c r="J162" i="28"/>
  <c r="J183" i="28" s="1"/>
  <c r="L183" i="28" s="1"/>
  <c r="L121" i="28"/>
  <c r="J154" i="2"/>
  <c r="J175" i="2" s="1"/>
  <c r="L107" i="28"/>
  <c r="O107" i="28" s="1"/>
  <c r="F187" i="1"/>
  <c r="F191" i="1" s="1"/>
  <c r="L166" i="2"/>
  <c r="L186" i="28"/>
  <c r="I190" i="28"/>
  <c r="H122" i="1"/>
  <c r="J101" i="1"/>
  <c r="H160" i="1"/>
  <c r="H181" i="1" s="1"/>
  <c r="J181" i="1" s="1"/>
  <c r="I113" i="1"/>
  <c r="I108" i="1"/>
  <c r="J92" i="1"/>
  <c r="J153" i="28"/>
  <c r="J128" i="28"/>
  <c r="G188" i="1"/>
  <c r="G190" i="1"/>
  <c r="L165" i="28"/>
  <c r="I189" i="2"/>
  <c r="G187" i="1"/>
  <c r="J125" i="1"/>
  <c r="G158" i="1"/>
  <c r="G179" i="1" s="1"/>
  <c r="I186" i="2"/>
  <c r="J180" i="2"/>
  <c r="K164" i="2"/>
  <c r="I165" i="1" s="1"/>
  <c r="I186" i="1" s="1"/>
  <c r="K157" i="2"/>
  <c r="I158" i="1" s="1"/>
  <c r="L116" i="2"/>
  <c r="H167" i="1"/>
  <c r="H188" i="1" s="1"/>
  <c r="K188" i="28"/>
  <c r="L188" i="28" s="1"/>
  <c r="J103" i="1"/>
  <c r="I178" i="2"/>
  <c r="L187" i="28"/>
  <c r="J167" i="2"/>
  <c r="H168" i="1" s="1"/>
  <c r="H189" i="1" s="1"/>
  <c r="J154" i="28"/>
  <c r="J175" i="28" s="1"/>
  <c r="L175" i="28" s="1"/>
  <c r="L113" i="28"/>
  <c r="I117" i="1"/>
  <c r="J96" i="1"/>
  <c r="K154" i="2"/>
  <c r="I155" i="1" s="1"/>
  <c r="J187" i="2"/>
  <c r="L187" i="2" s="1"/>
  <c r="L113" i="2"/>
  <c r="E191" i="1"/>
  <c r="J124" i="1"/>
  <c r="G165" i="1"/>
  <c r="K165" i="2"/>
  <c r="I166" i="1" s="1"/>
  <c r="I187" i="1" s="1"/>
  <c r="J153" i="2"/>
  <c r="J174" i="2" s="1"/>
  <c r="J128" i="2"/>
  <c r="K162" i="2"/>
  <c r="K183" i="2" s="1"/>
  <c r="L121" i="2"/>
  <c r="F170" i="1"/>
  <c r="J157" i="2"/>
  <c r="J178" i="2" s="1"/>
  <c r="G168" i="1"/>
  <c r="H114" i="1"/>
  <c r="J114" i="1" s="1"/>
  <c r="J93" i="1"/>
  <c r="K177" i="2"/>
  <c r="J177" i="2"/>
  <c r="K167" i="2"/>
  <c r="I168" i="1" s="1"/>
  <c r="I188" i="2"/>
  <c r="J99" i="1"/>
  <c r="I174" i="2"/>
  <c r="I185" i="2"/>
  <c r="K153" i="28"/>
  <c r="K169" i="28" s="1"/>
  <c r="K128" i="28"/>
  <c r="L112" i="28"/>
  <c r="H113" i="1"/>
  <c r="H108" i="1"/>
  <c r="K180" i="2"/>
  <c r="L180" i="2" s="1"/>
  <c r="K160" i="2"/>
  <c r="I161" i="1" s="1"/>
  <c r="I182" i="1" s="1"/>
  <c r="L119" i="2"/>
  <c r="J178" i="1"/>
  <c r="J160" i="2"/>
  <c r="J181" i="2" s="1"/>
  <c r="J113" i="1" l="1"/>
  <c r="L162" i="28"/>
  <c r="K175" i="2"/>
  <c r="K181" i="2"/>
  <c r="L181" i="2" s="1"/>
  <c r="K174" i="28"/>
  <c r="K190" i="28" s="1"/>
  <c r="L128" i="2"/>
  <c r="L183" i="2"/>
  <c r="J165" i="1"/>
  <c r="K185" i="2"/>
  <c r="J188" i="1"/>
  <c r="H163" i="1"/>
  <c r="H184" i="1" s="1"/>
  <c r="H166" i="1"/>
  <c r="L165" i="2"/>
  <c r="K188" i="2"/>
  <c r="J188" i="2"/>
  <c r="J169" i="28"/>
  <c r="L153" i="28"/>
  <c r="J160" i="1"/>
  <c r="G186" i="1"/>
  <c r="J186" i="1" s="1"/>
  <c r="I154" i="1"/>
  <c r="K169" i="2"/>
  <c r="L175" i="2"/>
  <c r="L177" i="2"/>
  <c r="H154" i="1"/>
  <c r="H175" i="1" s="1"/>
  <c r="J169" i="2"/>
  <c r="I179" i="1"/>
  <c r="J117" i="1"/>
  <c r="I129" i="1"/>
  <c r="J185" i="2"/>
  <c r="H155" i="1"/>
  <c r="H176" i="1" s="1"/>
  <c r="L154" i="2"/>
  <c r="I190" i="2"/>
  <c r="L174" i="2"/>
  <c r="H161" i="1"/>
  <c r="H182" i="1" s="1"/>
  <c r="J182" i="1" s="1"/>
  <c r="L160" i="2"/>
  <c r="K186" i="2"/>
  <c r="L154" i="28"/>
  <c r="L153" i="2"/>
  <c r="G189" i="1"/>
  <c r="J168" i="1"/>
  <c r="H158" i="1"/>
  <c r="L157" i="2"/>
  <c r="J167" i="1"/>
  <c r="I189" i="1"/>
  <c r="J127" i="1"/>
  <c r="J128" i="1"/>
  <c r="G170" i="1"/>
  <c r="F16" i="76"/>
  <c r="G16" i="76"/>
  <c r="E16" i="9"/>
  <c r="F16" i="9"/>
  <c r="J108" i="1"/>
  <c r="H129" i="1"/>
  <c r="L128" i="28"/>
  <c r="I176" i="1"/>
  <c r="L167" i="2"/>
  <c r="I163" i="1"/>
  <c r="L162" i="2"/>
  <c r="L164" i="2"/>
  <c r="K178" i="2"/>
  <c r="L178" i="2" s="1"/>
  <c r="J174" i="28"/>
  <c r="J122" i="1"/>
  <c r="F24" i="76"/>
  <c r="F16" i="42"/>
  <c r="G24" i="76"/>
  <c r="E16" i="42"/>
  <c r="J186" i="2"/>
  <c r="J190" i="2" s="1"/>
  <c r="J189" i="28"/>
  <c r="L189" i="28" s="1"/>
  <c r="K189" i="2"/>
  <c r="L189" i="2" s="1"/>
  <c r="H169" i="1"/>
  <c r="J169" i="1" s="1"/>
  <c r="L168" i="2"/>
  <c r="L185" i="2" l="1"/>
  <c r="J129" i="1"/>
  <c r="G191" i="1"/>
  <c r="H190" i="1"/>
  <c r="J190" i="1" s="1"/>
  <c r="J155" i="1"/>
  <c r="L169" i="2"/>
  <c r="O169" i="2" s="1"/>
  <c r="I170" i="1"/>
  <c r="L188" i="2"/>
  <c r="G26" i="76"/>
  <c r="F26" i="76"/>
  <c r="H170" i="1"/>
  <c r="J154" i="1"/>
  <c r="J161" i="1"/>
  <c r="H179" i="1"/>
  <c r="J158" i="1"/>
  <c r="J163" i="1"/>
  <c r="I184" i="1"/>
  <c r="J184" i="1" s="1"/>
  <c r="E18" i="9"/>
  <c r="F18" i="9"/>
  <c r="J176" i="1"/>
  <c r="H187" i="1"/>
  <c r="J187" i="1" s="1"/>
  <c r="J166" i="1"/>
  <c r="F18" i="42"/>
  <c r="E18" i="42"/>
  <c r="J189" i="1"/>
  <c r="G18" i="76"/>
  <c r="F18" i="76"/>
  <c r="L186" i="2"/>
  <c r="I175" i="1"/>
  <c r="K190" i="2"/>
  <c r="J190" i="28"/>
  <c r="L174" i="28"/>
  <c r="L190" i="28" s="1"/>
  <c r="L169" i="28"/>
  <c r="O169" i="28" s="1"/>
  <c r="H191" i="1" l="1"/>
  <c r="L190" i="2"/>
  <c r="F15" i="76"/>
  <c r="G14" i="76" s="1"/>
  <c r="F15" i="9"/>
  <c r="E14" i="9" s="1"/>
  <c r="E15" i="9"/>
  <c r="F14" i="9" s="1"/>
  <c r="F23" i="9" s="1"/>
  <c r="G15" i="76"/>
  <c r="F14" i="76" s="1"/>
  <c r="I191" i="1"/>
  <c r="J175" i="1"/>
  <c r="J170" i="1"/>
  <c r="J179" i="1"/>
  <c r="F15" i="42"/>
  <c r="E14" i="42" s="1"/>
  <c r="E15" i="42"/>
  <c r="F14" i="42" s="1"/>
  <c r="F23" i="42" s="1"/>
  <c r="F23" i="76"/>
  <c r="G22" i="76" s="1"/>
  <c r="G23" i="76"/>
  <c r="F22" i="76" s="1"/>
  <c r="E23" i="42" l="1"/>
  <c r="G32" i="76"/>
  <c r="J191" i="1"/>
  <c r="F31" i="76"/>
  <c r="E23" i="9"/>
  <c r="F32" i="76" s="1"/>
  <c r="G31" i="76"/>
  <c r="G33" i="76" s="1"/>
  <c r="F33" i="7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N6" authorId="0" shapeId="0" xr:uid="{00000000-0006-0000-0300-000001000000}">
      <text>
        <r>
          <rPr>
            <b/>
            <sz val="8"/>
            <color indexed="81"/>
            <rFont val="Tahoma"/>
            <family val="2"/>
          </rPr>
          <t>Note:</t>
        </r>
        <r>
          <rPr>
            <sz val="8"/>
            <color indexed="81"/>
            <rFont val="Tahoma"/>
            <family val="2"/>
          </rPr>
          <t xml:space="preserve">
90+ Days</t>
        </r>
      </text>
    </comment>
  </commentList>
</comments>
</file>

<file path=xl/sharedStrings.xml><?xml version="1.0" encoding="utf-8"?>
<sst xmlns="http://schemas.openxmlformats.org/spreadsheetml/2006/main" count="11710" uniqueCount="485">
  <si>
    <t>Total</t>
  </si>
  <si>
    <t>Worker's Comp.</t>
  </si>
  <si>
    <t>Self Pay</t>
  </si>
  <si>
    <t>PPOM</t>
  </si>
  <si>
    <t>Medicare</t>
  </si>
  <si>
    <t>Medicaid</t>
  </si>
  <si>
    <t>Commercial</t>
  </si>
  <si>
    <t>BCBS</t>
  </si>
  <si>
    <t>Auto</t>
  </si>
  <si>
    <t>361+ Days</t>
  </si>
  <si>
    <t>180-360 Days</t>
  </si>
  <si>
    <t>120-180 Days</t>
  </si>
  <si>
    <t>91-120 Days</t>
  </si>
  <si>
    <t>61-90 Days</t>
  </si>
  <si>
    <t>31-60 Days</t>
  </si>
  <si>
    <t>0-30 Days</t>
  </si>
  <si>
    <t>Payer</t>
  </si>
  <si>
    <t>Agility Health</t>
  </si>
  <si>
    <t>Insurance Reserve %</t>
  </si>
  <si>
    <t>Self Pay Reserve %</t>
  </si>
  <si>
    <t>Bad Debt Reserve</t>
  </si>
  <si>
    <t>Total Reserve</t>
  </si>
  <si>
    <t>Borrowing Base Exclusions</t>
  </si>
  <si>
    <t>Net Medicaid</t>
  </si>
  <si>
    <t>Net Medicare</t>
  </si>
  <si>
    <t xml:space="preserve">Net Available AR </t>
  </si>
  <si>
    <t>90 Day Net Exclusions</t>
  </si>
  <si>
    <t>Total Net Exclusions</t>
  </si>
  <si>
    <t>Total Net Governmental Exclusions</t>
  </si>
  <si>
    <t>United Healthcare</t>
  </si>
  <si>
    <t>Net Accounts Receivable</t>
  </si>
  <si>
    <t>AR Reserve Calculations</t>
  </si>
  <si>
    <t>Net Contractual AR</t>
  </si>
  <si>
    <t>Contractual Allowance Reserve</t>
  </si>
  <si>
    <t>Insurance Reserve</t>
  </si>
  <si>
    <t>Self Pay Reserve</t>
  </si>
  <si>
    <t>% of Total</t>
  </si>
  <si>
    <t>121-180 Days</t>
  </si>
  <si>
    <t>181-360 Days</t>
  </si>
  <si>
    <t>Difference</t>
  </si>
  <si>
    <t>Specialists in Sports and Orthopedic Rehabilitation, LLC</t>
  </si>
  <si>
    <t>1120-720-00</t>
  </si>
  <si>
    <t>Cofinity</t>
  </si>
  <si>
    <t>TriCare</t>
  </si>
  <si>
    <t>7/1/11 - 6/30/11 Service Date Reimbursement %</t>
  </si>
  <si>
    <t>1000-000-00</t>
  </si>
  <si>
    <t>Unposted money</t>
  </si>
  <si>
    <t>Tricare</t>
  </si>
  <si>
    <t>Original summary aging schedule:</t>
  </si>
  <si>
    <t>Attorney/Lien</t>
  </si>
  <si>
    <t>Federal Emp Prog</t>
  </si>
  <si>
    <t>Medicare Advantage</t>
  </si>
  <si>
    <t>Veterans Admin</t>
  </si>
  <si>
    <t xml:space="preserve"> </t>
  </si>
  <si>
    <t>Gross Accounts Receivable</t>
  </si>
  <si>
    <t>Reimbursement Rates</t>
  </si>
  <si>
    <t>Aggregate</t>
  </si>
  <si>
    <t>(INFORMATION ONLY)</t>
  </si>
  <si>
    <t>ACTIVE</t>
  </si>
  <si>
    <t>Bad Debt Rates</t>
  </si>
  <si>
    <t>Bad Debt Allowance</t>
  </si>
  <si>
    <t>GL Balance</t>
  </si>
  <si>
    <t>Difference (change in allowance)</t>
  </si>
  <si>
    <t>(Positive = Credit Allowance, Negative = Debit Allowance)</t>
  </si>
  <si>
    <t>Net Accounts Receivable (Pre-Bad Debt Allowance)</t>
  </si>
  <si>
    <t>Company</t>
  </si>
  <si>
    <t>Effective Month</t>
  </si>
  <si>
    <t>Reversing Entry?</t>
  </si>
  <si>
    <t>JOURNAL ENTRY FORM</t>
  </si>
  <si>
    <t>JE#</t>
  </si>
  <si>
    <t>DATE</t>
  </si>
  <si>
    <t>ACCT</t>
  </si>
  <si>
    <t>DESCRIPTION</t>
  </si>
  <si>
    <t>DEBIT</t>
  </si>
  <si>
    <t>CREDIT</t>
  </si>
  <si>
    <t>AR</t>
  </si>
  <si>
    <t>Bad Debt</t>
  </si>
  <si>
    <t>Contractual Reserve</t>
  </si>
  <si>
    <t>Contractual Allowances</t>
  </si>
  <si>
    <t>Bad Debt Write-Offs</t>
  </si>
  <si>
    <t>TOTAL</t>
  </si>
  <si>
    <t>COMMENTS:</t>
  </si>
  <si>
    <t>Preparer Initials:</t>
  </si>
  <si>
    <t>Reviewer Initials:</t>
  </si>
  <si>
    <t>Medical Records</t>
  </si>
  <si>
    <t>Priority Health</t>
  </si>
  <si>
    <t>Tricare/Champus</t>
  </si>
  <si>
    <t>Null</t>
  </si>
  <si>
    <t>Unknown Insurance</t>
  </si>
  <si>
    <t>Liability</t>
  </si>
  <si>
    <t>Error</t>
  </si>
  <si>
    <t>Used Aggregate Percentage</t>
  </si>
  <si>
    <t>Change in Active Rates from Prior Rates Used</t>
  </si>
  <si>
    <t>Gross Accounts Receivable Agings</t>
  </si>
  <si>
    <t>121-150 Days</t>
  </si>
  <si>
    <t>151-180 Days</t>
  </si>
  <si>
    <t>Clinic Location:</t>
  </si>
  <si>
    <t>Date:</t>
  </si>
  <si>
    <t>Change in Active from Prior</t>
  </si>
  <si>
    <t>Clinic (Location)</t>
  </si>
  <si>
    <t>Procedure</t>
  </si>
  <si>
    <t>Insurance Adjustment</t>
  </si>
  <si>
    <t>Insurance Payment</t>
  </si>
  <si>
    <t>Patient Deposit</t>
  </si>
  <si>
    <t>Patient Payment</t>
  </si>
  <si>
    <t>Patient Adjustment</t>
  </si>
  <si>
    <t>Transfer In</t>
  </si>
  <si>
    <t>Transfer Out</t>
  </si>
  <si>
    <t>Insurance Refund</t>
  </si>
  <si>
    <t>Patient Refund</t>
  </si>
  <si>
    <t>Department</t>
  </si>
  <si>
    <t>Cash</t>
  </si>
  <si>
    <t>Accounts Receivable</t>
  </si>
  <si>
    <t>AR Aging</t>
  </si>
  <si>
    <t>Prior Balance</t>
  </si>
  <si>
    <t>Rolled</t>
  </si>
  <si>
    <t>Balance per</t>
  </si>
  <si>
    <t>Payor</t>
  </si>
  <si>
    <t>Clinic 3</t>
  </si>
  <si>
    <t>Clinic 4</t>
  </si>
  <si>
    <t>Clinic 5</t>
  </si>
  <si>
    <t>Clinic 6</t>
  </si>
  <si>
    <t>Clinic 7</t>
  </si>
  <si>
    <t>Clinic 8</t>
  </si>
  <si>
    <t>Clinic 9</t>
  </si>
  <si>
    <t>Clinic 10</t>
  </si>
  <si>
    <t>Clinic 11</t>
  </si>
  <si>
    <t>Clinic 12</t>
  </si>
  <si>
    <t>Clinic 13</t>
  </si>
  <si>
    <t>Clinic 14</t>
  </si>
  <si>
    <t>Clinic 15</t>
  </si>
  <si>
    <t>Instructions / Procedures / Approach</t>
  </si>
  <si>
    <t>Note: Any Reimbursement Rates that change more than 5.00% in either direction will be highlighted (either green for a positive change or red for a negative change).</t>
  </si>
  <si>
    <t>1. All Reimbursement Rate work is to be completed and updated via utilization of this tab.</t>
  </si>
  <si>
    <t>2. This tab feeds the individual clinic allowance and estimate models tabs.</t>
  </si>
  <si>
    <t>Understanding this tab</t>
  </si>
  <si>
    <t>Obtaining Reimbursement Rates</t>
  </si>
  <si>
    <t>3. This tab allows for up to 15 individual clinics to be included.  Any unused clinics columns should be hidden.</t>
  </si>
  <si>
    <t>4. The clinic identification at the top of each column should be either the individual clinic name or the department ID (from Great Plains).</t>
  </si>
  <si>
    <t>5. Any cells highlighted in gray are considered input cells.</t>
  </si>
  <si>
    <t>6. The purpose of this tab and analysis is to understanding and ensure an appropriate analysis of reimbursement rates and the potential impacts of any changes to reimbursement rates within the allowance models.</t>
  </si>
  <si>
    <t>1. From the AGILE System, the Allowed Amounts Analysis Summary Report should be run on a quarterly basis.</t>
  </si>
  <si>
    <t>2. For each clinic, the Allowed Amounts Analysis Summary Report should be run using the trailing twelve month period (example. At 12/31/2015, the report should cover the period of 1/1/2015 to 12/31/2015; at 3/31/2016, the report should cover the period of 4/1/2015 to 3/31/2016).</t>
  </si>
  <si>
    <t>3. A copy of each clinic's Allowed Amounts Analysis Summary Report should be saved and documented within each company's respective month-end folder.</t>
  </si>
  <si>
    <t>5. For any individual clinic locations that either do not have significant activity or have no activity in a specific payor category, the aggregate reimbursement rate for the company should be used.  If the aggregate reimbursement rate is used, the cell should be appropriately highlighted indicating the aggregate rate was used.</t>
  </si>
  <si>
    <t>1. All Gross Accounts Receivable Aging Information is to be input on this tab.</t>
  </si>
  <si>
    <t>3. This tab allows for up to 15 individual clinics to be included.  Any unused clinics should be hidden.</t>
  </si>
  <si>
    <t>Obtaining Gross Accounts Receivable Aging Information</t>
  </si>
  <si>
    <t>1. The information to be input should be taken directly from the AGILE accounts receivable agings available at the end of each month.  This information and it's set up is intended to allow for copy and pasting of information directly from the system agings into this tab.</t>
  </si>
  <si>
    <t>2. The accounts receivable agings from AGILE should be appropriate saved in the respective company's month-end folder.</t>
  </si>
  <si>
    <t>No</t>
  </si>
  <si>
    <t>Gross Revenue</t>
  </si>
  <si>
    <t>1125-720-00</t>
  </si>
  <si>
    <t>Gross Charges, Adjustmens, Refunds, Cash Receipts by Location</t>
  </si>
  <si>
    <t>1. All Monthly Transaction Summary Information is to be input on this tab.</t>
  </si>
  <si>
    <t>2. This tab feeds the individual clinic monthy revenue and cash entries tabs.</t>
  </si>
  <si>
    <t>4. The clinic identification should be either the individual clinic name or the department ID (from Great Plains).</t>
  </si>
  <si>
    <t>Obtaining Monthly Transaction Summary Information</t>
  </si>
  <si>
    <t>1. The information to be input should be taken directly from the AGILE transaction files available at the end of each month.  This information and it's set up is intended to allow for copy and pasting of information directly from the transaction summaries into this tab.</t>
  </si>
  <si>
    <t>2. The monthly transaction summary information from AGILE should be appropriately saved in the respective company's month-end folder.</t>
  </si>
  <si>
    <t>3. This tab also provides for a high-level roll forward of each clinic and the aggregate of the clinics from one period's accounts receivable aging to the next.  Any significant differences should be investigated.</t>
  </si>
  <si>
    <t>2. This tab does not feed any entry critical tabs.  It is primarily for information purposes.</t>
  </si>
  <si>
    <t>3. This tab breaks down the Monthly Transaction Information by Payor Category rather than via Location.</t>
  </si>
  <si>
    <t>4. Any cells highlighted in gray are considered input cells.</t>
  </si>
  <si>
    <t>3. In order to obtain the Monthly Transaction Summary Information by Payor Category, rather than via by Location, the following steps should be followed:</t>
  </si>
  <si>
    <t>a. Open the AGILE monthly data file.</t>
  </si>
  <si>
    <t>b. Highlight the entire "Fin Data" tab.</t>
  </si>
  <si>
    <t>c. With the entire tab still highlighted, select "Insert" from the header menu and click on "Pivot Table"</t>
  </si>
  <si>
    <t>d. When the "Create Pivot Table" pop up box appears, clinic "OK"; this will create a new tab.</t>
  </si>
  <si>
    <t>e. On the new tab, check the following boxes from the "PivotTable Field List" (located at the right of the screen):</t>
  </si>
  <si>
    <t>i. FinancialTRXCategory</t>
  </si>
  <si>
    <t>ii. TotalTransactionAmount</t>
  </si>
  <si>
    <t>iii. TRXInsGroup</t>
  </si>
  <si>
    <t>f. Once clicked, each of these fields will populate and can also be found in the bottom right, within "Row Labels" field.  Each category needs to be moved to a different field.</t>
  </si>
  <si>
    <t>g. The FinancialTRX Category can be dragged to the Column Labels field.</t>
  </si>
  <si>
    <t>h. The TotalTransactionAmount Category can be dragged to the Values field.  Once moved, left click on the Category, click on Value Field Settings and select "SUM"</t>
  </si>
  <si>
    <t>i. The TRXInsGroup should remain in the Rows Labels field.</t>
  </si>
  <si>
    <t>j. This has now created the necessary Pivot Table and necessary information to populate this tab.</t>
  </si>
  <si>
    <t>3. This tab also provides for a high-level roll forward of each payor from one period's accounts receivable aging to the next.  Any significant differences should be investigated.</t>
  </si>
  <si>
    <t>Bad Debt Identification and Analysis</t>
  </si>
  <si>
    <t>Beyond Filing Limits</t>
  </si>
  <si>
    <t>Collection Agency - Allied</t>
  </si>
  <si>
    <t>Collection Agency - Allied Collections</t>
  </si>
  <si>
    <t>Credentialing</t>
  </si>
  <si>
    <t>Customer Satisfaction</t>
  </si>
  <si>
    <t>No Authorization</t>
  </si>
  <si>
    <t>Point of Service</t>
  </si>
  <si>
    <t>Sequestration - reduction in federal payment</t>
  </si>
  <si>
    <t>Small Balance</t>
  </si>
  <si>
    <t>253 - Sequestration - reduction in federal payment</t>
  </si>
  <si>
    <t>Charity Care</t>
  </si>
  <si>
    <t>Non-Covered Procedure</t>
  </si>
  <si>
    <t>Collection Agency - Americollect</t>
  </si>
  <si>
    <t>None</t>
  </si>
  <si>
    <t>96 - Non-covered charges</t>
  </si>
  <si>
    <t>39 - Services denied</t>
  </si>
  <si>
    <t>29 - The time limit for filing has expired.</t>
  </si>
  <si>
    <t>197 - Precertification/authorization/notification absent.</t>
  </si>
  <si>
    <t>198 - Precertification/authorization exceeded</t>
  </si>
  <si>
    <t>242 - Services not provided by network/primary care providers.</t>
  </si>
  <si>
    <t>243 - Services not authorized by network/primary care providers.</t>
  </si>
  <si>
    <t>Adjustment Type</t>
  </si>
  <si>
    <t>16 - Claim/service lacks information or has submission/billing errors</t>
  </si>
  <si>
    <t>226 - Information requested from the Billing/Rendering Provider was not provided or not provided timey or was insufficient/incomplete.</t>
  </si>
  <si>
    <t>15 - The authorization number is missing, invalid</t>
  </si>
  <si>
    <t>1100-xxx-xx</t>
  </si>
  <si>
    <t>4000-xxx-xx</t>
  </si>
  <si>
    <t>7500-xxx-xx</t>
  </si>
  <si>
    <t>1125-xxx-xx</t>
  </si>
  <si>
    <t>1120-xxx-xx</t>
  </si>
  <si>
    <t>4600-xxx-xx</t>
  </si>
  <si>
    <t>1. All Bad Debt Information is to be input on this tab.</t>
  </si>
  <si>
    <t>Obtaining Bad Debt Information</t>
  </si>
  <si>
    <t>2. The bad debt information from AGILE should be appropriately saved in the respective company's month-end folder.</t>
  </si>
  <si>
    <t>3. In order to obtain the Bad Debt Information by Location, the following steps should be followed:</t>
  </si>
  <si>
    <t>i. TRXLocation</t>
  </si>
  <si>
    <t>iii. AdjustmentType</t>
  </si>
  <si>
    <t>g. The TRXLocation Category can be dragged to the Column Labels field.</t>
  </si>
  <si>
    <t>i. The AdustmentType Category should remain in the Rows Labels field.  Within the "PivotTable Field List" left click on the Adjustment Type Category, Select only the adjustment types that appear in the detail below.</t>
  </si>
  <si>
    <t>3. This tab also provides for a high-level analysis of bad debt types by location.</t>
  </si>
  <si>
    <t>4. Adjustment Type categories should be evaluated and reviewed on at least a quarterly basis to verify whether any categories should be added to bad debt consideration.</t>
  </si>
  <si>
    <t>Patient Credit Balances</t>
  </si>
  <si>
    <t>ACCOUNT</t>
  </si>
  <si>
    <t>December Revenue</t>
  </si>
  <si>
    <t>AR Reserve Calculations - Summary</t>
  </si>
  <si>
    <t>Company Name - Clinic</t>
  </si>
  <si>
    <t>6. When updating aging information for the current period, the prior period's information should copied and pasted into the columns M thru T.  This will allow for a comparison of any changes from prior period to the current period.</t>
  </si>
  <si>
    <t>7. When updating reimbursement rates for the Active Period, the former rates should be copied and pasted into the Prior Rates Used section.  This will allow for a comparison of any changes from Prior Rates Used to Active Rates.</t>
  </si>
  <si>
    <t>4. In order to obtain the aggregate reimbursement rate, run the Allowed Amounts Analysis Report, including all available sites for the company.  This report should also be saved within each company's respective month-end folder</t>
  </si>
  <si>
    <t>Gross Charges, Adjustments, Refunds, Cash Receipts by Payor Category</t>
  </si>
  <si>
    <t>2. This tab feeds the individual clinic monthly revenue entry tab.</t>
  </si>
  <si>
    <t>check figure (should be zero)</t>
  </si>
  <si>
    <t>Amato PT</t>
  </si>
  <si>
    <t>Central West End</t>
  </si>
  <si>
    <t>1120-730-00</t>
  </si>
  <si>
    <t>1125-730-00</t>
  </si>
  <si>
    <t>1120-731-00</t>
  </si>
  <si>
    <t>1125-731-00</t>
  </si>
  <si>
    <t>2227-000-00</t>
  </si>
  <si>
    <t>1100-730-00</t>
  </si>
  <si>
    <t>4000-730-00</t>
  </si>
  <si>
    <t>7500-730-00</t>
  </si>
  <si>
    <t>4600-730-00</t>
  </si>
  <si>
    <t>1100-731-00</t>
  </si>
  <si>
    <t>4000-731-00</t>
  </si>
  <si>
    <t>7500-731-00</t>
  </si>
  <si>
    <t>4600-731-00</t>
  </si>
  <si>
    <t>Insurance Funding Delay</t>
  </si>
  <si>
    <t>blank</t>
  </si>
  <si>
    <t>Accounts Receivable with Credit Balances</t>
  </si>
  <si>
    <t>Credit Balances</t>
  </si>
  <si>
    <t xml:space="preserve">Gross Accounts Receivable </t>
  </si>
  <si>
    <t>AR- Creve Couer</t>
  </si>
  <si>
    <t>AR - Central West End</t>
  </si>
  <si>
    <t>Non-Par Insurance</t>
  </si>
  <si>
    <t>Balance Not Transferred</t>
  </si>
  <si>
    <t>Capitated Rate- CRP</t>
  </si>
  <si>
    <t>CompanyName</t>
  </si>
  <si>
    <t>AgingDate</t>
  </si>
  <si>
    <t>AUTO</t>
  </si>
  <si>
    <t>COMMERCIAL</t>
  </si>
  <si>
    <t>MEDICARE</t>
  </si>
  <si>
    <t>UNITED HEALTHCARE</t>
  </si>
  <si>
    <t>WORKERS COMPENSATION</t>
  </si>
  <si>
    <t>Creve Coeur</t>
  </si>
  <si>
    <t>BLUE CROSS BLUE SHIELD</t>
  </si>
  <si>
    <t>Data enter credit balances</t>
  </si>
  <si>
    <t>Accounts Receivable - CC</t>
  </si>
  <si>
    <t>Accounts Receivable - CWE</t>
  </si>
  <si>
    <t>Book to Excel Company</t>
  </si>
  <si>
    <t>**</t>
  </si>
  <si>
    <t>Credit Bal Adjmt-Amato</t>
  </si>
  <si>
    <t>45 -</t>
  </si>
  <si>
    <t>Used Medicare %</t>
  </si>
  <si>
    <t>Mar Amato Revenue</t>
  </si>
  <si>
    <t>Mar Amato Revenue- Reserve</t>
  </si>
  <si>
    <t>Mar Amato Revenue- Actual</t>
  </si>
  <si>
    <t>Cash - Citizens-Amato</t>
  </si>
  <si>
    <t>AgeTrxType</t>
  </si>
  <si>
    <t>CompanyID</t>
  </si>
  <si>
    <t>caseid</t>
  </si>
  <si>
    <t>appointmentid</t>
  </si>
  <si>
    <t>TransactionID</t>
  </si>
  <si>
    <t>IsTransactionDeleted</t>
  </si>
  <si>
    <t>AgedDays</t>
  </si>
  <si>
    <t>CPT</t>
  </si>
  <si>
    <t>RetailCharge</t>
  </si>
  <si>
    <t>TransactionAmount</t>
  </si>
  <si>
    <t>TransactionUnits</t>
  </si>
  <si>
    <t>InitialPatCharges</t>
  </si>
  <si>
    <t>ChildPatCharges</t>
  </si>
  <si>
    <t>PatVoucherPayments</t>
  </si>
  <si>
    <t>PatTransfers</t>
  </si>
  <si>
    <t>PatAdjustments</t>
  </si>
  <si>
    <t>PatAgeDate</t>
  </si>
  <si>
    <t>InitialPriCharges</t>
  </si>
  <si>
    <t>ChildPriCharges</t>
  </si>
  <si>
    <t>PriPaymentCount</t>
  </si>
  <si>
    <t>PriPayments</t>
  </si>
  <si>
    <t>PriAdjustments</t>
  </si>
  <si>
    <t>InitialSecCharges</t>
  </si>
  <si>
    <t>ChildSecCharges</t>
  </si>
  <si>
    <t>SecPaymentCount</t>
  </si>
  <si>
    <t>SecPayments</t>
  </si>
  <si>
    <t>SecAdjustments</t>
  </si>
  <si>
    <t>InitialTerCharges</t>
  </si>
  <si>
    <t>ChildTerCharges</t>
  </si>
  <si>
    <t>TerPaymentCount</t>
  </si>
  <si>
    <t>TerPayments</t>
  </si>
  <si>
    <t>TerAdjustments</t>
  </si>
  <si>
    <t>InitialUnknownCharges</t>
  </si>
  <si>
    <t>ChildUnknownCharges</t>
  </si>
  <si>
    <t>UnknownPayments</t>
  </si>
  <si>
    <t>UnknownPaymentCount</t>
  </si>
  <si>
    <t>UnknownAdjustments</t>
  </si>
  <si>
    <t>ARBalance</t>
  </si>
  <si>
    <t>CurrentPaymentProcessLookupID</t>
  </si>
  <si>
    <t>InsGroupPrimary</t>
  </si>
  <si>
    <t>InsGroupSecondary</t>
  </si>
  <si>
    <t>InsGroupTertiary</t>
  </si>
  <si>
    <t>InsPlanPrimary</t>
  </si>
  <si>
    <t>InsPlanSecondary</t>
  </si>
  <si>
    <t>InsPlanTertiary</t>
  </si>
  <si>
    <t>ARBalanceInsGroup</t>
  </si>
  <si>
    <t>ARBalanceInsPlan</t>
  </si>
  <si>
    <t>InsProcedureVoids</t>
  </si>
  <si>
    <t>PatProcedureVoids</t>
  </si>
  <si>
    <t>TransactionLocation</t>
  </si>
  <si>
    <t>AppointmentLocation</t>
  </si>
  <si>
    <t>AgeBucket</t>
  </si>
  <si>
    <t>AgeBucketOrder</t>
  </si>
  <si>
    <t>Amato Physical Therapy Associates</t>
  </si>
  <si>
    <t>UNKNOWN</t>
  </si>
  <si>
    <t>TRICARE/CHAMPUS</t>
  </si>
  <si>
    <t>PATIENT PAY</t>
  </si>
  <si>
    <t>Attorney/Liens</t>
  </si>
  <si>
    <t>Blue Cross Blue Shield</t>
  </si>
  <si>
    <t>*Federal*</t>
  </si>
  <si>
    <t>Patient Pay</t>
  </si>
  <si>
    <t>Unknown</t>
  </si>
  <si>
    <t>Workers Compensation</t>
  </si>
  <si>
    <t>Veterans Administration</t>
  </si>
  <si>
    <t>Federal Employee Programs</t>
  </si>
  <si>
    <t>FinYear</t>
  </si>
  <si>
    <t>FinMonth</t>
  </si>
  <si>
    <t>CompanyId</t>
  </si>
  <si>
    <t>CaseLocation</t>
  </si>
  <si>
    <t>CaseId</t>
  </si>
  <si>
    <t>AppointmentId</t>
  </si>
  <si>
    <t>ApptLocation</t>
  </si>
  <si>
    <t>CashDepositID</t>
  </si>
  <si>
    <t>TransactionId</t>
  </si>
  <si>
    <t>TransactionTypeLookupId</t>
  </si>
  <si>
    <t>TransactionStatusLookupId</t>
  </si>
  <si>
    <t>PaymentProcessLookupId</t>
  </si>
  <si>
    <t>ParentTransactionId</t>
  </si>
  <si>
    <t>ParentTransactionDate</t>
  </si>
  <si>
    <t>TransactionTotal</t>
  </si>
  <si>
    <t>TransactionDate</t>
  </si>
  <si>
    <t>HistoryTypeLookupId</t>
  </si>
  <si>
    <t>HistoryType</t>
  </si>
  <si>
    <t>FinancialTrxCategory</t>
  </si>
  <si>
    <t>TrxInsuranceGroup</t>
  </si>
  <si>
    <t>InsuranceGroupPrimary</t>
  </si>
  <si>
    <t>InsuranceGroupSecondary</t>
  </si>
  <si>
    <t>InsuranceGroupTertiary</t>
  </si>
  <si>
    <t>ChargeBatchId</t>
  </si>
  <si>
    <t>Label</t>
  </si>
  <si>
    <t>DateSubmitted</t>
  </si>
  <si>
    <t>PaymentBatchId</t>
  </si>
  <si>
    <t>BatchName</t>
  </si>
  <si>
    <t>BatchClosedDate</t>
  </si>
  <si>
    <t>LinkedPmtBatchID</t>
  </si>
  <si>
    <t>LinkedPmtBatchName</t>
  </si>
  <si>
    <t>CaseLocationID</t>
  </si>
  <si>
    <t>ApptLocationID</t>
  </si>
  <si>
    <t>AdjustmentReasonCode</t>
  </si>
  <si>
    <t>PaymentMethod</t>
  </si>
  <si>
    <t>DepositLocation</t>
  </si>
  <si>
    <t>QueryStartDate</t>
  </si>
  <si>
    <t>QueryEndDate</t>
  </si>
  <si>
    <t>PatientAdjustment</t>
  </si>
  <si>
    <t>InsuranceAdjustment</t>
  </si>
  <si>
    <t>45</t>
  </si>
  <si>
    <t>PatientPayment</t>
  </si>
  <si>
    <t>InsurancePayment</t>
  </si>
  <si>
    <t>15</t>
  </si>
  <si>
    <t>16</t>
  </si>
  <si>
    <t>197</t>
  </si>
  <si>
    <t>198</t>
  </si>
  <si>
    <t>226</t>
  </si>
  <si>
    <t>242</t>
  </si>
  <si>
    <t>243</t>
  </si>
  <si>
    <t>253</t>
  </si>
  <si>
    <t>29</t>
  </si>
  <si>
    <t>39</t>
  </si>
  <si>
    <t>96</t>
  </si>
  <si>
    <t>Collection Agency – Americollect</t>
  </si>
  <si>
    <t>Insurance</t>
  </si>
  <si>
    <t>Bad Debt Y/N</t>
  </si>
  <si>
    <t>CWE</t>
  </si>
  <si>
    <t>Prior Rates</t>
  </si>
  <si>
    <t>MEDICAL RECORDS</t>
  </si>
  <si>
    <t>Aug Amato Cash Receipts</t>
  </si>
  <si>
    <t>Yes</t>
  </si>
  <si>
    <t>JE # 19,299</t>
  </si>
  <si>
    <t>IAJ000001944</t>
  </si>
  <si>
    <t>CMTRX00000926</t>
  </si>
  <si>
    <t>in Excel - 8/31/21</t>
  </si>
  <si>
    <t>97014</t>
  </si>
  <si>
    <t>One Call Physical Therapy WC</t>
  </si>
  <si>
    <t>361+</t>
  </si>
  <si>
    <t>97110</t>
  </si>
  <si>
    <t>MO MEDICARE</t>
  </si>
  <si>
    <t>COVENTRY HEALTH CARE</t>
  </si>
  <si>
    <t>UMR</t>
  </si>
  <si>
    <t>97112</t>
  </si>
  <si>
    <t xml:space="preserve">HEALTHLINK HMO </t>
  </si>
  <si>
    <t xml:space="preserve">AETNA </t>
  </si>
  <si>
    <t>97140</t>
  </si>
  <si>
    <t>USAA Auto</t>
  </si>
  <si>
    <t>97035</t>
  </si>
  <si>
    <t>97001</t>
  </si>
  <si>
    <t>Cigna</t>
  </si>
  <si>
    <t>UHC OPTIONS</t>
  </si>
  <si>
    <t>BCBS  ANTHEM</t>
  </si>
  <si>
    <t>Progressive Insurance Auto</t>
  </si>
  <si>
    <t>Liberty Mutual Auto</t>
  </si>
  <si>
    <t>97010</t>
  </si>
  <si>
    <t>Hussmann Corp WC</t>
  </si>
  <si>
    <t>Jack Cooper Transportation WC</t>
  </si>
  <si>
    <t>MEDRISK WC</t>
  </si>
  <si>
    <t>97116</t>
  </si>
  <si>
    <t>All Savers commercial</t>
  </si>
  <si>
    <t>BCBS ANTHEM</t>
  </si>
  <si>
    <t>97530</t>
  </si>
  <si>
    <t>UHC CHOICE</t>
  </si>
  <si>
    <t>97161</t>
  </si>
  <si>
    <t>MedRec Fee</t>
  </si>
  <si>
    <t>BJC WORKERS COMPENSATION WC</t>
  </si>
  <si>
    <t>97012</t>
  </si>
  <si>
    <t xml:space="preserve">AARP </t>
  </si>
  <si>
    <t>ZZZDNU Coventry One Carelink</t>
  </si>
  <si>
    <t>G8979</t>
  </si>
  <si>
    <t>G0283</t>
  </si>
  <si>
    <t>FEDERAL EMPLOYEE PROGRAMS</t>
  </si>
  <si>
    <t>CIGNA</t>
  </si>
  <si>
    <t>BCBS Federal</t>
  </si>
  <si>
    <t>UHC Choice Plus commercial</t>
  </si>
  <si>
    <t>STATE FARM ILLINOIS Auto</t>
  </si>
  <si>
    <t>Corporate Claims Management Inc CCMI WC</t>
  </si>
  <si>
    <t>Sterling Life Insurance commercial</t>
  </si>
  <si>
    <t xml:space="preserve">Cigna  </t>
  </si>
  <si>
    <t>97163</t>
  </si>
  <si>
    <t>A9300</t>
  </si>
  <si>
    <t>ZZZDNU TRICARE North 2017</t>
  </si>
  <si>
    <t>Interest</t>
  </si>
  <si>
    <t>97535</t>
  </si>
  <si>
    <t xml:space="preserve">GHP </t>
  </si>
  <si>
    <t xml:space="preserve">PLUMBERS AND PIPEFITTERS </t>
  </si>
  <si>
    <t>97002</t>
  </si>
  <si>
    <t>Cigna commercial</t>
  </si>
  <si>
    <t>Aged Deposit Balance</t>
  </si>
  <si>
    <t xml:space="preserve"> 0  to 30</t>
  </si>
  <si>
    <t>A4649</t>
  </si>
  <si>
    <t>CARE MANAGEMENT RESOURCES</t>
  </si>
  <si>
    <t>SHLDR</t>
  </si>
  <si>
    <t>HLIFT</t>
  </si>
  <si>
    <t>GALLAGHER BASSETT SVCS INC WC</t>
  </si>
  <si>
    <t>HEALTHLINK PPO</t>
  </si>
  <si>
    <t>ATTORNEY/LIENS</t>
  </si>
  <si>
    <t>COFINITY</t>
  </si>
  <si>
    <t>LIABILITY</t>
  </si>
  <si>
    <t>*MEDICAID</t>
  </si>
  <si>
    <t>MEDICARE ADVANTAGE</t>
  </si>
  <si>
    <t>PRIORITY HEALTH</t>
  </si>
  <si>
    <t>YES</t>
  </si>
  <si>
    <t>VETERANS ADMINISTRATION</t>
  </si>
  <si>
    <t>Column1</t>
  </si>
  <si>
    <t>Column2</t>
  </si>
  <si>
    <t>Column3</t>
  </si>
  <si>
    <t>August Revenue</t>
  </si>
  <si>
    <t>August Revenue- Reserve</t>
  </si>
  <si>
    <t>10/1/2022-9/30/2023</t>
  </si>
  <si>
    <t>September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</si>
</sst>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0.0%"/>
    <numFmt numFmtId="165" formatCode="_(* #,##0_);_(* \(#,##0\);_(* &quot;-&quot;??_);_(@_)"/>
    <numFmt numFmtId="166" formatCode="[$-409]mmm\-yy;@"/>
  </numFmts>
  <fonts count="24" x14ac:knownFonts="1">
    <font>
      <sz val="11"/>
      <color theme="1"/>
      <name val="Calibri"/>
      <family val="2"/>
      <scheme val="minor"/>
    </font>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b/>
      <sz val="14"/>
      <color theme="1"/>
      <name val="Calibri"/>
      <family val="2"/>
      <scheme val="minor"/>
    </font>
    <font>
      <sz val="12"/>
      <color theme="1"/>
      <name val="Calibri"/>
      <family val="2"/>
      <scheme val="minor"/>
    </font>
    <font>
      <sz val="10"/>
      <name val="Arial"/>
      <family val="2"/>
    </font>
    <font>
      <u val="singleAccounting"/>
      <sz val="11"/>
      <color theme="1"/>
      <name val="Calibri"/>
      <family val="2"/>
      <scheme val="minor"/>
    </font>
    <font>
      <sz val="11"/>
      <color rgb="FFFF0000"/>
      <name val="Calibri"/>
      <family val="2"/>
      <scheme val="minor"/>
    </font>
    <font>
      <b/>
      <sz val="10"/>
      <name val="Arial"/>
      <family val="2"/>
    </font>
    <font>
      <b/>
      <sz val="14"/>
      <name val="Arial"/>
      <family val="2"/>
    </font>
    <font>
      <b/>
      <i/>
      <sz val="10"/>
      <name val="Arial"/>
      <family val="2"/>
    </font>
    <font>
      <b/>
      <i/>
      <sz val="11"/>
      <color theme="1"/>
      <name val="Calibri"/>
      <family val="2"/>
      <scheme val="minor"/>
    </font>
    <font>
      <b/>
      <i/>
      <sz val="11"/>
      <color rgb="FFFF0000"/>
      <name val="Calibri"/>
      <family val="2"/>
      <scheme val="minor"/>
    </font>
    <font>
      <sz val="10"/>
      <color rgb="FFFF0000"/>
      <name val="Arial"/>
      <family val="2"/>
    </font>
    <font>
      <b/>
      <u/>
      <sz val="11"/>
      <color theme="1"/>
      <name val="Calibri"/>
      <family val="2"/>
      <scheme val="minor"/>
    </font>
    <font>
      <sz val="11"/>
      <name val="Calibri"/>
      <family val="2"/>
      <scheme val="minor"/>
    </font>
    <font>
      <i/>
      <sz val="11"/>
      <color rgb="FFFF0000"/>
      <name val="Calibri"/>
      <family val="2"/>
      <scheme val="minor"/>
    </font>
    <font>
      <sz val="10"/>
      <name val="Calibri"/>
      <family val="2"/>
      <scheme val="minor"/>
    </font>
    <font>
      <i/>
      <sz val="11"/>
      <color rgb="FF0070C0"/>
      <name val="Calibri"/>
      <family val="2"/>
      <scheme val="minor"/>
    </font>
    <font>
      <b/>
      <i/>
      <sz val="11"/>
      <color rgb="FF0070C0"/>
      <name val="Calibri"/>
      <family val="2"/>
      <scheme val="minor"/>
    </font>
    <font>
      <i/>
      <sz val="10"/>
      <color rgb="FF0070C0"/>
      <name val="Arial"/>
      <family val="2"/>
    </font>
    <font>
      <sz val="8"/>
      <name val="Calibri"/>
      <family val="2"/>
      <scheme val="minor"/>
    </font>
  </fonts>
  <fills count="15">
    <fill>
      <patternFill patternType="none"/>
    </fill>
    <fill>
      <patternFill patternType="gray125"/>
    </fill>
    <fill>
      <patternFill patternType="solid">
        <fgColor theme="6" tint="0.59999389629810485"/>
        <bgColor indexed="64"/>
      </patternFill>
    </fill>
    <fill>
      <patternFill patternType="solid">
        <fgColor rgb="FFFFFF00"/>
        <bgColor indexed="64"/>
      </patternFill>
    </fill>
    <fill>
      <patternFill patternType="solid">
        <fgColor theme="0" tint="-0.249977111117893"/>
        <bgColor indexed="64"/>
      </patternFill>
    </fill>
    <fill>
      <patternFill patternType="solid">
        <fgColor theme="6"/>
        <bgColor indexed="64"/>
      </patternFill>
    </fill>
    <fill>
      <patternFill patternType="solid">
        <fgColor theme="3" tint="0.59999389629810485"/>
        <bgColor indexed="64"/>
      </patternFill>
    </fill>
    <fill>
      <patternFill patternType="solid">
        <fgColor theme="1"/>
        <bgColor indexed="64"/>
      </patternFill>
    </fill>
    <fill>
      <patternFill patternType="solid">
        <fgColor rgb="FFFFC00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CFF"/>
        <bgColor indexed="64"/>
      </patternFill>
    </fill>
    <fill>
      <patternFill patternType="solid">
        <fgColor theme="5" tint="0.59999389629810485"/>
        <bgColor indexed="64"/>
      </patternFill>
    </fill>
    <fill>
      <patternFill patternType="solid">
        <fgColor rgb="FF8DB4E2"/>
        <bgColor indexed="64"/>
      </patternFill>
    </fill>
  </fills>
  <borders count="11">
    <border>
      <left/>
      <right/>
      <top/>
      <bottom/>
      <diagonal/>
    </border>
    <border>
      <left/>
      <right/>
      <top/>
      <bottom style="thin">
        <color indexed="64"/>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44" fontId="1" fillId="0" borderId="0" applyFont="0" applyFill="0" applyBorder="0" applyAlignment="0" applyProtection="0"/>
  </cellStyleXfs>
  <cellXfs count="181">
    <xf numFmtId="0" fontId="0" fillId="0" borderId="0" xfId="0"/>
    <xf numFmtId="0" fontId="2" fillId="0" borderId="0" xfId="0" applyFont="1"/>
    <xf numFmtId="43" fontId="0" fillId="0" borderId="0" xfId="1" applyFont="1"/>
    <xf numFmtId="43" fontId="0" fillId="0" borderId="1" xfId="1" applyFont="1" applyBorder="1"/>
    <xf numFmtId="0" fontId="2" fillId="0" borderId="0" xfId="0" applyFont="1" applyAlignment="1">
      <alignment horizontal="center"/>
    </xf>
    <xf numFmtId="0" fontId="2" fillId="0" borderId="1" xfId="0" applyFont="1" applyBorder="1" applyAlignment="1">
      <alignment horizontal="center"/>
    </xf>
    <xf numFmtId="9" fontId="7" fillId="0" borderId="0" xfId="2" applyFont="1" applyFill="1"/>
    <xf numFmtId="43" fontId="0" fillId="0" borderId="0" xfId="0" applyNumberFormat="1"/>
    <xf numFmtId="43" fontId="0" fillId="0" borderId="2" xfId="0" applyNumberFormat="1" applyBorder="1"/>
    <xf numFmtId="43" fontId="0" fillId="0" borderId="0" xfId="1" applyFont="1" applyBorder="1"/>
    <xf numFmtId="43" fontId="0" fillId="0" borderId="2" xfId="1" applyFont="1" applyBorder="1"/>
    <xf numFmtId="164" fontId="0" fillId="0" borderId="0" xfId="0" applyNumberFormat="1"/>
    <xf numFmtId="10" fontId="0" fillId="0" borderId="0" xfId="2" applyNumberFormat="1" applyFont="1" applyBorder="1"/>
    <xf numFmtId="10" fontId="0" fillId="0" borderId="0" xfId="0" applyNumberFormat="1"/>
    <xf numFmtId="9" fontId="7" fillId="0" borderId="2" xfId="2" applyFont="1" applyFill="1" applyBorder="1"/>
    <xf numFmtId="0" fontId="0" fillId="0" borderId="1" xfId="0" applyBorder="1"/>
    <xf numFmtId="165" fontId="8" fillId="0" borderId="0" xfId="0" applyNumberFormat="1" applyFont="1"/>
    <xf numFmtId="9" fontId="1" fillId="0" borderId="0" xfId="2" applyFont="1"/>
    <xf numFmtId="9" fontId="1" fillId="0" borderId="0" xfId="2" applyFont="1" applyFill="1"/>
    <xf numFmtId="43" fontId="0" fillId="0" borderId="0" xfId="1" applyFont="1" applyAlignment="1">
      <alignment horizontal="right"/>
    </xf>
    <xf numFmtId="43" fontId="8" fillId="2" borderId="0" xfId="1" applyFont="1" applyFill="1"/>
    <xf numFmtId="43" fontId="0" fillId="2" borderId="1" xfId="1" applyFont="1" applyFill="1" applyBorder="1"/>
    <xf numFmtId="0" fontId="0" fillId="2" borderId="0" xfId="0" applyFill="1"/>
    <xf numFmtId="0" fontId="0" fillId="0" borderId="0" xfId="0" applyAlignment="1">
      <alignment horizontal="right"/>
    </xf>
    <xf numFmtId="44" fontId="0" fillId="0" borderId="0" xfId="0" applyNumberFormat="1"/>
    <xf numFmtId="44" fontId="0" fillId="2" borderId="0" xfId="6" applyFont="1" applyFill="1"/>
    <xf numFmtId="43" fontId="0" fillId="2" borderId="0" xfId="1" applyFont="1" applyFill="1"/>
    <xf numFmtId="43" fontId="2" fillId="0" borderId="0" xfId="1" applyFont="1"/>
    <xf numFmtId="43" fontId="2" fillId="0" borderId="0" xfId="0" applyNumberFormat="1" applyFont="1"/>
    <xf numFmtId="43" fontId="0" fillId="0" borderId="1" xfId="0" applyNumberFormat="1" applyBorder="1"/>
    <xf numFmtId="43" fontId="8" fillId="0" borderId="0" xfId="1" applyFont="1"/>
    <xf numFmtId="0" fontId="9" fillId="0" borderId="0" xfId="0" applyFont="1"/>
    <xf numFmtId="43" fontId="0" fillId="0" borderId="0" xfId="1" applyFont="1" applyFill="1" applyBorder="1"/>
    <xf numFmtId="43" fontId="0" fillId="0" borderId="0" xfId="1" applyFont="1" applyFill="1"/>
    <xf numFmtId="10" fontId="0" fillId="0" borderId="0" xfId="2" applyNumberFormat="1" applyFont="1"/>
    <xf numFmtId="0" fontId="0" fillId="0" borderId="0" xfId="0" applyAlignment="1">
      <alignment horizontal="center"/>
    </xf>
    <xf numFmtId="10" fontId="0" fillId="0" borderId="0" xfId="1" applyNumberFormat="1" applyFont="1" applyBorder="1"/>
    <xf numFmtId="43" fontId="1" fillId="0" borderId="0" xfId="1" applyFont="1" applyFill="1" applyBorder="1" applyAlignment="1">
      <alignment horizontal="center"/>
    </xf>
    <xf numFmtId="43" fontId="1" fillId="0" borderId="1" xfId="1" applyFont="1" applyFill="1" applyBorder="1" applyAlignment="1">
      <alignment horizontal="center"/>
    </xf>
    <xf numFmtId="43" fontId="0" fillId="0" borderId="0" xfId="0" applyNumberFormat="1" applyAlignment="1">
      <alignment horizontal="center"/>
    </xf>
    <xf numFmtId="43" fontId="0" fillId="0" borderId="1" xfId="0" applyNumberFormat="1" applyBorder="1" applyAlignment="1">
      <alignment horizontal="center"/>
    </xf>
    <xf numFmtId="9" fontId="0" fillId="0" borderId="0" xfId="2" applyFont="1" applyFill="1" applyBorder="1" applyAlignment="1">
      <alignment horizontal="center"/>
    </xf>
    <xf numFmtId="0" fontId="0" fillId="0" borderId="1" xfId="0" applyBorder="1" applyAlignment="1">
      <alignment horizontal="center"/>
    </xf>
    <xf numFmtId="0" fontId="0" fillId="0" borderId="6" xfId="0" applyBorder="1" applyAlignment="1">
      <alignment horizontal="center"/>
    </xf>
    <xf numFmtId="0" fontId="10" fillId="0" borderId="0" xfId="0" applyFont="1"/>
    <xf numFmtId="17" fontId="0" fillId="0" borderId="6" xfId="0" applyNumberFormat="1" applyBorder="1" applyAlignment="1">
      <alignment horizontal="center"/>
    </xf>
    <xf numFmtId="0" fontId="11" fillId="0" borderId="0" xfId="0" applyFont="1"/>
    <xf numFmtId="0" fontId="7" fillId="0" borderId="6" xfId="0" applyFont="1" applyBorder="1"/>
    <xf numFmtId="14" fontId="10" fillId="0" borderId="7" xfId="0" applyNumberFormat="1" applyFont="1" applyBorder="1" applyAlignment="1">
      <alignment horizontal="center"/>
    </xf>
    <xf numFmtId="0" fontId="10" fillId="0" borderId="7" xfId="0" applyFont="1" applyBorder="1" applyAlignment="1">
      <alignment horizontal="center"/>
    </xf>
    <xf numFmtId="0" fontId="10" fillId="0" borderId="0" xfId="0" applyFont="1" applyAlignment="1">
      <alignment horizontal="center"/>
    </xf>
    <xf numFmtId="14" fontId="0" fillId="0" borderId="7" xfId="0" applyNumberFormat="1" applyBorder="1" applyAlignment="1">
      <alignment horizontal="center"/>
    </xf>
    <xf numFmtId="0" fontId="0" fillId="0" borderId="7" xfId="0" applyBorder="1" applyAlignment="1">
      <alignment horizontal="center"/>
    </xf>
    <xf numFmtId="0" fontId="0" fillId="0" borderId="7" xfId="0" applyBorder="1"/>
    <xf numFmtId="44" fontId="1" fillId="0" borderId="7" xfId="6" applyBorder="1"/>
    <xf numFmtId="43" fontId="7" fillId="0" borderId="0" xfId="4"/>
    <xf numFmtId="10" fontId="7" fillId="0" borderId="0" xfId="5" applyNumberFormat="1"/>
    <xf numFmtId="0" fontId="12" fillId="0" borderId="7" xfId="0" applyFont="1" applyBorder="1" applyAlignment="1">
      <alignment horizontal="left" indent="12"/>
    </xf>
    <xf numFmtId="44" fontId="10" fillId="0" borderId="7" xfId="6" applyFont="1" applyBorder="1"/>
    <xf numFmtId="0" fontId="0" fillId="0" borderId="1" xfId="0" applyBorder="1" applyAlignment="1">
      <alignment horizontal="left"/>
    </xf>
    <xf numFmtId="0" fontId="0" fillId="0" borderId="8" xfId="0" applyBorder="1" applyAlignment="1">
      <alignment horizontal="center"/>
    </xf>
    <xf numFmtId="0" fontId="0" fillId="0" borderId="8" xfId="0" applyBorder="1"/>
    <xf numFmtId="0" fontId="12" fillId="0" borderId="0" xfId="0" applyFont="1"/>
    <xf numFmtId="0" fontId="7" fillId="0" borderId="1" xfId="0" applyFont="1" applyBorder="1" applyAlignment="1">
      <alignment horizontal="center"/>
    </xf>
    <xf numFmtId="0" fontId="7" fillId="0" borderId="0" xfId="0" applyFont="1"/>
    <xf numFmtId="0" fontId="13" fillId="0" borderId="0" xfId="0" applyFont="1"/>
    <xf numFmtId="43" fontId="0" fillId="0" borderId="2" xfId="0" applyNumberFormat="1" applyBorder="1" applyAlignment="1">
      <alignment horizontal="center"/>
    </xf>
    <xf numFmtId="10" fontId="7" fillId="0" borderId="0" xfId="2" applyNumberFormat="1" applyFont="1" applyFill="1" applyBorder="1"/>
    <xf numFmtId="9" fontId="0" fillId="0" borderId="0" xfId="2" applyFont="1" applyFill="1" applyBorder="1"/>
    <xf numFmtId="43" fontId="0" fillId="0" borderId="10" xfId="1" applyFont="1" applyBorder="1"/>
    <xf numFmtId="0" fontId="13" fillId="0" borderId="0" xfId="0" applyFont="1" applyAlignment="1">
      <alignment horizontal="right"/>
    </xf>
    <xf numFmtId="0" fontId="14" fillId="0" borderId="0" xfId="0" applyFont="1" applyAlignment="1">
      <alignment horizontal="right"/>
    </xf>
    <xf numFmtId="10" fontId="15" fillId="0" borderId="0" xfId="2" applyNumberFormat="1" applyFont="1" applyFill="1" applyBorder="1"/>
    <xf numFmtId="0" fontId="2" fillId="0" borderId="10" xfId="0" applyFont="1" applyBorder="1" applyAlignment="1">
      <alignment horizontal="center"/>
    </xf>
    <xf numFmtId="0" fontId="2" fillId="0" borderId="2" xfId="0" applyFont="1" applyBorder="1" applyAlignment="1">
      <alignment horizontal="center"/>
    </xf>
    <xf numFmtId="0" fontId="0" fillId="0" borderId="2" xfId="0" applyBorder="1"/>
    <xf numFmtId="0" fontId="2" fillId="0" borderId="6" xfId="0" applyFont="1" applyBorder="1" applyAlignment="1">
      <alignment horizontal="center"/>
    </xf>
    <xf numFmtId="10" fontId="0" fillId="7" borderId="0" xfId="2" applyNumberFormat="1" applyFont="1" applyFill="1"/>
    <xf numFmtId="0" fontId="0" fillId="7" borderId="0" xfId="0" applyFill="1"/>
    <xf numFmtId="0" fontId="5" fillId="0" borderId="0" xfId="0" applyFont="1" applyAlignment="1">
      <alignment horizontal="center"/>
    </xf>
    <xf numFmtId="14" fontId="0" fillId="0" borderId="0" xfId="0" applyNumberFormat="1" applyAlignment="1">
      <alignment horizontal="center"/>
    </xf>
    <xf numFmtId="0" fontId="0" fillId="9" borderId="0" xfId="0" applyFill="1"/>
    <xf numFmtId="10" fontId="0" fillId="9" borderId="0" xfId="2" applyNumberFormat="1" applyFont="1" applyFill="1" applyBorder="1"/>
    <xf numFmtId="10" fontId="0" fillId="9" borderId="0" xfId="2" applyNumberFormat="1" applyFont="1" applyFill="1"/>
    <xf numFmtId="0" fontId="2" fillId="0" borderId="0" xfId="0" applyFont="1" applyAlignment="1">
      <alignment horizontal="left" indent="2"/>
    </xf>
    <xf numFmtId="0" fontId="13" fillId="0" borderId="0" xfId="0" applyFont="1" applyAlignment="1">
      <alignment horizontal="left" indent="2"/>
    </xf>
    <xf numFmtId="0" fontId="6" fillId="9" borderId="0" xfId="0" applyFont="1" applyFill="1" applyAlignment="1">
      <alignment horizontal="center"/>
    </xf>
    <xf numFmtId="0" fontId="13" fillId="0" borderId="0" xfId="0" applyFont="1" applyAlignment="1">
      <alignment horizontal="left"/>
    </xf>
    <xf numFmtId="44" fontId="1" fillId="9" borderId="7" xfId="6" applyFill="1" applyBorder="1"/>
    <xf numFmtId="43" fontId="0" fillId="9" borderId="0" xfId="1" applyFont="1" applyFill="1"/>
    <xf numFmtId="43" fontId="0" fillId="0" borderId="10" xfId="0" applyNumberFormat="1" applyBorder="1"/>
    <xf numFmtId="0" fontId="2" fillId="0" borderId="0" xfId="0" applyFont="1" applyAlignment="1">
      <alignment horizontal="left" indent="3"/>
    </xf>
    <xf numFmtId="0" fontId="2" fillId="0" borderId="0" xfId="0" applyFont="1" applyAlignment="1">
      <alignment horizontal="left" indent="5"/>
    </xf>
    <xf numFmtId="0" fontId="16" fillId="0" borderId="0" xfId="0" applyFont="1"/>
    <xf numFmtId="0" fontId="0" fillId="0" borderId="0" xfId="0" applyAlignment="1">
      <alignment wrapText="1"/>
    </xf>
    <xf numFmtId="43" fontId="0" fillId="5" borderId="0" xfId="1" applyFont="1" applyFill="1"/>
    <xf numFmtId="0" fontId="18" fillId="0" borderId="0" xfId="0" applyFont="1"/>
    <xf numFmtId="166" fontId="0" fillId="0" borderId="6" xfId="0" applyNumberFormat="1" applyBorder="1" applyAlignment="1">
      <alignment horizontal="center"/>
    </xf>
    <xf numFmtId="43" fontId="1" fillId="0" borderId="2" xfId="1" applyFont="1" applyFill="1" applyBorder="1" applyAlignment="1">
      <alignment horizontal="center"/>
    </xf>
    <xf numFmtId="0" fontId="2" fillId="3" borderId="0" xfId="0" applyFont="1" applyFill="1" applyAlignment="1">
      <alignment horizontal="left" indent="2"/>
    </xf>
    <xf numFmtId="0" fontId="0" fillId="3" borderId="0" xfId="0" applyFill="1" applyAlignment="1">
      <alignment horizontal="center"/>
    </xf>
    <xf numFmtId="0" fontId="0" fillId="3" borderId="0" xfId="0" applyFill="1"/>
    <xf numFmtId="0" fontId="9" fillId="3" borderId="0" xfId="0" applyFont="1" applyFill="1"/>
    <xf numFmtId="10" fontId="0" fillId="6" borderId="9" xfId="2" applyNumberFormat="1" applyFont="1" applyFill="1" applyBorder="1"/>
    <xf numFmtId="165" fontId="19" fillId="0" borderId="6" xfId="1" applyNumberFormat="1" applyFont="1" applyBorder="1"/>
    <xf numFmtId="0" fontId="20" fillId="0" borderId="0" xfId="0" applyFont="1"/>
    <xf numFmtId="43" fontId="20" fillId="0" borderId="0" xfId="0" applyNumberFormat="1" applyFont="1"/>
    <xf numFmtId="0" fontId="20" fillId="0" borderId="0" xfId="0" applyFont="1" applyAlignment="1">
      <alignment horizontal="left"/>
    </xf>
    <xf numFmtId="43" fontId="20" fillId="0" borderId="0" xfId="1" applyFont="1" applyFill="1" applyBorder="1"/>
    <xf numFmtId="9" fontId="20" fillId="0" borderId="0" xfId="2" applyFont="1" applyFill="1" applyBorder="1"/>
    <xf numFmtId="43" fontId="20" fillId="0" borderId="0" xfId="0" applyNumberFormat="1" applyFont="1" applyAlignment="1">
      <alignment horizontal="center"/>
    </xf>
    <xf numFmtId="0" fontId="2" fillId="0" borderId="2" xfId="0" applyFont="1" applyBorder="1"/>
    <xf numFmtId="43" fontId="1" fillId="0" borderId="0" xfId="1" applyFont="1" applyFill="1"/>
    <xf numFmtId="43" fontId="1" fillId="0" borderId="0" xfId="1" applyFont="1"/>
    <xf numFmtId="0" fontId="0" fillId="3" borderId="6" xfId="0" applyFill="1" applyBorder="1" applyAlignment="1">
      <alignment horizontal="center"/>
    </xf>
    <xf numFmtId="43" fontId="20" fillId="0" borderId="0" xfId="1" applyFont="1"/>
    <xf numFmtId="43" fontId="21" fillId="0" borderId="0" xfId="1" applyFont="1" applyFill="1" applyBorder="1" applyAlignment="1">
      <alignment horizontal="center"/>
    </xf>
    <xf numFmtId="43" fontId="22" fillId="0" borderId="0" xfId="1" applyFont="1" applyFill="1" applyBorder="1"/>
    <xf numFmtId="43" fontId="20" fillId="0" borderId="0" xfId="1" applyFont="1" applyFill="1"/>
    <xf numFmtId="43" fontId="9" fillId="0" borderId="0" xfId="1" applyFont="1"/>
    <xf numFmtId="43" fontId="2" fillId="0" borderId="0" xfId="1" applyFont="1" applyFill="1" applyBorder="1" applyAlignment="1">
      <alignment horizontal="center"/>
    </xf>
    <xf numFmtId="43" fontId="7" fillId="0" borderId="0" xfId="1" applyFont="1" applyFill="1" applyBorder="1"/>
    <xf numFmtId="43" fontId="15" fillId="0" borderId="0" xfId="1" applyFont="1" applyFill="1" applyBorder="1"/>
    <xf numFmtId="43" fontId="9" fillId="0" borderId="0" xfId="1" applyFont="1" applyFill="1" applyBorder="1"/>
    <xf numFmtId="43" fontId="9" fillId="0" borderId="0" xfId="1" applyFont="1" applyFill="1"/>
    <xf numFmtId="43" fontId="0" fillId="0" borderId="0" xfId="1" applyFont="1" applyFill="1" applyAlignment="1">
      <alignment horizontal="center"/>
    </xf>
    <xf numFmtId="43" fontId="0" fillId="0" borderId="1" xfId="1" applyFont="1" applyFill="1" applyBorder="1" applyAlignment="1">
      <alignment horizontal="center"/>
    </xf>
    <xf numFmtId="43" fontId="17" fillId="0" borderId="0" xfId="1" applyFont="1" applyFill="1" applyAlignment="1">
      <alignment horizontal="center"/>
    </xf>
    <xf numFmtId="43" fontId="17" fillId="0" borderId="1" xfId="1" applyFont="1" applyFill="1" applyBorder="1" applyAlignment="1">
      <alignment horizontal="center"/>
    </xf>
    <xf numFmtId="43" fontId="17" fillId="5" borderId="0" xfId="1" applyFont="1" applyFill="1"/>
    <xf numFmtId="0" fontId="0" fillId="0" borderId="0" xfId="0" applyAlignment="1">
      <alignment horizontal="left"/>
    </xf>
    <xf numFmtId="0" fontId="7" fillId="0" borderId="0" xfId="0" applyFont="1" applyAlignment="1">
      <alignment horizontal="center"/>
    </xf>
    <xf numFmtId="4" fontId="0" fillId="0" borderId="0" xfId="0" applyNumberFormat="1"/>
    <xf numFmtId="0" fontId="0" fillId="3" borderId="7" xfId="0" applyFill="1" applyBorder="1"/>
    <xf numFmtId="43" fontId="1" fillId="12" borderId="0" xfId="1" applyFont="1" applyFill="1" applyBorder="1"/>
    <xf numFmtId="0" fontId="0" fillId="12" borderId="0" xfId="0" applyFill="1"/>
    <xf numFmtId="43" fontId="0" fillId="12" borderId="0" xfId="1" applyFont="1" applyFill="1"/>
    <xf numFmtId="39" fontId="0" fillId="0" borderId="0" xfId="0" applyNumberFormat="1"/>
    <xf numFmtId="165" fontId="7" fillId="0" borderId="6" xfId="1" applyNumberFormat="1" applyFont="1" applyBorder="1"/>
    <xf numFmtId="0" fontId="0" fillId="13" borderId="0" xfId="0" applyFill="1"/>
    <xf numFmtId="10" fontId="0" fillId="13" borderId="0" xfId="2" applyNumberFormat="1" applyFont="1" applyFill="1" applyBorder="1"/>
    <xf numFmtId="10" fontId="0" fillId="6" borderId="0" xfId="2" applyNumberFormat="1" applyFont="1" applyFill="1" applyBorder="1"/>
    <xf numFmtId="14" fontId="0" fillId="0" borderId="0" xfId="0" applyNumberFormat="1"/>
    <xf numFmtId="0" fontId="0" fillId="0" borderId="0" xfId="0" quotePrefix="1"/>
    <xf numFmtId="43" fontId="0" fillId="0" borderId="0" xfId="1" applyFont="1" applyAlignment="1">
      <alignment horizontal="left"/>
    </xf>
    <xf numFmtId="165" fontId="17" fillId="0" borderId="6" xfId="1" applyNumberFormat="1" applyFont="1" applyBorder="1"/>
    <xf numFmtId="0" fontId="2" fillId="0" borderId="1" xfId="0" applyFont="1" applyBorder="1"/>
    <xf numFmtId="10" fontId="0" fillId="14" borderId="0" xfId="2" applyNumberFormat="1" applyFont="1" applyFill="1" applyBorder="1"/>
    <xf numFmtId="22" fontId="0" fillId="0" borderId="0" xfId="0" applyNumberFormat="1"/>
    <xf numFmtId="43" fontId="17" fillId="0" borderId="0" xfId="1" quotePrefix="1" applyFont="1"/>
    <xf numFmtId="0" fontId="2" fillId="4" borderId="3" xfId="0" applyFont="1" applyFill="1" applyBorder="1" applyAlignment="1">
      <alignment horizontal="center"/>
    </xf>
    <xf numFmtId="0" fontId="2" fillId="4" borderId="4" xfId="0" applyFont="1" applyFill="1" applyBorder="1" applyAlignment="1">
      <alignment horizontal="center"/>
    </xf>
    <xf numFmtId="0" fontId="2" fillId="4" borderId="5" xfId="0" applyFont="1" applyFill="1" applyBorder="1" applyAlignment="1">
      <alignment horizontal="center"/>
    </xf>
    <xf numFmtId="0" fontId="2" fillId="3" borderId="3" xfId="0" applyFont="1" applyFill="1" applyBorder="1" applyAlignment="1">
      <alignment horizontal="center"/>
    </xf>
    <xf numFmtId="0" fontId="2" fillId="3" borderId="4" xfId="0" applyFont="1" applyFill="1" applyBorder="1" applyAlignment="1">
      <alignment horizontal="center"/>
    </xf>
    <xf numFmtId="0" fontId="2" fillId="3" borderId="5" xfId="0" applyFont="1" applyFill="1" applyBorder="1" applyAlignment="1">
      <alignment horizontal="center"/>
    </xf>
    <xf numFmtId="0" fontId="2" fillId="10" borderId="3" xfId="0" applyFont="1" applyFill="1" applyBorder="1" applyAlignment="1">
      <alignment horizontal="center"/>
    </xf>
    <xf numFmtId="0" fontId="2" fillId="10" borderId="4" xfId="0" applyFont="1" applyFill="1" applyBorder="1" applyAlignment="1">
      <alignment horizontal="center"/>
    </xf>
    <xf numFmtId="0" fontId="2" fillId="10" borderId="5" xfId="0" applyFont="1" applyFill="1" applyBorder="1" applyAlignment="1">
      <alignment horizontal="center"/>
    </xf>
    <xf numFmtId="0" fontId="2" fillId="11" borderId="3" xfId="0" applyFont="1" applyFill="1" applyBorder="1" applyAlignment="1">
      <alignment horizontal="center"/>
    </xf>
    <xf numFmtId="0" fontId="2" fillId="11" borderId="4" xfId="0" applyFont="1" applyFill="1" applyBorder="1" applyAlignment="1">
      <alignment horizontal="center"/>
    </xf>
    <xf numFmtId="0" fontId="2" fillId="11" borderId="5" xfId="0" applyFont="1" applyFill="1" applyBorder="1" applyAlignment="1">
      <alignment horizontal="center"/>
    </xf>
    <xf numFmtId="0" fontId="5" fillId="0" borderId="0" xfId="0" applyFont="1" applyAlignment="1">
      <alignment horizontal="center"/>
    </xf>
    <xf numFmtId="0" fontId="6" fillId="9" borderId="0" xfId="0" applyFont="1" applyFill="1" applyAlignment="1">
      <alignment horizontal="center"/>
    </xf>
    <xf numFmtId="0" fontId="0" fillId="0" borderId="0" xfId="0" applyAlignment="1">
      <alignment horizontal="center"/>
    </xf>
    <xf numFmtId="14" fontId="0" fillId="9" borderId="0" xfId="0" applyNumberFormat="1" applyFill="1" applyAlignment="1">
      <alignment horizontal="center"/>
    </xf>
    <xf numFmtId="0" fontId="2" fillId="0" borderId="0" xfId="0" applyFont="1" applyAlignment="1">
      <alignment horizontal="center" wrapText="1"/>
    </xf>
    <xf numFmtId="14" fontId="0" fillId="0" borderId="0" xfId="0" applyNumberFormat="1" applyAlignment="1">
      <alignment horizontal="center"/>
    </xf>
    <xf numFmtId="43" fontId="0" fillId="0" borderId="0" xfId="0" applyNumberFormat="1" applyAlignment="1">
      <alignment horizontal="center" wrapText="1"/>
    </xf>
    <xf numFmtId="43" fontId="0" fillId="0" borderId="1" xfId="0" applyNumberFormat="1" applyBorder="1" applyAlignment="1">
      <alignment horizontal="center" wrapText="1"/>
    </xf>
    <xf numFmtId="0" fontId="6" fillId="0" borderId="0" xfId="0" applyFont="1" applyAlignment="1">
      <alignment horizontal="center"/>
    </xf>
    <xf numFmtId="43" fontId="2" fillId="0" borderId="0" xfId="1" applyFont="1" applyFill="1" applyBorder="1" applyAlignment="1">
      <alignment horizontal="center" wrapText="1"/>
    </xf>
    <xf numFmtId="43" fontId="0" fillId="0" borderId="0" xfId="1" applyFont="1" applyFill="1" applyBorder="1" applyAlignment="1">
      <alignment horizontal="center" wrapText="1"/>
    </xf>
    <xf numFmtId="43" fontId="0" fillId="0" borderId="1" xfId="1" applyFont="1" applyFill="1" applyBorder="1" applyAlignment="1">
      <alignment horizontal="center" wrapText="1"/>
    </xf>
    <xf numFmtId="0" fontId="2" fillId="8" borderId="3" xfId="0" applyFont="1" applyFill="1" applyBorder="1" applyAlignment="1">
      <alignment horizontal="center"/>
    </xf>
    <xf numFmtId="0" fontId="2" fillId="8" borderId="4" xfId="0" applyFont="1" applyFill="1" applyBorder="1" applyAlignment="1">
      <alignment horizontal="center"/>
    </xf>
    <xf numFmtId="0" fontId="2" fillId="8" borderId="5" xfId="0" applyFont="1" applyFill="1" applyBorder="1" applyAlignment="1">
      <alignment horizontal="center"/>
    </xf>
    <xf numFmtId="0" fontId="0" fillId="9" borderId="0" xfId="0" applyFill="1" applyAlignment="1">
      <alignment horizontal="center"/>
    </xf>
    <xf numFmtId="14" fontId="17" fillId="0" borderId="0" xfId="0" applyNumberFormat="1" applyFont="1" applyAlignment="1">
      <alignment horizontal="center"/>
    </xf>
    <xf numFmtId="0" fontId="17" fillId="0" borderId="0" xfId="0" applyFont="1" applyAlignment="1">
      <alignment horizontal="center"/>
    </xf>
    <xf numFmtId="0" fontId="0" fillId="9" borderId="1" xfId="0" applyFill="1" applyBorder="1" applyAlignment="1">
      <alignment horizontal="center"/>
    </xf>
  </cellXfs>
  <cellStyles count="7">
    <cellStyle name="Comma" xfId="1" builtinId="3"/>
    <cellStyle name="Comma 2" xfId="4" xr:uid="{00000000-0005-0000-0000-000001000000}"/>
    <cellStyle name="Currency" xfId="6" builtinId="4"/>
    <cellStyle name="Normal" xfId="0" builtinId="0"/>
    <cellStyle name="Normal 2" xfId="3" xr:uid="{00000000-0005-0000-0000-000004000000}"/>
    <cellStyle name="Percent" xfId="2" builtinId="5"/>
    <cellStyle name="Percent 2" xfId="5" xr:uid="{00000000-0005-0000-0000-000006000000}"/>
  </cellStyles>
  <dxfs count="27">
    <dxf>
      <numFmt numFmtId="27" formatCode="mm/dd/yy\ h:mm"/>
    </dxf>
    <dxf>
      <numFmt numFmtId="27" formatCode="mm/dd/yy\ h:mm"/>
    </dxf>
    <dxf>
      <numFmt numFmtId="27" formatCode="mm/dd/yy\ h:mm"/>
    </dxf>
    <dxf>
      <numFmt numFmtId="27" formatCode="mm/dd/yy\ h:mm"/>
    </dxf>
    <dxf>
      <numFmt numFmtId="27" formatCode="mm/dd/yy\ h:mm"/>
    </dxf>
    <dxf>
      <numFmt numFmtId="27" formatCode="mm/dd/yy\ h:mm"/>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39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124075" cy="857250"/>
        </a:xfrm>
        <a:prstGeom prst="rect">
          <a:avLst/>
        </a:prstGeom>
        <a:noFill/>
        <a:ln w="9525">
          <a:noFill/>
          <a:miter lim="800000"/>
          <a:headEnd/>
          <a:tailEnd/>
        </a:ln>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FD7D870F-1F7B-49BC-A2A5-9738429F2E34}"/>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3.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124075" cy="857250"/>
        </a:xfrm>
        <a:prstGeom prst="rect">
          <a:avLst/>
        </a:prstGeom>
        <a:noFill/>
        <a:ln w="9525">
          <a:noFill/>
          <a:miter lim="800000"/>
          <a:headEnd/>
          <a:tailEnd/>
        </a:ln>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0</xdr:col>
      <xdr:colOff>47625</xdr:colOff>
      <xdr:row>0</xdr:row>
      <xdr:rowOff>28575</xdr:rowOff>
    </xdr:from>
    <xdr:to>
      <xdr:col>5</xdr:col>
      <xdr:colOff>0</xdr:colOff>
      <xdr:row>4</xdr:row>
      <xdr:rowOff>104775</xdr:rowOff>
    </xdr:to>
    <xdr:pic>
      <xdr:nvPicPr>
        <xdr:cNvPr id="2" name="Picture 1" descr="G:\Common\LOGOS\Agility.tif">
          <a:extLst>
            <a:ext uri="{FF2B5EF4-FFF2-40B4-BE49-F238E27FC236}">
              <a16:creationId xmlns:a16="http://schemas.microsoft.com/office/drawing/2014/main" id="{5B074886-0B6D-4591-9302-AA757545369C}"/>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5.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1381125" cy="742950"/>
        </a:xfrm>
        <a:prstGeom prst="rect">
          <a:avLst/>
        </a:prstGeom>
        <a:noFill/>
        <a:ln w="9525">
          <a:noFill/>
          <a:miter lim="800000"/>
          <a:headEnd/>
          <a:tailEnd/>
        </a:ln>
      </xdr:spPr>
    </xdr:pic>
    <xdr:clientData fLocksWithSheet="0"/>
  </xdr:twoCellAnchor>
</xdr:wsDr>
</file>

<file path=xl/drawings/drawing6.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7.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8.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9.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10.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11.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12.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14.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15.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16.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17.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18.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19.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20.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7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21.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22.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23.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24.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B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25.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26.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D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27.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E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28.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2F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29.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3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30.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3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31.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3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drawings/drawing32.xml><?xml version="1.0" encoding="utf-8"?>
<xdr:wsDr xmlns:xdr="http://schemas.openxmlformats.org/drawingml/2006/spreadsheetDrawing" xmlns:a="http://schemas.openxmlformats.org/drawingml/2006/main">
  <xdr:twoCellAnchor>
    <xdr:from>
      <xdr:col>0</xdr:col>
      <xdr:colOff>47625</xdr:colOff>
      <xdr:row>0</xdr:row>
      <xdr:rowOff>28575</xdr:rowOff>
    </xdr:from>
    <xdr:to>
      <xdr:col>4</xdr:col>
      <xdr:colOff>0</xdr:colOff>
      <xdr:row>4</xdr:row>
      <xdr:rowOff>104775</xdr:rowOff>
    </xdr:to>
    <xdr:pic>
      <xdr:nvPicPr>
        <xdr:cNvPr id="2" name="Picture 1" descr="G:\Common\LOGOS\Agility.tif">
          <a:extLst>
            <a:ext uri="{FF2B5EF4-FFF2-40B4-BE49-F238E27FC236}">
              <a16:creationId xmlns:a16="http://schemas.microsoft.com/office/drawing/2014/main" id="{00000000-0008-0000-3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5276850" cy="857250"/>
        </a:xfrm>
        <a:prstGeom prst="rect">
          <a:avLst/>
        </a:prstGeom>
        <a:noFill/>
        <a:ln w="9525">
          <a:noFill/>
          <a:miter lim="800000"/>
          <a:headEnd/>
          <a:tailEnd/>
        </a:ln>
      </xdr:spPr>
    </xdr:pic>
    <xdr:clientData fLocksWithSheet="0"/>
  </xdr:twoCellAnchor>
</xdr:wsDr>
</file>

<file path=xl/drawings/drawing33.xml><?xml version="1.0" encoding="utf-8"?>
<xdr:wsDr xmlns:xdr="http://schemas.openxmlformats.org/drawingml/2006/spreadsheetDrawing" xmlns:a="http://schemas.openxmlformats.org/drawingml/2006/main">
  <xdr:twoCellAnchor>
    <xdr:from>
      <xdr:col>0</xdr:col>
      <xdr:colOff>47625</xdr:colOff>
      <xdr:row>0</xdr:row>
      <xdr:rowOff>28575</xdr:rowOff>
    </xdr:from>
    <xdr:to>
      <xdr:col>2</xdr:col>
      <xdr:colOff>0</xdr:colOff>
      <xdr:row>4</xdr:row>
      <xdr:rowOff>104775</xdr:rowOff>
    </xdr:to>
    <xdr:pic>
      <xdr:nvPicPr>
        <xdr:cNvPr id="2" name="Picture 1" descr="G:\Common\LOGOS\Agility.tif">
          <a:extLst>
            <a:ext uri="{FF2B5EF4-FFF2-40B4-BE49-F238E27FC236}">
              <a16:creationId xmlns:a16="http://schemas.microsoft.com/office/drawing/2014/main" id="{00000000-0008-0000-34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28575"/>
          <a:ext cx="2247900" cy="857250"/>
        </a:xfrm>
        <a:prstGeom prst="rect">
          <a:avLst/>
        </a:prstGeom>
        <a:noFill/>
        <a:ln w="9525">
          <a:noFill/>
          <a:miter lim="800000"/>
          <a:headEnd/>
          <a:tailEnd/>
        </a:ln>
      </xdr:spPr>
    </xdr:pic>
    <xdr:clientData fLock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G:\Finance\Common\2023%20me\Amato\09%20September\Sep_AmatoAgileFinAgeData.xlsx" TargetMode="External"/><Relationship Id="rId1" Type="http://schemas.openxmlformats.org/officeDocument/2006/relationships/externalLinkPath" Target="Sep_AmatoAgileFinAge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eviousMonthAgingData"/>
      <sheetName val="CurrentMonthTransactionData"/>
      <sheetName val="CurrentMonthAgingData"/>
      <sheetName val="Amato Pivots"/>
      <sheetName val="RF by Payor"/>
      <sheetName val="Bad Debt"/>
      <sheetName val="Bad Debt Categories"/>
      <sheetName val="Credit Balance Detail"/>
    </sheetNames>
    <sheetDataSet>
      <sheetData sheetId="0"/>
      <sheetData sheetId="1"/>
      <sheetData sheetId="2"/>
      <sheetData sheetId="3"/>
      <sheetData sheetId="4"/>
      <sheetData sheetId="5"/>
      <sheetData sheetId="6">
        <row r="1">
          <cell r="A1" t="str">
            <v>Y / N to Bad Debt</v>
          </cell>
        </row>
        <row r="2">
          <cell r="A2" t="str">
            <v>N</v>
          </cell>
        </row>
        <row r="3">
          <cell r="A3" t="str">
            <v>Y</v>
          </cell>
        </row>
        <row r="4">
          <cell r="A4" t="str">
            <v>N</v>
          </cell>
        </row>
        <row r="5">
          <cell r="A5" t="str">
            <v>N</v>
          </cell>
        </row>
        <row r="6">
          <cell r="A6" t="str">
            <v>N</v>
          </cell>
        </row>
        <row r="7">
          <cell r="A7" t="str">
            <v>N</v>
          </cell>
        </row>
        <row r="8">
          <cell r="A8" t="str">
            <v>N</v>
          </cell>
        </row>
        <row r="9">
          <cell r="A9" t="str">
            <v>Y</v>
          </cell>
        </row>
        <row r="10">
          <cell r="A10" t="str">
            <v>N</v>
          </cell>
        </row>
        <row r="11">
          <cell r="A11" t="str">
            <v>N</v>
          </cell>
        </row>
        <row r="12">
          <cell r="A12" t="str">
            <v>N</v>
          </cell>
        </row>
        <row r="13">
          <cell r="A13" t="str">
            <v>N</v>
          </cell>
        </row>
        <row r="14">
          <cell r="A14" t="str">
            <v>N</v>
          </cell>
        </row>
        <row r="15">
          <cell r="A15" t="str">
            <v>N</v>
          </cell>
        </row>
        <row r="16">
          <cell r="A16" t="str">
            <v>N</v>
          </cell>
        </row>
        <row r="17">
          <cell r="A17" t="str">
            <v>N</v>
          </cell>
        </row>
        <row r="18">
          <cell r="A18" t="str">
            <v>N</v>
          </cell>
        </row>
        <row r="19">
          <cell r="A19" t="str">
            <v>Y</v>
          </cell>
        </row>
        <row r="20">
          <cell r="A20" t="str">
            <v>N</v>
          </cell>
        </row>
        <row r="21">
          <cell r="A21" t="str">
            <v>Y</v>
          </cell>
        </row>
        <row r="22">
          <cell r="A22" t="str">
            <v>Y</v>
          </cell>
        </row>
        <row r="23">
          <cell r="A23" t="str">
            <v>Y</v>
          </cell>
        </row>
        <row r="24">
          <cell r="A24" t="str">
            <v>Y</v>
          </cell>
        </row>
        <row r="25">
          <cell r="A25" t="str">
            <v>N</v>
          </cell>
        </row>
        <row r="26">
          <cell r="A26" t="str">
            <v>N</v>
          </cell>
        </row>
        <row r="27">
          <cell r="A27" t="str">
            <v>N</v>
          </cell>
        </row>
        <row r="28">
          <cell r="A28" t="str">
            <v>N</v>
          </cell>
        </row>
        <row r="29">
          <cell r="A29" t="str">
            <v>N</v>
          </cell>
        </row>
        <row r="30">
          <cell r="A30" t="str">
            <v>Y</v>
          </cell>
        </row>
        <row r="31">
          <cell r="A31" t="str">
            <v>Y</v>
          </cell>
        </row>
        <row r="32">
          <cell r="A32" t="str">
            <v>Y</v>
          </cell>
        </row>
        <row r="33">
          <cell r="A33" t="str">
            <v>Y</v>
          </cell>
        </row>
        <row r="34">
          <cell r="A34" t="str">
            <v>N</v>
          </cell>
        </row>
        <row r="35">
          <cell r="A35" t="str">
            <v>N</v>
          </cell>
        </row>
        <row r="36">
          <cell r="A36" t="str">
            <v>N</v>
          </cell>
        </row>
        <row r="37">
          <cell r="A37" t="str">
            <v>N</v>
          </cell>
        </row>
        <row r="38">
          <cell r="A38" t="str">
            <v>N</v>
          </cell>
        </row>
        <row r="39">
          <cell r="A39" t="str">
            <v>N</v>
          </cell>
        </row>
        <row r="40">
          <cell r="A40" t="str">
            <v>N</v>
          </cell>
        </row>
        <row r="41">
          <cell r="A41" t="str">
            <v>N</v>
          </cell>
        </row>
        <row r="42">
          <cell r="A42" t="str">
            <v>N</v>
          </cell>
        </row>
        <row r="43">
          <cell r="A43" t="str">
            <v>Y</v>
          </cell>
        </row>
        <row r="44">
          <cell r="A44" t="str">
            <v>N</v>
          </cell>
        </row>
        <row r="45">
          <cell r="A45" t="str">
            <v>N</v>
          </cell>
        </row>
        <row r="46">
          <cell r="A46" t="str">
            <v>N</v>
          </cell>
        </row>
        <row r="47">
          <cell r="A47" t="str">
            <v>Y</v>
          </cell>
        </row>
        <row r="48">
          <cell r="A48" t="str">
            <v>N</v>
          </cell>
        </row>
        <row r="49">
          <cell r="A49" t="str">
            <v>Y</v>
          </cell>
        </row>
        <row r="50">
          <cell r="A50" t="str">
            <v>N</v>
          </cell>
        </row>
        <row r="51">
          <cell r="A51" t="str">
            <v>N</v>
          </cell>
        </row>
        <row r="52">
          <cell r="A52" t="str">
            <v>N</v>
          </cell>
        </row>
        <row r="53">
          <cell r="A53" t="str">
            <v>N</v>
          </cell>
        </row>
        <row r="54">
          <cell r="A54" t="str">
            <v>N</v>
          </cell>
        </row>
        <row r="55">
          <cell r="A55" t="str">
            <v>Y</v>
          </cell>
        </row>
        <row r="56">
          <cell r="A56" t="str">
            <v>N</v>
          </cell>
        </row>
        <row r="57">
          <cell r="A57" t="str">
            <v>N</v>
          </cell>
        </row>
        <row r="58">
          <cell r="A58" t="str">
            <v>N</v>
          </cell>
        </row>
        <row r="59">
          <cell r="A59" t="str">
            <v>N</v>
          </cell>
        </row>
        <row r="60">
          <cell r="A60" t="str">
            <v>N</v>
          </cell>
        </row>
        <row r="61">
          <cell r="A61" t="str">
            <v>N</v>
          </cell>
        </row>
        <row r="62">
          <cell r="A62" t="str">
            <v>N</v>
          </cell>
        </row>
        <row r="63">
          <cell r="A63" t="str">
            <v>Y</v>
          </cell>
        </row>
        <row r="64">
          <cell r="A64" t="str">
            <v>Y</v>
          </cell>
        </row>
        <row r="65">
          <cell r="A65" t="str">
            <v>Y</v>
          </cell>
        </row>
        <row r="66">
          <cell r="A66" t="str">
            <v>Y</v>
          </cell>
        </row>
        <row r="67">
          <cell r="A67" t="str">
            <v>Y</v>
          </cell>
        </row>
        <row r="68">
          <cell r="A68" t="str">
            <v>Y</v>
          </cell>
        </row>
        <row r="69">
          <cell r="A69" t="str">
            <v>Y</v>
          </cell>
        </row>
        <row r="70">
          <cell r="A70" t="str">
            <v>Y</v>
          </cell>
        </row>
        <row r="71">
          <cell r="A71" t="str">
            <v>Y</v>
          </cell>
        </row>
        <row r="72">
          <cell r="A72" t="str">
            <v>N</v>
          </cell>
        </row>
        <row r="73">
          <cell r="A73" t="str">
            <v>Y</v>
          </cell>
        </row>
        <row r="74">
          <cell r="A74" t="str">
            <v>N</v>
          </cell>
        </row>
        <row r="75">
          <cell r="A75" t="str">
            <v>N</v>
          </cell>
        </row>
        <row r="76">
          <cell r="A76" t="str">
            <v>N</v>
          </cell>
        </row>
        <row r="77">
          <cell r="A77" t="str">
            <v>Y</v>
          </cell>
        </row>
        <row r="78">
          <cell r="A78" t="str">
            <v>Y</v>
          </cell>
        </row>
        <row r="79">
          <cell r="A79" t="str">
            <v>N</v>
          </cell>
        </row>
        <row r="80">
          <cell r="A80" t="str">
            <v>N</v>
          </cell>
        </row>
        <row r="81">
          <cell r="A81" t="str">
            <v>N</v>
          </cell>
        </row>
        <row r="82">
          <cell r="A82" t="str">
            <v>N</v>
          </cell>
        </row>
        <row r="83">
          <cell r="A83" t="str">
            <v>Y</v>
          </cell>
        </row>
        <row r="84">
          <cell r="A84" t="str">
            <v>Y</v>
          </cell>
        </row>
        <row r="85">
          <cell r="A85" t="str">
            <v>Y</v>
          </cell>
        </row>
        <row r="86">
          <cell r="A86" t="str">
            <v>N</v>
          </cell>
        </row>
        <row r="87">
          <cell r="A87" t="str">
            <v>N</v>
          </cell>
        </row>
        <row r="88">
          <cell r="A88" t="str">
            <v>N</v>
          </cell>
        </row>
        <row r="89">
          <cell r="A89" t="str">
            <v>N</v>
          </cell>
        </row>
        <row r="90">
          <cell r="A90" t="str">
            <v>N</v>
          </cell>
        </row>
        <row r="91">
          <cell r="A91" t="str">
            <v>Y</v>
          </cell>
        </row>
        <row r="92">
          <cell r="A92" t="str">
            <v>N</v>
          </cell>
        </row>
        <row r="93">
          <cell r="A93" t="str">
            <v>N</v>
          </cell>
        </row>
        <row r="94">
          <cell r="A94" t="str">
            <v>N</v>
          </cell>
        </row>
        <row r="95">
          <cell r="A95" t="str">
            <v>N</v>
          </cell>
        </row>
        <row r="96">
          <cell r="A96" t="str">
            <v>Y</v>
          </cell>
        </row>
        <row r="97">
          <cell r="A97" t="str">
            <v>Y</v>
          </cell>
        </row>
        <row r="98">
          <cell r="A98" t="str">
            <v>N</v>
          </cell>
        </row>
        <row r="99">
          <cell r="A99" t="str">
            <v>N</v>
          </cell>
        </row>
        <row r="100">
          <cell r="A100" t="str">
            <v>N</v>
          </cell>
        </row>
        <row r="101">
          <cell r="A101" t="str">
            <v>N</v>
          </cell>
        </row>
        <row r="102">
          <cell r="A102" t="str">
            <v>Y</v>
          </cell>
        </row>
        <row r="103">
          <cell r="A103" t="str">
            <v>Y</v>
          </cell>
        </row>
        <row r="104">
          <cell r="A104" t="str">
            <v>N</v>
          </cell>
        </row>
        <row r="105">
          <cell r="A105" t="str">
            <v>Y</v>
          </cell>
        </row>
        <row r="106">
          <cell r="A106" t="str">
            <v>Y</v>
          </cell>
        </row>
        <row r="107">
          <cell r="A107" t="str">
            <v>N</v>
          </cell>
        </row>
        <row r="108">
          <cell r="A108" t="str">
            <v>N</v>
          </cell>
        </row>
        <row r="109">
          <cell r="A109" t="str">
            <v>N</v>
          </cell>
        </row>
        <row r="110">
          <cell r="A110" t="str">
            <v>N</v>
          </cell>
        </row>
        <row r="111">
          <cell r="A111" t="str">
            <v>N</v>
          </cell>
        </row>
        <row r="112">
          <cell r="A112" t="str">
            <v>Y</v>
          </cell>
        </row>
        <row r="113">
          <cell r="A113" t="str">
            <v>N</v>
          </cell>
        </row>
        <row r="114">
          <cell r="A114" t="str">
            <v>N</v>
          </cell>
        </row>
        <row r="115">
          <cell r="A115" t="str">
            <v>N</v>
          </cell>
        </row>
        <row r="116">
          <cell r="A116" t="str">
            <v>N</v>
          </cell>
        </row>
        <row r="117">
          <cell r="A117" t="str">
            <v>N</v>
          </cell>
        </row>
        <row r="118">
          <cell r="A118" t="str">
            <v>N</v>
          </cell>
        </row>
        <row r="119">
          <cell r="A119" t="str">
            <v>N</v>
          </cell>
        </row>
        <row r="120">
          <cell r="A120" t="str">
            <v>N</v>
          </cell>
        </row>
        <row r="121">
          <cell r="A121" t="str">
            <v>N</v>
          </cell>
        </row>
        <row r="122">
          <cell r="A122" t="str">
            <v>Y</v>
          </cell>
        </row>
        <row r="123">
          <cell r="A123" t="str">
            <v>N</v>
          </cell>
        </row>
        <row r="124">
          <cell r="A124" t="str">
            <v>N</v>
          </cell>
        </row>
        <row r="125">
          <cell r="A125" t="str">
            <v>Y</v>
          </cell>
        </row>
        <row r="126">
          <cell r="A126" t="str">
            <v>Y</v>
          </cell>
        </row>
        <row r="127">
          <cell r="A127" t="str">
            <v>N</v>
          </cell>
        </row>
        <row r="128">
          <cell r="A128" t="str">
            <v>Y</v>
          </cell>
        </row>
        <row r="129">
          <cell r="A129" t="str">
            <v>Y</v>
          </cell>
        </row>
        <row r="130">
          <cell r="A130" t="str">
            <v>Y</v>
          </cell>
        </row>
        <row r="131">
          <cell r="A131" t="str">
            <v>Y</v>
          </cell>
        </row>
        <row r="132">
          <cell r="A132" t="str">
            <v>N</v>
          </cell>
        </row>
        <row r="133">
          <cell r="A133" t="str">
            <v>N</v>
          </cell>
        </row>
        <row r="134">
          <cell r="A134" t="str">
            <v>Y</v>
          </cell>
        </row>
        <row r="135">
          <cell r="A135" t="str">
            <v>N</v>
          </cell>
        </row>
        <row r="136">
          <cell r="A136" t="str">
            <v>N</v>
          </cell>
        </row>
        <row r="137">
          <cell r="A137" t="str">
            <v>N</v>
          </cell>
        </row>
        <row r="138">
          <cell r="A138" t="str">
            <v>N</v>
          </cell>
        </row>
        <row r="139">
          <cell r="A139" t="str">
            <v>N</v>
          </cell>
        </row>
        <row r="140">
          <cell r="A140" t="str">
            <v>Y</v>
          </cell>
        </row>
        <row r="141">
          <cell r="A141" t="str">
            <v>Y</v>
          </cell>
        </row>
        <row r="142">
          <cell r="A142" t="str">
            <v>Y</v>
          </cell>
        </row>
        <row r="143">
          <cell r="A143" t="str">
            <v>Y</v>
          </cell>
        </row>
        <row r="144">
          <cell r="A144" t="str">
            <v>Y</v>
          </cell>
        </row>
        <row r="145">
          <cell r="A145" t="str">
            <v>Y</v>
          </cell>
        </row>
        <row r="146">
          <cell r="A146" t="str">
            <v>N</v>
          </cell>
        </row>
        <row r="147">
          <cell r="A147" t="str">
            <v>N</v>
          </cell>
        </row>
        <row r="148">
          <cell r="A148" t="str">
            <v>Y</v>
          </cell>
        </row>
        <row r="149">
          <cell r="A149" t="str">
            <v>Y</v>
          </cell>
        </row>
        <row r="150">
          <cell r="A150" t="str">
            <v>Y</v>
          </cell>
        </row>
        <row r="151">
          <cell r="A151" t="str">
            <v>Y</v>
          </cell>
        </row>
        <row r="152">
          <cell r="A152" t="str">
            <v>Y</v>
          </cell>
        </row>
        <row r="153">
          <cell r="A153" t="str">
            <v>Y</v>
          </cell>
        </row>
        <row r="154">
          <cell r="A154" t="str">
            <v>Y</v>
          </cell>
        </row>
        <row r="155">
          <cell r="A155" t="str">
            <v>N</v>
          </cell>
        </row>
        <row r="156">
          <cell r="A156" t="str">
            <v>Y</v>
          </cell>
        </row>
        <row r="157">
          <cell r="A157" t="str">
            <v>N</v>
          </cell>
        </row>
        <row r="158">
          <cell r="A158" t="str">
            <v>N</v>
          </cell>
        </row>
        <row r="159">
          <cell r="A159" t="str">
            <v>N</v>
          </cell>
        </row>
        <row r="160">
          <cell r="A160" t="str">
            <v>Y</v>
          </cell>
        </row>
        <row r="161">
          <cell r="A161" t="str">
            <v>Y</v>
          </cell>
        </row>
        <row r="162">
          <cell r="A162" t="str">
            <v>Y</v>
          </cell>
        </row>
        <row r="163">
          <cell r="A163" t="str">
            <v>Y</v>
          </cell>
        </row>
        <row r="164">
          <cell r="A164" t="str">
            <v>N</v>
          </cell>
        </row>
        <row r="165">
          <cell r="A165" t="str">
            <v>N</v>
          </cell>
        </row>
        <row r="166">
          <cell r="A166" t="str">
            <v>y</v>
          </cell>
        </row>
        <row r="167">
          <cell r="A167" t="str">
            <v>Y</v>
          </cell>
        </row>
        <row r="168">
          <cell r="A168" t="str">
            <v>Y</v>
          </cell>
        </row>
        <row r="169">
          <cell r="A169" t="str">
            <v>Y</v>
          </cell>
        </row>
        <row r="170">
          <cell r="A170" t="str">
            <v>Y</v>
          </cell>
        </row>
        <row r="171">
          <cell r="A171" t="str">
            <v>Y</v>
          </cell>
        </row>
        <row r="172">
          <cell r="A172" t="str">
            <v>Y</v>
          </cell>
        </row>
        <row r="173">
          <cell r="A173" t="str">
            <v>Y</v>
          </cell>
        </row>
        <row r="174">
          <cell r="A174" t="str">
            <v>Y</v>
          </cell>
        </row>
        <row r="175">
          <cell r="A175" t="str">
            <v>N</v>
          </cell>
        </row>
        <row r="176">
          <cell r="A176" t="str">
            <v>N</v>
          </cell>
        </row>
        <row r="177">
          <cell r="A177" t="str">
            <v>N</v>
          </cell>
        </row>
        <row r="178">
          <cell r="A178" t="str">
            <v>Y</v>
          </cell>
        </row>
        <row r="179">
          <cell r="A179" t="str">
            <v>N</v>
          </cell>
        </row>
        <row r="180">
          <cell r="A180" t="str">
            <v>N</v>
          </cell>
        </row>
        <row r="181">
          <cell r="A181" t="str">
            <v>N</v>
          </cell>
        </row>
        <row r="182">
          <cell r="A182" t="str">
            <v>N</v>
          </cell>
        </row>
        <row r="183">
          <cell r="A183" t="str">
            <v>N</v>
          </cell>
        </row>
        <row r="184">
          <cell r="A184" t="str">
            <v>N</v>
          </cell>
        </row>
        <row r="185">
          <cell r="A185" t="str">
            <v>N</v>
          </cell>
        </row>
        <row r="186">
          <cell r="A186" t="str">
            <v>N</v>
          </cell>
        </row>
        <row r="187">
          <cell r="A187" t="str">
            <v>N</v>
          </cell>
        </row>
        <row r="188">
          <cell r="A188" t="str">
            <v>N</v>
          </cell>
        </row>
        <row r="189">
          <cell r="A189" t="str">
            <v>N</v>
          </cell>
        </row>
        <row r="190">
          <cell r="A190" t="str">
            <v>N</v>
          </cell>
        </row>
        <row r="191">
          <cell r="A191" t="str">
            <v>Y</v>
          </cell>
        </row>
        <row r="192">
          <cell r="A192" t="str">
            <v>N</v>
          </cell>
        </row>
        <row r="193">
          <cell r="A193" t="str">
            <v>N</v>
          </cell>
        </row>
        <row r="194">
          <cell r="A194" t="str">
            <v>N</v>
          </cell>
        </row>
        <row r="195">
          <cell r="A195" t="str">
            <v>N</v>
          </cell>
        </row>
        <row r="196">
          <cell r="A196" t="str">
            <v>N</v>
          </cell>
        </row>
        <row r="197">
          <cell r="A197" t="str">
            <v>N</v>
          </cell>
        </row>
        <row r="198">
          <cell r="A198" t="str">
            <v>N</v>
          </cell>
        </row>
        <row r="199">
          <cell r="A199" t="str">
            <v>N</v>
          </cell>
        </row>
        <row r="200">
          <cell r="A200" t="str">
            <v>Y</v>
          </cell>
        </row>
        <row r="201">
          <cell r="A201" t="str">
            <v>N</v>
          </cell>
        </row>
        <row r="202">
          <cell r="A202" t="str">
            <v>Y</v>
          </cell>
        </row>
        <row r="203">
          <cell r="A203" t="str">
            <v>N</v>
          </cell>
        </row>
        <row r="204">
          <cell r="A204" t="str">
            <v>Y</v>
          </cell>
        </row>
        <row r="205">
          <cell r="A205" t="str">
            <v>N</v>
          </cell>
        </row>
        <row r="206">
          <cell r="A206" t="str">
            <v>N</v>
          </cell>
        </row>
        <row r="207">
          <cell r="A207" t="str">
            <v>Y</v>
          </cell>
        </row>
        <row r="208">
          <cell r="A208" t="str">
            <v>Y</v>
          </cell>
        </row>
        <row r="209">
          <cell r="A209" t="str">
            <v>N</v>
          </cell>
        </row>
        <row r="210">
          <cell r="A210" t="str">
            <v>N</v>
          </cell>
        </row>
        <row r="211">
          <cell r="A211" t="str">
            <v>N</v>
          </cell>
        </row>
        <row r="212">
          <cell r="A212" t="str">
            <v>N</v>
          </cell>
        </row>
        <row r="213">
          <cell r="A213" t="str">
            <v>N</v>
          </cell>
        </row>
        <row r="214">
          <cell r="A214" t="str">
            <v>N</v>
          </cell>
        </row>
        <row r="215">
          <cell r="A215" t="str">
            <v>Y</v>
          </cell>
        </row>
        <row r="216">
          <cell r="A216" t="str">
            <v>Y</v>
          </cell>
        </row>
        <row r="217">
          <cell r="A217" t="str">
            <v>Y</v>
          </cell>
        </row>
        <row r="218">
          <cell r="A218" t="str">
            <v>Y</v>
          </cell>
        </row>
        <row r="219">
          <cell r="A219" t="str">
            <v>Y</v>
          </cell>
        </row>
        <row r="220">
          <cell r="A220" t="str">
            <v>N</v>
          </cell>
        </row>
        <row r="221">
          <cell r="A221" t="str">
            <v>N</v>
          </cell>
        </row>
        <row r="222">
          <cell r="A222" t="str">
            <v>N</v>
          </cell>
        </row>
        <row r="223">
          <cell r="A223" t="str">
            <v>Y</v>
          </cell>
        </row>
        <row r="224">
          <cell r="A224" t="str">
            <v>Y</v>
          </cell>
        </row>
        <row r="225">
          <cell r="A225" t="str">
            <v>Y</v>
          </cell>
        </row>
        <row r="226">
          <cell r="A226" t="str">
            <v>N</v>
          </cell>
        </row>
        <row r="227">
          <cell r="A227" t="str">
            <v>N</v>
          </cell>
        </row>
        <row r="228">
          <cell r="A228" t="str">
            <v>Y</v>
          </cell>
        </row>
        <row r="229">
          <cell r="A229" t="str">
            <v>Y</v>
          </cell>
        </row>
        <row r="230">
          <cell r="A230" t="str">
            <v>Y</v>
          </cell>
        </row>
        <row r="231">
          <cell r="A231" t="str">
            <v>Y</v>
          </cell>
        </row>
        <row r="232">
          <cell r="A232" t="str">
            <v>Y</v>
          </cell>
        </row>
        <row r="233">
          <cell r="A233" t="str">
            <v>Y</v>
          </cell>
        </row>
        <row r="234">
          <cell r="A234" t="str">
            <v>Y</v>
          </cell>
        </row>
        <row r="235">
          <cell r="A235" t="str">
            <v>Y</v>
          </cell>
        </row>
        <row r="236">
          <cell r="A236" t="str">
            <v>Y</v>
          </cell>
        </row>
        <row r="237">
          <cell r="A237" t="str">
            <v>Y</v>
          </cell>
        </row>
        <row r="238">
          <cell r="A238" t="str">
            <v>Y</v>
          </cell>
        </row>
        <row r="239">
          <cell r="A239" t="str">
            <v>Y</v>
          </cell>
        </row>
        <row r="240">
          <cell r="A240" t="str">
            <v>Y</v>
          </cell>
        </row>
        <row r="241">
          <cell r="A241" t="str">
            <v>Y</v>
          </cell>
        </row>
        <row r="242">
          <cell r="A242" t="str">
            <v>Y</v>
          </cell>
        </row>
        <row r="243">
          <cell r="A243" t="str">
            <v>Y</v>
          </cell>
        </row>
      </sheetData>
      <sheetData sheetId="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D75A68-652D-43F9-9FC1-55CFF67D2FF3}" name="GetCurrentMonthTransactionData4" displayName="GetCurrentMonthTransactionData4" ref="A1:AP3" totalsRowShown="0">
  <autoFilter ref="A1:AP3" xr:uid="{E2D75A68-652D-43F9-9FC1-55CFF67D2FF3}"/>
  <tableColumns count="42">
    <tableColumn id="1" xr3:uid="{E159C567-CD6D-4FAC-9E0F-924B01C12C4B}" name="FinYear"/>
    <tableColumn id="2" xr3:uid="{22B78D18-F8E8-4170-A92E-0384CC5FEBDC}" name="FinMonth"/>
    <tableColumn id="3" xr3:uid="{243DC824-789E-45B0-9498-0DD96CE2D965}" name="CompanyId"/>
    <tableColumn id="4" xr3:uid="{F59650BC-A203-4851-8BBC-FFE32ECEA9F9}" name="Company"/>
    <tableColumn id="5" xr3:uid="{EF04B0CF-72C7-4B84-82B7-4654E6149DE2}" name="CaseLocation" dataDxfId="7"/>
    <tableColumn id="6" xr3:uid="{68BAC11D-2DC6-4075-99F5-C21CFFED77D2}" name="CaseId"/>
    <tableColumn id="7" xr3:uid="{542AAEA9-6555-4302-9AEB-10125AD7C85E}" name="AppointmentId"/>
    <tableColumn id="8" xr3:uid="{9BB59375-B370-4D7F-B4E9-CF7C3DB547A2}" name="ApptLocation" dataDxfId="6"/>
    <tableColumn id="9" xr3:uid="{686EE0F2-F866-4340-B49E-30BEF9A91E92}" name="CashDepositID"/>
    <tableColumn id="10" xr3:uid="{CE33EDEF-1982-4456-9AC4-031897262063}" name="TransactionId"/>
    <tableColumn id="11" xr3:uid="{9B516869-0362-4026-A6AC-E8F0975B1D21}" name="TransactionTypeLookupId"/>
    <tableColumn id="12" xr3:uid="{42BFA421-E847-470A-A741-2755C7AA8C7B}" name="TransactionStatusLookupId"/>
    <tableColumn id="13" xr3:uid="{2D6964C1-B1DD-48B5-B1C3-261DCDC06FF1}" name="PaymentProcessLookupId"/>
    <tableColumn id="14" xr3:uid="{6C85085F-30DA-43C0-A3C5-59BEAB8F3D48}" name="ParentTransactionId"/>
    <tableColumn id="15" xr3:uid="{CFCD3D4B-7850-4B5F-B300-8CCED2B0E69B}" name="ParentTransactionDate" dataDxfId="5"/>
    <tableColumn id="16" xr3:uid="{AA6C8B67-B01A-4058-89CB-3811F17A57A6}" name="TransactionAmount"/>
    <tableColumn id="17" xr3:uid="{ECCE3B76-9E16-4884-BFC9-BA4933620A63}" name="TransactionUnits"/>
    <tableColumn id="18" xr3:uid="{E4080DD3-E72D-4AF7-BEE7-A15166E1D86D}" name="TransactionTotal"/>
    <tableColumn id="19" xr3:uid="{A723E15D-8B97-4DDD-B031-07085B115445}" name="TransactionDate" dataDxfId="4"/>
    <tableColumn id="20" xr3:uid="{27104EF9-B5E3-4EE7-B04F-D3C082F316FB}" name="HistoryTypeLookupId"/>
    <tableColumn id="21" xr3:uid="{DAA14E26-EB62-4F8B-B4BA-E8E594997DD8}" name="HistoryType"/>
    <tableColumn id="22" xr3:uid="{641D3F8B-75AD-43C6-874A-06DCA734A36C}" name="FinancialTrxCategory"/>
    <tableColumn id="23" xr3:uid="{40A61B59-375E-4D0D-87A8-DAC46F829E4B}" name="TrxInsuranceGroup"/>
    <tableColumn id="24" xr3:uid="{F262D238-BF63-479B-B896-70C5CD8E6CB0}" name="InsuranceGroupPrimary"/>
    <tableColumn id="25" xr3:uid="{5BC661BB-D8CC-4237-BCF9-3B6548FC0C4D}" name="InsuranceGroupSecondary"/>
    <tableColumn id="26" xr3:uid="{90A965F5-349A-4BC0-B711-5C5A0838DF15}" name="InsuranceGroupTertiary"/>
    <tableColumn id="27" xr3:uid="{DE57FA29-29EA-43F9-B5EF-722D8E83C6B6}" name="ChargeBatchId"/>
    <tableColumn id="28" xr3:uid="{923DC3F9-21CF-4F47-9022-840735CB91C2}" name="Label"/>
    <tableColumn id="29" xr3:uid="{D0C42749-4B87-4493-B47E-5DF0FFEECC72}" name="DateSubmitted" dataDxfId="3"/>
    <tableColumn id="30" xr3:uid="{C00BDFA8-35E9-4A2C-929A-5E519A9FF062}" name="PaymentBatchId"/>
    <tableColumn id="31" xr3:uid="{B158A504-5AC1-481D-8D1A-C1074ADF35F9}" name="BatchName"/>
    <tableColumn id="32" xr3:uid="{E81C4757-B2B8-406B-A9AA-EC2255D451A2}" name="BatchClosedDate" dataDxfId="2"/>
    <tableColumn id="33" xr3:uid="{94FCA474-6B48-474E-B53E-F0DE05FF2CA3}" name="LinkedPmtBatchID"/>
    <tableColumn id="34" xr3:uid="{7BDC13FD-F343-454A-A836-CD9D584A0A77}" name="LinkedPmtBatchName"/>
    <tableColumn id="35" xr3:uid="{317A5223-966D-4030-A77D-6D7F0103BF2E}" name="CaseLocationID"/>
    <tableColumn id="36" xr3:uid="{E3E7C53E-F69C-48C1-868C-74095C29F4F1}" name="ApptLocationID"/>
    <tableColumn id="37" xr3:uid="{D6E1CC10-CC41-4BF3-ABD9-A0111FC5D1F6}" name="AdjustmentReasonCode"/>
    <tableColumn id="38" xr3:uid="{03FC44C0-6834-4BD1-B3BF-40A85DADAB3F}" name="PaymentMethod"/>
    <tableColumn id="39" xr3:uid="{AFFC5912-52DC-45C3-BE0F-3F91B0B0A227}" name="DepositLocation"/>
    <tableColumn id="40" xr3:uid="{62C140B7-D552-4C25-8A9E-0D31C4507F14}" name="QueryStartDate" dataDxfId="1"/>
    <tableColumn id="41" xr3:uid="{5EFBCF4F-6929-4566-B099-03461FFC7A21}" name="QueryEndDate" dataDxfId="0"/>
    <tableColumn id="42" xr3:uid="{C525F8B9-3FEA-4444-87CC-EC7A8C1CAA3A}" name="Bad Debt Y/N">
      <calculatedColumnFormula>IF(GetCurrentMonthTransactionData4[[#This Row],[AdjustmentReasonCode]]=0,"N",INDEX('[1]Bad Debt Categories'!A:A,MATCH(GetCurrentMonthTransactionData4[[#This Row],[AdjustmentReasonCode]],'[1]Bad Debt Categories'!B:B,0)))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84E30F4-8508-4C13-9E1B-5A1B01AC9B9F}" name="GetCurrentMonthAging3" displayName="GetCurrentMonthAging3" ref="A1:BF578" totalsRowShown="0">
  <autoFilter ref="A1:BF578" xr:uid="{984E30F4-8508-4C13-9E1B-5A1B01AC9B9F}"/>
  <tableColumns count="58">
    <tableColumn id="1" xr3:uid="{7143C6E5-FCDE-44DD-BF26-FF1E793D0DE9}" name="AgeTrxType"/>
    <tableColumn id="2" xr3:uid="{3F378950-7667-4A29-82C3-C4FBACBE45D7}" name="CompanyID"/>
    <tableColumn id="3" xr3:uid="{307EC30B-310C-47B0-A203-EB75E9202845}" name="CompanyName"/>
    <tableColumn id="4" xr3:uid="{99E995BB-A504-42D7-85A1-8D73E2E84348}" name="AgingDate" dataDxfId="8"/>
    <tableColumn id="5" xr3:uid="{AA8E8682-FA4A-48D6-A627-B932FE0EA2D3}" name="caseid"/>
    <tableColumn id="6" xr3:uid="{9D7A4564-7BA0-4083-995F-0188F192660C}" name="appointmentid"/>
    <tableColumn id="7" xr3:uid="{714E035C-14FF-4192-943B-9A9288D92E75}" name="TransactionID"/>
    <tableColumn id="8" xr3:uid="{928250B5-1F3D-40DE-B5BB-4EA9AF5F4CF3}" name="IsTransactionDeleted"/>
    <tableColumn id="9" xr3:uid="{53E7DBD3-A69B-47D9-AC50-97F5ABD0FA46}" name="AgedDays"/>
    <tableColumn id="10" xr3:uid="{A1A39D67-EA57-49A3-8981-C2889D2DA3D4}" name="CPT"/>
    <tableColumn id="11" xr3:uid="{7161649D-A272-47F8-AB80-8D90BEBDAF3C}" name="RetailCharge"/>
    <tableColumn id="12" xr3:uid="{F6BC5C1C-1046-4214-93CC-3F590A220FF5}" name="TransactionAmount"/>
    <tableColumn id="13" xr3:uid="{B2850FBC-04F6-4373-BA92-3BF8A4E193BC}" name="TransactionUnits"/>
    <tableColumn id="14" xr3:uid="{C9F67231-D497-48CB-AF28-8F205A4D8DC1}" name="InitialPatCharges"/>
    <tableColumn id="15" xr3:uid="{41A0F8B6-4F1B-455E-9BC5-6C3B917F1AB7}" name="ChildPatCharges"/>
    <tableColumn id="16" xr3:uid="{90F5C81D-AF96-4685-8A71-571833BB393B}" name="PatVoucherPayments"/>
    <tableColumn id="17" xr3:uid="{EB9C965C-0533-49AA-8A5F-5FC370968C1E}" name="PatTransfers"/>
    <tableColumn id="18" xr3:uid="{3DB8DF4B-AA83-40FE-8838-78F7F32368F5}" name="PatAdjustments"/>
    <tableColumn id="19" xr3:uid="{EB66CEF8-09BE-4FF4-B3B7-E925C3BCD160}" name="PatAgeDate"/>
    <tableColumn id="20" xr3:uid="{48CBE7B7-E3E9-4AA6-88F6-33DB8C7C77EA}" name="InitialPriCharges"/>
    <tableColumn id="21" xr3:uid="{75183EB6-9E97-45D9-985F-16CAF014735E}" name="ChildPriCharges"/>
    <tableColumn id="22" xr3:uid="{006020C9-75A0-46AC-8614-C781982F0477}" name="PriPaymentCount"/>
    <tableColumn id="23" xr3:uid="{41FBBD7E-C1B1-4E97-9228-E2E6F015F85D}" name="PriPayments"/>
    <tableColumn id="24" xr3:uid="{EC561167-4C36-444E-BAFB-5387AE11AC2C}" name="PriAdjustments"/>
    <tableColumn id="25" xr3:uid="{406FD7C3-8008-400B-AA93-BD232124EBFA}" name="InitialSecCharges"/>
    <tableColumn id="26" xr3:uid="{1BCFA78E-11FD-466E-9C3D-FF85052DB3EF}" name="ChildSecCharges"/>
    <tableColumn id="27" xr3:uid="{1ED241C7-26AC-4B62-9059-B515E5B1E77C}" name="SecPaymentCount"/>
    <tableColumn id="28" xr3:uid="{C8A76DD4-434C-4197-A51D-C2CB499EB89E}" name="SecPayments"/>
    <tableColumn id="29" xr3:uid="{65CF38DA-1B42-458B-AE47-7BA88E5780F9}" name="SecAdjustments"/>
    <tableColumn id="30" xr3:uid="{A96C90FA-7178-4B8B-B4E9-F92182B9EA4F}" name="InitialTerCharges"/>
    <tableColumn id="31" xr3:uid="{4D1DA316-3574-4F36-A4AB-10663103DB8E}" name="ChildTerCharges"/>
    <tableColumn id="32" xr3:uid="{CBC9B65E-49C5-45CD-A7C9-89F6B4064A5D}" name="TerPaymentCount"/>
    <tableColumn id="33" xr3:uid="{FC3A7DE8-A46F-4069-B108-0148FB1C0EAE}" name="TerPayments"/>
    <tableColumn id="34" xr3:uid="{B7A6D3AC-53F2-4A4A-AE1D-0C0BBB98EB5F}" name="TerAdjustments"/>
    <tableColumn id="35" xr3:uid="{5E2157F1-319E-476A-BDAB-EA5FC3D19D56}" name="InitialUnknownCharges"/>
    <tableColumn id="36" xr3:uid="{1D7FAD2A-DFFD-4800-9EA0-0FD11FDDEB6D}" name="ChildUnknownCharges"/>
    <tableColumn id="37" xr3:uid="{BAD09B1E-322B-4960-BB8C-C3610D4B45CF}" name="UnknownPayments"/>
    <tableColumn id="38" xr3:uid="{56EA62AF-A23D-450E-8ACB-543A6F3F1CCF}" name="UnknownPaymentCount"/>
    <tableColumn id="39" xr3:uid="{0DDAA4E1-4339-480F-BD2A-0AB6E63C5DB8}" name="UnknownAdjustments"/>
    <tableColumn id="40" xr3:uid="{2F7EB332-B381-4EC0-9368-07FA261B6A5F}" name="ARBalance" dataDxfId="16"/>
    <tableColumn id="41" xr3:uid="{13CC8998-CE75-4EF7-9AC1-95E216D15915}" name="CurrentPaymentProcessLookupID"/>
    <tableColumn id="42" xr3:uid="{EBE733FF-3CAE-4F21-87B3-4B1776CA14CD}" name="InsGroupPrimary"/>
    <tableColumn id="43" xr3:uid="{93BE12B1-95BB-4184-B2CB-4DD3BD0C411C}" name="InsGroupSecondary"/>
    <tableColumn id="44" xr3:uid="{1B0A5B48-7EF7-40E5-A1F1-44FD1794DDE3}" name="InsGroupTertiary"/>
    <tableColumn id="45" xr3:uid="{A23E52D1-2B7E-4144-9E5E-52644D2EE3BC}" name="InsPlanPrimary"/>
    <tableColumn id="46" xr3:uid="{B0A0E8EC-094A-4AFB-B16F-2C766AE0A369}" name="InsPlanSecondary"/>
    <tableColumn id="47" xr3:uid="{C099866F-0E78-4FF3-A9BA-A15CD9DCAD23}" name="InsPlanTertiary"/>
    <tableColumn id="48" xr3:uid="{A8BAF3F4-369D-4CDF-9850-3C5B32590387}" name="ARBalanceInsGroup" dataDxfId="15"/>
    <tableColumn id="49" xr3:uid="{D77E8EF5-3B47-4212-B286-BF3A0CBA7F94}" name="ARBalanceInsPlan" dataDxfId="14"/>
    <tableColumn id="50" xr3:uid="{75DEF840-E794-4324-80BD-67339993C96A}" name="InsProcedureVoids"/>
    <tableColumn id="51" xr3:uid="{AF68582F-5258-4C07-BB42-88207DC21097}" name="PatProcedureVoids"/>
    <tableColumn id="52" xr3:uid="{94110F10-F7F0-4921-88E4-979236238EF1}" name="TransactionLocation"/>
    <tableColumn id="53" xr3:uid="{06325BCB-C7F3-4570-A394-11B464815356}" name="AppointmentLocation"/>
    <tableColumn id="54" xr3:uid="{B171377E-D2AA-4EB9-96EE-B3CA0FDAC6DC}" name="AgeBucket" dataDxfId="13"/>
    <tableColumn id="55" xr3:uid="{6D5C7E74-D64E-4225-8623-BE070E3D13FF}" name="AgeBucketOrder" dataDxfId="12"/>
    <tableColumn id="56" xr3:uid="{3B704C05-B3F8-42C1-A567-0DE8AEA7914C}" name="Column1" dataDxfId="11">
      <calculatedColumnFormula>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calculatedColumnFormula>
    </tableColumn>
    <tableColumn id="57" xr3:uid="{F6F4D8FA-FB9E-45DC-B1BD-D18349C3CF84}" name="Column2" dataDxfId="10">
      <calculatedColumnFormula>IF(GetCurrentMonthAging3[[#This Row],[InsGroupPrimary]]="","YES","NO")</calculatedColumnFormula>
    </tableColumn>
    <tableColumn id="58" xr3:uid="{E68C2A9B-DB7C-47E8-8680-72CB92FD78A0}" name="Column3" dataDxfId="9">
      <calculatedColumnFormula>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45.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50.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51.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52.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53.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M191"/>
  <sheetViews>
    <sheetView tabSelected="1" zoomScale="85" zoomScaleNormal="85" workbookViewId="0">
      <selection sqref="A1:J1"/>
    </sheetView>
  </sheetViews>
  <sheetFormatPr defaultRowHeight="15" x14ac:dyDescent="0.25"/>
  <cols>
    <col min="1" max="1" width="38.85546875" bestFit="1" customWidth="1"/>
    <col min="2" max="9" width="12.7109375" customWidth="1"/>
    <col min="10" max="10" width="15.7109375" customWidth="1"/>
    <col min="11" max="12" width="14.7109375" style="105" customWidth="1"/>
    <col min="13" max="13" width="12.42578125" bestFit="1" customWidth="1"/>
  </cols>
  <sheetData>
    <row r="1" spans="1:12" ht="18.75" x14ac:dyDescent="0.3">
      <c r="A1" s="162" t="s">
        <v>17</v>
      </c>
      <c r="B1" s="162"/>
      <c r="C1" s="162"/>
      <c r="D1" s="162"/>
      <c r="E1" s="162"/>
      <c r="F1" s="162"/>
      <c r="G1" s="162"/>
      <c r="H1" s="162"/>
      <c r="I1" s="162"/>
      <c r="J1" s="162"/>
    </row>
    <row r="2" spans="1:12" ht="15.75" x14ac:dyDescent="0.25">
      <c r="A2" s="163" t="s">
        <v>232</v>
      </c>
      <c r="B2" s="163"/>
      <c r="C2" s="163"/>
      <c r="D2" s="163"/>
      <c r="E2" s="163"/>
      <c r="F2" s="163"/>
      <c r="G2" s="163"/>
      <c r="H2" s="163"/>
      <c r="I2" s="163"/>
      <c r="J2" s="163"/>
    </row>
    <row r="3" spans="1:12" x14ac:dyDescent="0.25">
      <c r="A3" s="164" t="s">
        <v>224</v>
      </c>
      <c r="B3" s="164"/>
      <c r="C3" s="164"/>
      <c r="D3" s="164"/>
      <c r="E3" s="164"/>
      <c r="F3" s="164"/>
      <c r="G3" s="164"/>
      <c r="H3" s="164"/>
      <c r="I3" s="164"/>
      <c r="J3" s="164"/>
    </row>
    <row r="4" spans="1:12" x14ac:dyDescent="0.25">
      <c r="A4" s="165">
        <v>45199</v>
      </c>
      <c r="B4" s="165"/>
      <c r="C4" s="165"/>
      <c r="D4" s="165"/>
      <c r="E4" s="165"/>
      <c r="F4" s="165"/>
      <c r="G4" s="165"/>
      <c r="H4" s="165"/>
      <c r="I4" s="165"/>
      <c r="J4" s="165"/>
    </row>
    <row r="5" spans="1:12" ht="15.75" thickBot="1" x14ac:dyDescent="0.3"/>
    <row r="6" spans="1:12" ht="15.75" thickBot="1" x14ac:dyDescent="0.3">
      <c r="A6" s="150" t="s">
        <v>249</v>
      </c>
      <c r="B6" s="151"/>
      <c r="C6" s="151"/>
      <c r="D6" s="151"/>
      <c r="E6" s="151"/>
      <c r="F6" s="151"/>
      <c r="G6" s="151"/>
      <c r="H6" s="151"/>
      <c r="I6" s="151"/>
      <c r="J6" s="152"/>
    </row>
    <row r="7" spans="1:12" x14ac:dyDescent="0.25">
      <c r="A7" s="4" t="s">
        <v>16</v>
      </c>
      <c r="B7" s="5" t="s">
        <v>15</v>
      </c>
      <c r="C7" s="5" t="s">
        <v>14</v>
      </c>
      <c r="D7" s="5" t="s">
        <v>13</v>
      </c>
      <c r="E7" s="5" t="s">
        <v>12</v>
      </c>
      <c r="F7" s="5" t="s">
        <v>94</v>
      </c>
      <c r="G7" s="5" t="s">
        <v>95</v>
      </c>
      <c r="H7" s="5" t="s">
        <v>38</v>
      </c>
      <c r="I7" s="5" t="s">
        <v>9</v>
      </c>
      <c r="J7" s="5" t="s">
        <v>0</v>
      </c>
      <c r="L7" s="107"/>
    </row>
    <row r="8" spans="1:12" x14ac:dyDescent="0.25">
      <c r="A8" s="1" t="s">
        <v>49</v>
      </c>
      <c r="B8" s="33">
        <f>'Creve Coeur'!D7+CWE!D7+'Clinic 3'!B8+'Clinic 4'!B8+'Clinic 5'!B8+'Clinic 6'!B8+'Clinic 7'!B8+'Clinic 8'!B8+'Clinic 9'!B8+'Clinic 10'!B8+'Clinic 11'!B8+'Clinic 12'!B8+'Clinic 13'!B8+'Clinic 14'!B8+'Clinic 15'!B8</f>
        <v>0</v>
      </c>
      <c r="C8" s="33">
        <f>'Creve Coeur'!E7+CWE!E7+'Clinic 3'!C8+'Clinic 4'!C8+'Clinic 5'!C8+'Clinic 6'!C8+'Clinic 7'!C8+'Clinic 8'!C8+'Clinic 9'!C8+'Clinic 10'!C8+'Clinic 11'!C8+'Clinic 12'!C8+'Clinic 13'!C8+'Clinic 14'!C8+'Clinic 15'!C8</f>
        <v>0</v>
      </c>
      <c r="D8" s="33">
        <f>'Creve Coeur'!F7+CWE!F7+'Clinic 3'!D8+'Clinic 4'!D8+'Clinic 5'!D8+'Clinic 6'!D8+'Clinic 7'!D8+'Clinic 8'!D8+'Clinic 9'!D8+'Clinic 10'!D8+'Clinic 11'!D8+'Clinic 12'!D8+'Clinic 13'!D8+'Clinic 14'!D8+'Clinic 15'!D8</f>
        <v>0</v>
      </c>
      <c r="E8" s="33">
        <f>'Creve Coeur'!G7+CWE!G7+'Clinic 3'!E8+'Clinic 4'!E8+'Clinic 5'!E8+'Clinic 6'!E8+'Clinic 7'!E8+'Clinic 8'!E8+'Clinic 9'!E8+'Clinic 10'!E8+'Clinic 11'!E8+'Clinic 12'!E8+'Clinic 13'!E8+'Clinic 14'!E8+'Clinic 15'!E8</f>
        <v>0</v>
      </c>
      <c r="F8" s="33">
        <f>'Creve Coeur'!H7+CWE!H7+'Clinic 3'!F8+'Clinic 4'!F8+'Clinic 5'!F8+'Clinic 6'!F8+'Clinic 7'!F8+'Clinic 8'!F8+'Clinic 9'!F8+'Clinic 10'!F8+'Clinic 11'!F8+'Clinic 12'!F8+'Clinic 13'!F8+'Clinic 14'!F8+'Clinic 15'!F8</f>
        <v>0</v>
      </c>
      <c r="G8" s="33">
        <f>'Creve Coeur'!I7+CWE!I7+'Clinic 3'!G8+'Clinic 4'!G8+'Clinic 5'!G8+'Clinic 6'!G8+'Clinic 7'!G8+'Clinic 8'!G8+'Clinic 9'!G8+'Clinic 10'!G8+'Clinic 11'!G8+'Clinic 12'!G8+'Clinic 13'!G8+'Clinic 14'!G8+'Clinic 15'!G8</f>
        <v>0</v>
      </c>
      <c r="H8" s="33">
        <f>'Creve Coeur'!J7+CWE!J7+'Clinic 3'!H8+'Clinic 4'!H8+'Clinic 5'!H8+'Clinic 6'!H8+'Clinic 7'!H8+'Clinic 8'!H8+'Clinic 9'!H8+'Clinic 10'!H8+'Clinic 11'!H8+'Clinic 12'!H8+'Clinic 13'!H8+'Clinic 14'!H8+'Clinic 15'!H8</f>
        <v>0</v>
      </c>
      <c r="I8" s="33">
        <f>'Creve Coeur'!K7+CWE!K7+'Clinic 3'!I8+'Clinic 4'!I8+'Clinic 5'!I8+'Clinic 6'!I8+'Clinic 7'!I8+'Clinic 8'!I8+'Clinic 9'!I8+'Clinic 10'!I8+'Clinic 11'!I8+'Clinic 12'!I8+'Clinic 13'!I8+'Clinic 14'!I8+'Clinic 15'!I8</f>
        <v>0</v>
      </c>
      <c r="J8" s="2">
        <f>SUM(B8:I8)</f>
        <v>0</v>
      </c>
      <c r="L8" s="106"/>
    </row>
    <row r="9" spans="1:12" x14ac:dyDescent="0.25">
      <c r="A9" s="1" t="s">
        <v>8</v>
      </c>
      <c r="B9" s="33">
        <f>'Creve Coeur'!D8+CWE!D8+'Clinic 3'!B9+'Clinic 4'!B9+'Clinic 5'!B9+'Clinic 6'!B9+'Clinic 7'!B9+'Clinic 8'!B9+'Clinic 9'!B9+'Clinic 10'!B9+'Clinic 11'!B9+'Clinic 12'!B9+'Clinic 13'!B9+'Clinic 14'!B9+'Clinic 15'!B9</f>
        <v>0</v>
      </c>
      <c r="C9" s="33">
        <f>'Creve Coeur'!E8+CWE!E8+'Clinic 3'!C9+'Clinic 4'!C9+'Clinic 5'!C9+'Clinic 6'!C9+'Clinic 7'!C9+'Clinic 8'!C9+'Clinic 9'!C9+'Clinic 10'!C9+'Clinic 11'!C9+'Clinic 12'!C9+'Clinic 13'!C9+'Clinic 14'!C9+'Clinic 15'!C9</f>
        <v>0</v>
      </c>
      <c r="D9" s="33">
        <f>'Creve Coeur'!F8+CWE!F8+'Clinic 3'!D9+'Clinic 4'!D9+'Clinic 5'!D9+'Clinic 6'!D9+'Clinic 7'!D9+'Clinic 8'!D9+'Clinic 9'!D9+'Clinic 10'!D9+'Clinic 11'!D9+'Clinic 12'!D9+'Clinic 13'!D9+'Clinic 14'!D9+'Clinic 15'!D9</f>
        <v>0</v>
      </c>
      <c r="E9" s="33">
        <f>'Creve Coeur'!G8+CWE!G8+'Clinic 3'!E9+'Clinic 4'!E9+'Clinic 5'!E9+'Clinic 6'!E9+'Clinic 7'!E9+'Clinic 8'!E9+'Clinic 9'!E9+'Clinic 10'!E9+'Clinic 11'!E9+'Clinic 12'!E9+'Clinic 13'!E9+'Clinic 14'!E9+'Clinic 15'!E9</f>
        <v>0</v>
      </c>
      <c r="F9" s="33">
        <f>'Creve Coeur'!H8+CWE!H8+'Clinic 3'!F9+'Clinic 4'!F9+'Clinic 5'!F9+'Clinic 6'!F9+'Clinic 7'!F9+'Clinic 8'!F9+'Clinic 9'!F9+'Clinic 10'!F9+'Clinic 11'!F9+'Clinic 12'!F9+'Clinic 13'!F9+'Clinic 14'!F9+'Clinic 15'!F9</f>
        <v>0</v>
      </c>
      <c r="G9" s="33">
        <f>'Creve Coeur'!I8+CWE!I8+'Clinic 3'!G9+'Clinic 4'!G9+'Clinic 5'!G9+'Clinic 6'!G9+'Clinic 7'!G9+'Clinic 8'!G9+'Clinic 9'!G9+'Clinic 10'!G9+'Clinic 11'!G9+'Clinic 12'!G9+'Clinic 13'!G9+'Clinic 14'!G9+'Clinic 15'!G9</f>
        <v>0</v>
      </c>
      <c r="H9" s="33">
        <f>'Creve Coeur'!J8+CWE!J8+'Clinic 3'!H9+'Clinic 4'!H9+'Clinic 5'!H9+'Clinic 6'!H9+'Clinic 7'!H9+'Clinic 8'!H9+'Clinic 9'!H9+'Clinic 10'!H9+'Clinic 11'!H9+'Clinic 12'!H9+'Clinic 13'!H9+'Clinic 14'!H9+'Clinic 15'!H9</f>
        <v>0</v>
      </c>
      <c r="I9" s="33">
        <f>'Creve Coeur'!K8+CWE!K8+'Clinic 3'!I9+'Clinic 4'!I9+'Clinic 5'!I9+'Clinic 6'!I9+'Clinic 7'!I9+'Clinic 8'!I9+'Clinic 9'!I9+'Clinic 10'!I9+'Clinic 11'!I9+'Clinic 12'!I9+'Clinic 13'!I9+'Clinic 14'!I9+'Clinic 15'!I9</f>
        <v>-501.87</v>
      </c>
      <c r="J9" s="2">
        <f t="shared" ref="J9:J24" si="0">SUM(B9:I9)</f>
        <v>-501.87</v>
      </c>
      <c r="L9" s="106"/>
    </row>
    <row r="10" spans="1:12" x14ac:dyDescent="0.25">
      <c r="A10" s="1" t="s">
        <v>7</v>
      </c>
      <c r="B10" s="33">
        <f>'Creve Coeur'!D9+CWE!D9+'Clinic 3'!B10+'Clinic 4'!B10+'Clinic 5'!B10+'Clinic 6'!B10+'Clinic 7'!B10+'Clinic 8'!B10+'Clinic 9'!B10+'Clinic 10'!B10+'Clinic 11'!B10+'Clinic 12'!B10+'Clinic 13'!B10+'Clinic 14'!B10+'Clinic 15'!B10</f>
        <v>0</v>
      </c>
      <c r="C10" s="33">
        <f>'Creve Coeur'!E9+CWE!E9+'Clinic 3'!C10+'Clinic 4'!C10+'Clinic 5'!C10+'Clinic 6'!C10+'Clinic 7'!C10+'Clinic 8'!C10+'Clinic 9'!C10+'Clinic 10'!C10+'Clinic 11'!C10+'Clinic 12'!C10+'Clinic 13'!C10+'Clinic 14'!C10+'Clinic 15'!C10</f>
        <v>0</v>
      </c>
      <c r="D10" s="33">
        <f>'Creve Coeur'!F9+CWE!F9+'Clinic 3'!D10+'Clinic 4'!D10+'Clinic 5'!D10+'Clinic 6'!D10+'Clinic 7'!D10+'Clinic 8'!D10+'Clinic 9'!D10+'Clinic 10'!D10+'Clinic 11'!D10+'Clinic 12'!D10+'Clinic 13'!D10+'Clinic 14'!D10+'Clinic 15'!D10</f>
        <v>0</v>
      </c>
      <c r="E10" s="33">
        <f>'Creve Coeur'!G9+CWE!G9+'Clinic 3'!E10+'Clinic 4'!E10+'Clinic 5'!E10+'Clinic 6'!E10+'Clinic 7'!E10+'Clinic 8'!E10+'Clinic 9'!E10+'Clinic 10'!E10+'Clinic 11'!E10+'Clinic 12'!E10+'Clinic 13'!E10+'Clinic 14'!E10+'Clinic 15'!E10</f>
        <v>0</v>
      </c>
      <c r="F10" s="33">
        <f>'Creve Coeur'!H9+CWE!H9+'Clinic 3'!F10+'Clinic 4'!F10+'Clinic 5'!F10+'Clinic 6'!F10+'Clinic 7'!F10+'Clinic 8'!F10+'Clinic 9'!F10+'Clinic 10'!F10+'Clinic 11'!F10+'Clinic 12'!F10+'Clinic 13'!F10+'Clinic 14'!F10+'Clinic 15'!F10</f>
        <v>0</v>
      </c>
      <c r="G10" s="33">
        <f>'Creve Coeur'!I9+CWE!I9+'Clinic 3'!G10+'Clinic 4'!G10+'Clinic 5'!G10+'Clinic 6'!G10+'Clinic 7'!G10+'Clinic 8'!G10+'Clinic 9'!G10+'Clinic 10'!G10+'Clinic 11'!G10+'Clinic 12'!G10+'Clinic 13'!G10+'Clinic 14'!G10+'Clinic 15'!G10</f>
        <v>0</v>
      </c>
      <c r="H10" s="33">
        <f>'Creve Coeur'!J9+CWE!J9+'Clinic 3'!H10+'Clinic 4'!H10+'Clinic 5'!H10+'Clinic 6'!H10+'Clinic 7'!H10+'Clinic 8'!H10+'Clinic 9'!H10+'Clinic 10'!H10+'Clinic 11'!H10+'Clinic 12'!H10+'Clinic 13'!H10+'Clinic 14'!H10+'Clinic 15'!H10</f>
        <v>0</v>
      </c>
      <c r="I10" s="33">
        <f>'Creve Coeur'!K9+CWE!K9+'Clinic 3'!I10+'Clinic 4'!I10+'Clinic 5'!I10+'Clinic 6'!I10+'Clinic 7'!I10+'Clinic 8'!I10+'Clinic 9'!I10+'Clinic 10'!I10+'Clinic 11'!I10+'Clinic 12'!I10+'Clinic 13'!I10+'Clinic 14'!I10+'Clinic 15'!I10</f>
        <v>-261.87</v>
      </c>
      <c r="J10" s="2">
        <f t="shared" si="0"/>
        <v>-261.87</v>
      </c>
      <c r="L10" s="106"/>
    </row>
    <row r="11" spans="1:12" x14ac:dyDescent="0.25">
      <c r="A11" s="1" t="s">
        <v>42</v>
      </c>
      <c r="B11" s="33">
        <f>'Creve Coeur'!D10+CWE!D10+'Clinic 3'!B11+'Clinic 4'!B11+'Clinic 5'!B11+'Clinic 6'!B11+'Clinic 7'!B11+'Clinic 8'!B11+'Clinic 9'!B11+'Clinic 10'!B11+'Clinic 11'!B11+'Clinic 12'!B11+'Clinic 13'!B11+'Clinic 14'!B11+'Clinic 15'!B11</f>
        <v>0</v>
      </c>
      <c r="C11" s="33">
        <f>'Creve Coeur'!E10+CWE!E10+'Clinic 3'!C11+'Clinic 4'!C11+'Clinic 5'!C11+'Clinic 6'!C11+'Clinic 7'!C11+'Clinic 8'!C11+'Clinic 9'!C11+'Clinic 10'!C11+'Clinic 11'!C11+'Clinic 12'!C11+'Clinic 13'!C11+'Clinic 14'!C11+'Clinic 15'!C11</f>
        <v>0</v>
      </c>
      <c r="D11" s="33">
        <f>'Creve Coeur'!F10+CWE!F10+'Clinic 3'!D11+'Clinic 4'!D11+'Clinic 5'!D11+'Clinic 6'!D11+'Clinic 7'!D11+'Clinic 8'!D11+'Clinic 9'!D11+'Clinic 10'!D11+'Clinic 11'!D11+'Clinic 12'!D11+'Clinic 13'!D11+'Clinic 14'!D11+'Clinic 15'!D11</f>
        <v>0</v>
      </c>
      <c r="E11" s="33">
        <f>'Creve Coeur'!G10+CWE!G10+'Clinic 3'!E11+'Clinic 4'!E11+'Clinic 5'!E11+'Clinic 6'!E11+'Clinic 7'!E11+'Clinic 8'!E11+'Clinic 9'!E11+'Clinic 10'!E11+'Clinic 11'!E11+'Clinic 12'!E11+'Clinic 13'!E11+'Clinic 14'!E11+'Clinic 15'!E11</f>
        <v>0</v>
      </c>
      <c r="F11" s="33">
        <f>'Creve Coeur'!H10+CWE!H10+'Clinic 3'!F11+'Clinic 4'!F11+'Clinic 5'!F11+'Clinic 6'!F11+'Clinic 7'!F11+'Clinic 8'!F11+'Clinic 9'!F11+'Clinic 10'!F11+'Clinic 11'!F11+'Clinic 12'!F11+'Clinic 13'!F11+'Clinic 14'!F11+'Clinic 15'!F11</f>
        <v>0</v>
      </c>
      <c r="G11" s="33">
        <f>'Creve Coeur'!I10+CWE!I10+'Clinic 3'!G11+'Clinic 4'!G11+'Clinic 5'!G11+'Clinic 6'!G11+'Clinic 7'!G11+'Clinic 8'!G11+'Clinic 9'!G11+'Clinic 10'!G11+'Clinic 11'!G11+'Clinic 12'!G11+'Clinic 13'!G11+'Clinic 14'!G11+'Clinic 15'!G11</f>
        <v>0</v>
      </c>
      <c r="H11" s="33">
        <f>'Creve Coeur'!J10+CWE!J10+'Clinic 3'!H11+'Clinic 4'!H11+'Clinic 5'!H11+'Clinic 6'!H11+'Clinic 7'!H11+'Clinic 8'!H11+'Clinic 9'!H11+'Clinic 10'!H11+'Clinic 11'!H11+'Clinic 12'!H11+'Clinic 13'!H11+'Clinic 14'!H11+'Clinic 15'!H11</f>
        <v>0</v>
      </c>
      <c r="I11" s="33">
        <f>'Creve Coeur'!K10+CWE!K10+'Clinic 3'!I11+'Clinic 4'!I11+'Clinic 5'!I11+'Clinic 6'!I11+'Clinic 7'!I11+'Clinic 8'!I11+'Clinic 9'!I11+'Clinic 10'!I11+'Clinic 11'!I11+'Clinic 12'!I11+'Clinic 13'!I11+'Clinic 14'!I11+'Clinic 15'!I11</f>
        <v>0</v>
      </c>
      <c r="J11" s="2">
        <f t="shared" si="0"/>
        <v>0</v>
      </c>
      <c r="L11" s="106"/>
    </row>
    <row r="12" spans="1:12" x14ac:dyDescent="0.25">
      <c r="A12" s="1" t="s">
        <v>6</v>
      </c>
      <c r="B12" s="33">
        <f>'Creve Coeur'!D11+CWE!D11+'Clinic 3'!B12+'Clinic 4'!B12+'Clinic 5'!B12+'Clinic 6'!B12+'Clinic 7'!B12+'Clinic 8'!B12+'Clinic 9'!B12+'Clinic 10'!B12+'Clinic 11'!B12+'Clinic 12'!B12+'Clinic 13'!B12+'Clinic 14'!B12+'Clinic 15'!B12</f>
        <v>0</v>
      </c>
      <c r="C12" s="33">
        <f>'Creve Coeur'!E11+CWE!E11+'Clinic 3'!C12+'Clinic 4'!C12+'Clinic 5'!C12+'Clinic 6'!C12+'Clinic 7'!C12+'Clinic 8'!C12+'Clinic 9'!C12+'Clinic 10'!C12+'Clinic 11'!C12+'Clinic 12'!C12+'Clinic 13'!C12+'Clinic 14'!C12+'Clinic 15'!C12</f>
        <v>0</v>
      </c>
      <c r="D12" s="33">
        <f>'Creve Coeur'!F11+CWE!F11+'Clinic 3'!D12+'Clinic 4'!D12+'Clinic 5'!D12+'Clinic 6'!D12+'Clinic 7'!D12+'Clinic 8'!D12+'Clinic 9'!D12+'Clinic 10'!D12+'Clinic 11'!D12+'Clinic 12'!D12+'Clinic 13'!D12+'Clinic 14'!D12+'Clinic 15'!D12</f>
        <v>0</v>
      </c>
      <c r="E12" s="33">
        <f>'Creve Coeur'!G11+CWE!G11+'Clinic 3'!E12+'Clinic 4'!E12+'Clinic 5'!E12+'Clinic 6'!E12+'Clinic 7'!E12+'Clinic 8'!E12+'Clinic 9'!E12+'Clinic 10'!E12+'Clinic 11'!E12+'Clinic 12'!E12+'Clinic 13'!E12+'Clinic 14'!E12+'Clinic 15'!E12</f>
        <v>0</v>
      </c>
      <c r="F12" s="33">
        <f>'Creve Coeur'!H11+CWE!H11+'Clinic 3'!F12+'Clinic 4'!F12+'Clinic 5'!F12+'Clinic 6'!F12+'Clinic 7'!F12+'Clinic 8'!F12+'Clinic 9'!F12+'Clinic 10'!F12+'Clinic 11'!F12+'Clinic 12'!F12+'Clinic 13'!F12+'Clinic 14'!F12+'Clinic 15'!F12</f>
        <v>0</v>
      </c>
      <c r="G12" s="33">
        <f>'Creve Coeur'!I11+CWE!I11+'Clinic 3'!G12+'Clinic 4'!G12+'Clinic 5'!G12+'Clinic 6'!G12+'Clinic 7'!G12+'Clinic 8'!G12+'Clinic 9'!G12+'Clinic 10'!G12+'Clinic 11'!G12+'Clinic 12'!G12+'Clinic 13'!G12+'Clinic 14'!G12+'Clinic 15'!G12</f>
        <v>0</v>
      </c>
      <c r="H12" s="33">
        <f>'Creve Coeur'!J11+CWE!J11+'Clinic 3'!H12+'Clinic 4'!H12+'Clinic 5'!H12+'Clinic 6'!H12+'Clinic 7'!H12+'Clinic 8'!H12+'Clinic 9'!H12+'Clinic 10'!H12+'Clinic 11'!H12+'Clinic 12'!H12+'Clinic 13'!H12+'Clinic 14'!H12+'Clinic 15'!H12</f>
        <v>0</v>
      </c>
      <c r="I12" s="33">
        <f>'Creve Coeur'!K11+CWE!K11+'Clinic 3'!I12+'Clinic 4'!I12+'Clinic 5'!I12+'Clinic 6'!I12+'Clinic 7'!I12+'Clinic 8'!I12+'Clinic 9'!I12+'Clinic 10'!I12+'Clinic 11'!I12+'Clinic 12'!I12+'Clinic 13'!I12+'Clinic 14'!I12+'Clinic 15'!I12</f>
        <v>-2273.2600000000007</v>
      </c>
      <c r="J12" s="2">
        <f t="shared" si="0"/>
        <v>-2273.2600000000007</v>
      </c>
      <c r="L12" s="106"/>
    </row>
    <row r="13" spans="1:12" x14ac:dyDescent="0.25">
      <c r="A13" s="1" t="s">
        <v>50</v>
      </c>
      <c r="B13" s="33">
        <f>'Creve Coeur'!D12+CWE!D12+'Clinic 3'!B13+'Clinic 4'!B13+'Clinic 5'!B13+'Clinic 6'!B13+'Clinic 7'!B13+'Clinic 8'!B13+'Clinic 9'!B13+'Clinic 10'!B13+'Clinic 11'!B13+'Clinic 12'!B13+'Clinic 13'!B13+'Clinic 14'!B13+'Clinic 15'!B13</f>
        <v>0</v>
      </c>
      <c r="C13" s="33">
        <f>'Creve Coeur'!E12+CWE!E12+'Clinic 3'!C13+'Clinic 4'!C13+'Clinic 5'!C13+'Clinic 6'!C13+'Clinic 7'!C13+'Clinic 8'!C13+'Clinic 9'!C13+'Clinic 10'!C13+'Clinic 11'!C13+'Clinic 12'!C13+'Clinic 13'!C13+'Clinic 14'!C13+'Clinic 15'!C13</f>
        <v>0</v>
      </c>
      <c r="D13" s="33">
        <f>'Creve Coeur'!F12+CWE!F12+'Clinic 3'!D13+'Clinic 4'!D13+'Clinic 5'!D13+'Clinic 6'!D13+'Clinic 7'!D13+'Clinic 8'!D13+'Clinic 9'!D13+'Clinic 10'!D13+'Clinic 11'!D13+'Clinic 12'!D13+'Clinic 13'!D13+'Clinic 14'!D13+'Clinic 15'!D13</f>
        <v>0</v>
      </c>
      <c r="E13" s="33">
        <f>'Creve Coeur'!G12+CWE!G12+'Clinic 3'!E13+'Clinic 4'!E13+'Clinic 5'!E13+'Clinic 6'!E13+'Clinic 7'!E13+'Clinic 8'!E13+'Clinic 9'!E13+'Clinic 10'!E13+'Clinic 11'!E13+'Clinic 12'!E13+'Clinic 13'!E13+'Clinic 14'!E13+'Clinic 15'!E13</f>
        <v>0</v>
      </c>
      <c r="F13" s="33">
        <f>'Creve Coeur'!H12+CWE!H12+'Clinic 3'!F13+'Clinic 4'!F13+'Clinic 5'!F13+'Clinic 6'!F13+'Clinic 7'!F13+'Clinic 8'!F13+'Clinic 9'!F13+'Clinic 10'!F13+'Clinic 11'!F13+'Clinic 12'!F13+'Clinic 13'!F13+'Clinic 14'!F13+'Clinic 15'!F13</f>
        <v>0</v>
      </c>
      <c r="G13" s="33">
        <f>'Creve Coeur'!I12+CWE!I12+'Clinic 3'!G13+'Clinic 4'!G13+'Clinic 5'!G13+'Clinic 6'!G13+'Clinic 7'!G13+'Clinic 8'!G13+'Clinic 9'!G13+'Clinic 10'!G13+'Clinic 11'!G13+'Clinic 12'!G13+'Clinic 13'!G13+'Clinic 14'!G13+'Clinic 15'!G13</f>
        <v>0</v>
      </c>
      <c r="H13" s="33">
        <f>'Creve Coeur'!J12+CWE!J12+'Clinic 3'!H13+'Clinic 4'!H13+'Clinic 5'!H13+'Clinic 6'!H13+'Clinic 7'!H13+'Clinic 8'!H13+'Clinic 9'!H13+'Clinic 10'!H13+'Clinic 11'!H13+'Clinic 12'!H13+'Clinic 13'!H13+'Clinic 14'!H13+'Clinic 15'!H13</f>
        <v>0</v>
      </c>
      <c r="I13" s="33">
        <f>'Creve Coeur'!K12+CWE!K12+'Clinic 3'!I13+'Clinic 4'!I13+'Clinic 5'!I13+'Clinic 6'!I13+'Clinic 7'!I13+'Clinic 8'!I13+'Clinic 9'!I13+'Clinic 10'!I13+'Clinic 11'!I13+'Clinic 12'!I13+'Clinic 13'!I13+'Clinic 14'!I13+'Clinic 15'!I13</f>
        <v>0</v>
      </c>
      <c r="J13" s="2">
        <f t="shared" si="0"/>
        <v>0</v>
      </c>
      <c r="L13" s="106"/>
    </row>
    <row r="14" spans="1:12" x14ac:dyDescent="0.25">
      <c r="A14" s="1" t="s">
        <v>89</v>
      </c>
      <c r="B14" s="33">
        <f>'Creve Coeur'!D13+CWE!D13+'Clinic 3'!B14+'Clinic 4'!B14+'Clinic 5'!B14+'Clinic 6'!B14+'Clinic 7'!B14+'Clinic 8'!B14+'Clinic 9'!B14+'Clinic 10'!B14+'Clinic 11'!B14+'Clinic 12'!B14+'Clinic 13'!B14+'Clinic 14'!B14+'Clinic 15'!B14</f>
        <v>0</v>
      </c>
      <c r="C14" s="33">
        <f>'Creve Coeur'!E13+CWE!E13+'Clinic 3'!C14+'Clinic 4'!C14+'Clinic 5'!C14+'Clinic 6'!C14+'Clinic 7'!C14+'Clinic 8'!C14+'Clinic 9'!C14+'Clinic 10'!C14+'Clinic 11'!C14+'Clinic 12'!C14+'Clinic 13'!C14+'Clinic 14'!C14+'Clinic 15'!C14</f>
        <v>0</v>
      </c>
      <c r="D14" s="33">
        <f>'Creve Coeur'!F13+CWE!F13+'Clinic 3'!D14+'Clinic 4'!D14+'Clinic 5'!D14+'Clinic 6'!D14+'Clinic 7'!D14+'Clinic 8'!D14+'Clinic 9'!D14+'Clinic 10'!D14+'Clinic 11'!D14+'Clinic 12'!D14+'Clinic 13'!D14+'Clinic 14'!D14+'Clinic 15'!D14</f>
        <v>0</v>
      </c>
      <c r="E14" s="33">
        <f>'Creve Coeur'!G13+CWE!G13+'Clinic 3'!E14+'Clinic 4'!E14+'Clinic 5'!E14+'Clinic 6'!E14+'Clinic 7'!E14+'Clinic 8'!E14+'Clinic 9'!E14+'Clinic 10'!E14+'Clinic 11'!E14+'Clinic 12'!E14+'Clinic 13'!E14+'Clinic 14'!E14+'Clinic 15'!E14</f>
        <v>0</v>
      </c>
      <c r="F14" s="33">
        <f>'Creve Coeur'!H13+CWE!H13+'Clinic 3'!F14+'Clinic 4'!F14+'Clinic 5'!F14+'Clinic 6'!F14+'Clinic 7'!F14+'Clinic 8'!F14+'Clinic 9'!F14+'Clinic 10'!F14+'Clinic 11'!F14+'Clinic 12'!F14+'Clinic 13'!F14+'Clinic 14'!F14+'Clinic 15'!F14</f>
        <v>0</v>
      </c>
      <c r="G14" s="33">
        <f>'Creve Coeur'!I13+CWE!I13+'Clinic 3'!G14+'Clinic 4'!G14+'Clinic 5'!G14+'Clinic 6'!G14+'Clinic 7'!G14+'Clinic 8'!G14+'Clinic 9'!G14+'Clinic 10'!G14+'Clinic 11'!G14+'Clinic 12'!G14+'Clinic 13'!G14+'Clinic 14'!G14+'Clinic 15'!G14</f>
        <v>0</v>
      </c>
      <c r="H14" s="33">
        <f>'Creve Coeur'!J13+CWE!J13+'Clinic 3'!H14+'Clinic 4'!H14+'Clinic 5'!H14+'Clinic 6'!H14+'Clinic 7'!H14+'Clinic 8'!H14+'Clinic 9'!H14+'Clinic 10'!H14+'Clinic 11'!H14+'Clinic 12'!H14+'Clinic 13'!H14+'Clinic 14'!H14+'Clinic 15'!H14</f>
        <v>0</v>
      </c>
      <c r="I14" s="33">
        <f>'Creve Coeur'!K13+CWE!K13+'Clinic 3'!I14+'Clinic 4'!I14+'Clinic 5'!I14+'Clinic 6'!I14+'Clinic 7'!I14+'Clinic 8'!I14+'Clinic 9'!I14+'Clinic 10'!I14+'Clinic 11'!I14+'Clinic 12'!I14+'Clinic 13'!I14+'Clinic 14'!I14+'Clinic 15'!I14</f>
        <v>0</v>
      </c>
      <c r="J14" s="2">
        <f t="shared" si="0"/>
        <v>0</v>
      </c>
      <c r="L14" s="106"/>
    </row>
    <row r="15" spans="1:12" x14ac:dyDescent="0.25">
      <c r="A15" s="1" t="s">
        <v>5</v>
      </c>
      <c r="B15" s="33">
        <f>'Creve Coeur'!D14+CWE!D14+'Clinic 3'!B15+'Clinic 4'!B15+'Clinic 5'!B15+'Clinic 6'!B15+'Clinic 7'!B15+'Clinic 8'!B15+'Clinic 9'!B15+'Clinic 10'!B15+'Clinic 11'!B15+'Clinic 12'!B15+'Clinic 13'!B15+'Clinic 14'!B15+'Clinic 15'!B15</f>
        <v>0</v>
      </c>
      <c r="C15" s="33">
        <f>'Creve Coeur'!E14+CWE!E14+'Clinic 3'!C15+'Clinic 4'!C15+'Clinic 5'!C15+'Clinic 6'!C15+'Clinic 7'!C15+'Clinic 8'!C15+'Clinic 9'!C15+'Clinic 10'!C15+'Clinic 11'!C15+'Clinic 12'!C15+'Clinic 13'!C15+'Clinic 14'!C15+'Clinic 15'!C15</f>
        <v>0</v>
      </c>
      <c r="D15" s="33">
        <f>'Creve Coeur'!F14+CWE!F14+'Clinic 3'!D15+'Clinic 4'!D15+'Clinic 5'!D15+'Clinic 6'!D15+'Clinic 7'!D15+'Clinic 8'!D15+'Clinic 9'!D15+'Clinic 10'!D15+'Clinic 11'!D15+'Clinic 12'!D15+'Clinic 13'!D15+'Clinic 14'!D15+'Clinic 15'!D15</f>
        <v>0</v>
      </c>
      <c r="E15" s="33">
        <f>'Creve Coeur'!G14+CWE!G14+'Clinic 3'!E15+'Clinic 4'!E15+'Clinic 5'!E15+'Clinic 6'!E15+'Clinic 7'!E15+'Clinic 8'!E15+'Clinic 9'!E15+'Clinic 10'!E15+'Clinic 11'!E15+'Clinic 12'!E15+'Clinic 13'!E15+'Clinic 14'!E15+'Clinic 15'!E15</f>
        <v>0</v>
      </c>
      <c r="F15" s="33">
        <f>'Creve Coeur'!H14+CWE!H14+'Clinic 3'!F15+'Clinic 4'!F15+'Clinic 5'!F15+'Clinic 6'!F15+'Clinic 7'!F15+'Clinic 8'!F15+'Clinic 9'!F15+'Clinic 10'!F15+'Clinic 11'!F15+'Clinic 12'!F15+'Clinic 13'!F15+'Clinic 14'!F15+'Clinic 15'!F15</f>
        <v>0</v>
      </c>
      <c r="G15" s="33">
        <f>'Creve Coeur'!I14+CWE!I14+'Clinic 3'!G15+'Clinic 4'!G15+'Clinic 5'!G15+'Clinic 6'!G15+'Clinic 7'!G15+'Clinic 8'!G15+'Clinic 9'!G15+'Clinic 10'!G15+'Clinic 11'!G15+'Clinic 12'!G15+'Clinic 13'!G15+'Clinic 14'!G15+'Clinic 15'!G15</f>
        <v>0</v>
      </c>
      <c r="H15" s="33">
        <f>'Creve Coeur'!J14+CWE!J14+'Clinic 3'!H15+'Clinic 4'!H15+'Clinic 5'!H15+'Clinic 6'!H15+'Clinic 7'!H15+'Clinic 8'!H15+'Clinic 9'!H15+'Clinic 10'!H15+'Clinic 11'!H15+'Clinic 12'!H15+'Clinic 13'!H15+'Clinic 14'!H15+'Clinic 15'!H15</f>
        <v>0</v>
      </c>
      <c r="I15" s="33">
        <f>'Creve Coeur'!K14+CWE!K14+'Clinic 3'!I15+'Clinic 4'!I15+'Clinic 5'!I15+'Clinic 6'!I15+'Clinic 7'!I15+'Clinic 8'!I15+'Clinic 9'!I15+'Clinic 10'!I15+'Clinic 11'!I15+'Clinic 12'!I15+'Clinic 13'!I15+'Clinic 14'!I15+'Clinic 15'!I15</f>
        <v>0</v>
      </c>
      <c r="J15" s="2">
        <f t="shared" si="0"/>
        <v>0</v>
      </c>
      <c r="L15" s="106"/>
    </row>
    <row r="16" spans="1:12" x14ac:dyDescent="0.25">
      <c r="A16" s="1" t="s">
        <v>84</v>
      </c>
      <c r="B16" s="33">
        <f>'Creve Coeur'!D15+CWE!D15+'Clinic 3'!B16+'Clinic 4'!B16+'Clinic 5'!B16+'Clinic 6'!B16+'Clinic 7'!B16+'Clinic 8'!B16+'Clinic 9'!B16+'Clinic 10'!B16+'Clinic 11'!B16+'Clinic 12'!B16+'Clinic 13'!B16+'Clinic 14'!B16+'Clinic 15'!B16</f>
        <v>0</v>
      </c>
      <c r="C16" s="33">
        <f>'Creve Coeur'!E15+CWE!E15+'Clinic 3'!C16+'Clinic 4'!C16+'Clinic 5'!C16+'Clinic 6'!C16+'Clinic 7'!C16+'Clinic 8'!C16+'Clinic 9'!C16+'Clinic 10'!C16+'Clinic 11'!C16+'Clinic 12'!C16+'Clinic 13'!C16+'Clinic 14'!C16+'Clinic 15'!C16</f>
        <v>0</v>
      </c>
      <c r="D16" s="33">
        <f>'Creve Coeur'!F15+CWE!F15+'Clinic 3'!D16+'Clinic 4'!D16+'Clinic 5'!D16+'Clinic 6'!D16+'Clinic 7'!D16+'Clinic 8'!D16+'Clinic 9'!D16+'Clinic 10'!D16+'Clinic 11'!D16+'Clinic 12'!D16+'Clinic 13'!D16+'Clinic 14'!D16+'Clinic 15'!D16</f>
        <v>0</v>
      </c>
      <c r="E16" s="33">
        <f>'Creve Coeur'!G15+CWE!G15+'Clinic 3'!E16+'Clinic 4'!E16+'Clinic 5'!E16+'Clinic 6'!E16+'Clinic 7'!E16+'Clinic 8'!E16+'Clinic 9'!E16+'Clinic 10'!E16+'Clinic 11'!E16+'Clinic 12'!E16+'Clinic 13'!E16+'Clinic 14'!E16+'Clinic 15'!E16</f>
        <v>0</v>
      </c>
      <c r="F16" s="33">
        <f>'Creve Coeur'!H15+CWE!H15+'Clinic 3'!F16+'Clinic 4'!F16+'Clinic 5'!F16+'Clinic 6'!F16+'Clinic 7'!F16+'Clinic 8'!F16+'Clinic 9'!F16+'Clinic 10'!F16+'Clinic 11'!F16+'Clinic 12'!F16+'Clinic 13'!F16+'Clinic 14'!F16+'Clinic 15'!F16</f>
        <v>0</v>
      </c>
      <c r="G16" s="33">
        <f>'Creve Coeur'!I15+CWE!I15+'Clinic 3'!G16+'Clinic 4'!G16+'Clinic 5'!G16+'Clinic 6'!G16+'Clinic 7'!G16+'Clinic 8'!G16+'Clinic 9'!G16+'Clinic 10'!G16+'Clinic 11'!G16+'Clinic 12'!G16+'Clinic 13'!G16+'Clinic 14'!G16+'Clinic 15'!G16</f>
        <v>0</v>
      </c>
      <c r="H16" s="33">
        <f>'Creve Coeur'!J15+CWE!J15+'Clinic 3'!H16+'Clinic 4'!H16+'Clinic 5'!H16+'Clinic 6'!H16+'Clinic 7'!H16+'Clinic 8'!H16+'Clinic 9'!H16+'Clinic 10'!H16+'Clinic 11'!H16+'Clinic 12'!H16+'Clinic 13'!H16+'Clinic 14'!H16+'Clinic 15'!H16</f>
        <v>0</v>
      </c>
      <c r="I16" s="33">
        <f>'Creve Coeur'!K15+CWE!K15+'Clinic 3'!I16+'Clinic 4'!I16+'Clinic 5'!I16+'Clinic 6'!I16+'Clinic 7'!I16+'Clinic 8'!I16+'Clinic 9'!I16+'Clinic 10'!I16+'Clinic 11'!I16+'Clinic 12'!I16+'Clinic 13'!I16+'Clinic 14'!I16+'Clinic 15'!I16</f>
        <v>-13.600000000000001</v>
      </c>
      <c r="J16" s="2">
        <f t="shared" si="0"/>
        <v>-13.600000000000001</v>
      </c>
      <c r="L16" s="106"/>
    </row>
    <row r="17" spans="1:13" x14ac:dyDescent="0.25">
      <c r="A17" s="1" t="s">
        <v>4</v>
      </c>
      <c r="B17" s="33">
        <f>'Creve Coeur'!D16+CWE!D16+'Clinic 3'!B17+'Clinic 4'!B17+'Clinic 5'!B17+'Clinic 6'!B17+'Clinic 7'!B17+'Clinic 8'!B17+'Clinic 9'!B17+'Clinic 10'!B17+'Clinic 11'!B17+'Clinic 12'!B17+'Clinic 13'!B17+'Clinic 14'!B17+'Clinic 15'!B17</f>
        <v>0</v>
      </c>
      <c r="C17" s="33">
        <f>'Creve Coeur'!E16+CWE!E16+'Clinic 3'!C17+'Clinic 4'!C17+'Clinic 5'!C17+'Clinic 6'!C17+'Clinic 7'!C17+'Clinic 8'!C17+'Clinic 9'!C17+'Clinic 10'!C17+'Clinic 11'!C17+'Clinic 12'!C17+'Clinic 13'!C17+'Clinic 14'!C17+'Clinic 15'!C17</f>
        <v>0</v>
      </c>
      <c r="D17" s="33">
        <f>'Creve Coeur'!F16+CWE!F16+'Clinic 3'!D17+'Clinic 4'!D17+'Clinic 5'!D17+'Clinic 6'!D17+'Clinic 7'!D17+'Clinic 8'!D17+'Clinic 9'!D17+'Clinic 10'!D17+'Clinic 11'!D17+'Clinic 12'!D17+'Clinic 13'!D17+'Clinic 14'!D17+'Clinic 15'!D17</f>
        <v>0</v>
      </c>
      <c r="E17" s="33">
        <f>'Creve Coeur'!G16+CWE!G16+'Clinic 3'!E17+'Clinic 4'!E17+'Clinic 5'!E17+'Clinic 6'!E17+'Clinic 7'!E17+'Clinic 8'!E17+'Clinic 9'!E17+'Clinic 10'!E17+'Clinic 11'!E17+'Clinic 12'!E17+'Clinic 13'!E17+'Clinic 14'!E17+'Clinic 15'!E17</f>
        <v>0</v>
      </c>
      <c r="F17" s="33">
        <f>'Creve Coeur'!H16+CWE!H16+'Clinic 3'!F17+'Clinic 4'!F17+'Clinic 5'!F17+'Clinic 6'!F17+'Clinic 7'!F17+'Clinic 8'!F17+'Clinic 9'!F17+'Clinic 10'!F17+'Clinic 11'!F17+'Clinic 12'!F17+'Clinic 13'!F17+'Clinic 14'!F17+'Clinic 15'!F17</f>
        <v>0</v>
      </c>
      <c r="G17" s="33">
        <f>'Creve Coeur'!I16+CWE!I16+'Clinic 3'!G17+'Clinic 4'!G17+'Clinic 5'!G17+'Clinic 6'!G17+'Clinic 7'!G17+'Clinic 8'!G17+'Clinic 9'!G17+'Clinic 10'!G17+'Clinic 11'!G17+'Clinic 12'!G17+'Clinic 13'!G17+'Clinic 14'!G17+'Clinic 15'!G17</f>
        <v>0</v>
      </c>
      <c r="H17" s="33">
        <f>'Creve Coeur'!J16+CWE!J16+'Clinic 3'!H17+'Clinic 4'!H17+'Clinic 5'!H17+'Clinic 6'!H17+'Clinic 7'!H17+'Clinic 8'!H17+'Clinic 9'!H17+'Clinic 10'!H17+'Clinic 11'!H17+'Clinic 12'!H17+'Clinic 13'!H17+'Clinic 14'!H17+'Clinic 15'!H17</f>
        <v>0</v>
      </c>
      <c r="I17" s="33">
        <f>'Creve Coeur'!K16+CWE!K16+'Clinic 3'!I17+'Clinic 4'!I17+'Clinic 5'!I17+'Clinic 6'!I17+'Clinic 7'!I17+'Clinic 8'!I17+'Clinic 9'!I17+'Clinic 10'!I17+'Clinic 11'!I17+'Clinic 12'!I17+'Clinic 13'!I17+'Clinic 14'!I17+'Clinic 15'!I17</f>
        <v>-233.56000000000003</v>
      </c>
      <c r="J17" s="2">
        <f t="shared" si="0"/>
        <v>-233.56000000000003</v>
      </c>
      <c r="L17" s="106"/>
    </row>
    <row r="18" spans="1:13" x14ac:dyDescent="0.25">
      <c r="A18" s="1" t="s">
        <v>51</v>
      </c>
      <c r="B18" s="33">
        <f>'Creve Coeur'!D17+CWE!D17+'Clinic 3'!B18+'Clinic 4'!B18+'Clinic 5'!B18+'Clinic 6'!B18+'Clinic 7'!B18+'Clinic 8'!B18+'Clinic 9'!B18+'Clinic 10'!B18+'Clinic 11'!B18+'Clinic 12'!B18+'Clinic 13'!B18+'Clinic 14'!B18+'Clinic 15'!B18</f>
        <v>0</v>
      </c>
      <c r="C18" s="33">
        <f>'Creve Coeur'!E17+CWE!E17+'Clinic 3'!C18+'Clinic 4'!C18+'Clinic 5'!C18+'Clinic 6'!C18+'Clinic 7'!C18+'Clinic 8'!C18+'Clinic 9'!C18+'Clinic 10'!C18+'Clinic 11'!C18+'Clinic 12'!C18+'Clinic 13'!C18+'Clinic 14'!C18+'Clinic 15'!C18</f>
        <v>0</v>
      </c>
      <c r="D18" s="33">
        <f>'Creve Coeur'!F17+CWE!F17+'Clinic 3'!D18+'Clinic 4'!D18+'Clinic 5'!D18+'Clinic 6'!D18+'Clinic 7'!D18+'Clinic 8'!D18+'Clinic 9'!D18+'Clinic 10'!D18+'Clinic 11'!D18+'Clinic 12'!D18+'Clinic 13'!D18+'Clinic 14'!D18+'Clinic 15'!D18</f>
        <v>0</v>
      </c>
      <c r="E18" s="33">
        <f>'Creve Coeur'!G17+CWE!G17+'Clinic 3'!E18+'Clinic 4'!E18+'Clinic 5'!E18+'Clinic 6'!E18+'Clinic 7'!E18+'Clinic 8'!E18+'Clinic 9'!E18+'Clinic 10'!E18+'Clinic 11'!E18+'Clinic 12'!E18+'Clinic 13'!E18+'Clinic 14'!E18+'Clinic 15'!E18</f>
        <v>0</v>
      </c>
      <c r="F18" s="33">
        <f>'Creve Coeur'!H17+CWE!H17+'Clinic 3'!F18+'Clinic 4'!F18+'Clinic 5'!F18+'Clinic 6'!F18+'Clinic 7'!F18+'Clinic 8'!F18+'Clinic 9'!F18+'Clinic 10'!F18+'Clinic 11'!F18+'Clinic 12'!F18+'Clinic 13'!F18+'Clinic 14'!F18+'Clinic 15'!F18</f>
        <v>0</v>
      </c>
      <c r="G18" s="33">
        <f>'Creve Coeur'!I17+CWE!I17+'Clinic 3'!G18+'Clinic 4'!G18+'Clinic 5'!G18+'Clinic 6'!G18+'Clinic 7'!G18+'Clinic 8'!G18+'Clinic 9'!G18+'Clinic 10'!G18+'Clinic 11'!G18+'Clinic 12'!G18+'Clinic 13'!G18+'Clinic 14'!G18+'Clinic 15'!G18</f>
        <v>0</v>
      </c>
      <c r="H18" s="33">
        <f>'Creve Coeur'!J17+CWE!J17+'Clinic 3'!H18+'Clinic 4'!H18+'Clinic 5'!H18+'Clinic 6'!H18+'Clinic 7'!H18+'Clinic 8'!H18+'Clinic 9'!H18+'Clinic 10'!H18+'Clinic 11'!H18+'Clinic 12'!H18+'Clinic 13'!H18+'Clinic 14'!H18+'Clinic 15'!H18</f>
        <v>0</v>
      </c>
      <c r="I18" s="33">
        <f>'Creve Coeur'!K17+CWE!K17+'Clinic 3'!I18+'Clinic 4'!I18+'Clinic 5'!I18+'Clinic 6'!I18+'Clinic 7'!I18+'Clinic 8'!I18+'Clinic 9'!I18+'Clinic 10'!I18+'Clinic 11'!I18+'Clinic 12'!I18+'Clinic 13'!I18+'Clinic 14'!I18+'Clinic 15'!I18</f>
        <v>0</v>
      </c>
      <c r="J18" s="2">
        <f t="shared" si="0"/>
        <v>0</v>
      </c>
      <c r="L18" s="106"/>
    </row>
    <row r="19" spans="1:13" x14ac:dyDescent="0.25">
      <c r="A19" s="1" t="s">
        <v>85</v>
      </c>
      <c r="B19" s="33">
        <f>'Creve Coeur'!D18+CWE!D18+'Clinic 3'!B19+'Clinic 4'!B19+'Clinic 5'!B19+'Clinic 6'!B19+'Clinic 7'!B19+'Clinic 8'!B19+'Clinic 9'!B19+'Clinic 10'!B19+'Clinic 11'!B19+'Clinic 12'!B19+'Clinic 13'!B19+'Clinic 14'!B19+'Clinic 15'!B19</f>
        <v>0</v>
      </c>
      <c r="C19" s="33">
        <f>'Creve Coeur'!E18+CWE!E18+'Clinic 3'!C19+'Clinic 4'!C19+'Clinic 5'!C19+'Clinic 6'!C19+'Clinic 7'!C19+'Clinic 8'!C19+'Clinic 9'!C19+'Clinic 10'!C19+'Clinic 11'!C19+'Clinic 12'!C19+'Clinic 13'!C19+'Clinic 14'!C19+'Clinic 15'!C19</f>
        <v>0</v>
      </c>
      <c r="D19" s="33">
        <f>'Creve Coeur'!F18+CWE!F18+'Clinic 3'!D19+'Clinic 4'!D19+'Clinic 5'!D19+'Clinic 6'!D19+'Clinic 7'!D19+'Clinic 8'!D19+'Clinic 9'!D19+'Clinic 10'!D19+'Clinic 11'!D19+'Clinic 12'!D19+'Clinic 13'!D19+'Clinic 14'!D19+'Clinic 15'!D19</f>
        <v>0</v>
      </c>
      <c r="E19" s="33">
        <f>'Creve Coeur'!G18+CWE!G18+'Clinic 3'!E19+'Clinic 4'!E19+'Clinic 5'!E19+'Clinic 6'!E19+'Clinic 7'!E19+'Clinic 8'!E19+'Clinic 9'!E19+'Clinic 10'!E19+'Clinic 11'!E19+'Clinic 12'!E19+'Clinic 13'!E19+'Clinic 14'!E19+'Clinic 15'!E19</f>
        <v>0</v>
      </c>
      <c r="F19" s="33">
        <f>'Creve Coeur'!H18+CWE!H18+'Clinic 3'!F19+'Clinic 4'!F19+'Clinic 5'!F19+'Clinic 6'!F19+'Clinic 7'!F19+'Clinic 8'!F19+'Clinic 9'!F19+'Clinic 10'!F19+'Clinic 11'!F19+'Clinic 12'!F19+'Clinic 13'!F19+'Clinic 14'!F19+'Clinic 15'!F19</f>
        <v>0</v>
      </c>
      <c r="G19" s="33">
        <f>'Creve Coeur'!I18+CWE!I18+'Clinic 3'!G19+'Clinic 4'!G19+'Clinic 5'!G19+'Clinic 6'!G19+'Clinic 7'!G19+'Clinic 8'!G19+'Clinic 9'!G19+'Clinic 10'!G19+'Clinic 11'!G19+'Clinic 12'!G19+'Clinic 13'!G19+'Clinic 14'!G19+'Clinic 15'!G19</f>
        <v>0</v>
      </c>
      <c r="H19" s="33">
        <f>'Creve Coeur'!J18+CWE!J18+'Clinic 3'!H19+'Clinic 4'!H19+'Clinic 5'!H19+'Clinic 6'!H19+'Clinic 7'!H19+'Clinic 8'!H19+'Clinic 9'!H19+'Clinic 10'!H19+'Clinic 11'!H19+'Clinic 12'!H19+'Clinic 13'!H19+'Clinic 14'!H19+'Clinic 15'!H19</f>
        <v>0</v>
      </c>
      <c r="I19" s="33">
        <f>'Creve Coeur'!K18+CWE!K18+'Clinic 3'!I19+'Clinic 4'!I19+'Clinic 5'!I19+'Clinic 6'!I19+'Clinic 7'!I19+'Clinic 8'!I19+'Clinic 9'!I19+'Clinic 10'!I19+'Clinic 11'!I19+'Clinic 12'!I19+'Clinic 13'!I19+'Clinic 14'!I19+'Clinic 15'!I19</f>
        <v>0</v>
      </c>
      <c r="J19" s="2">
        <f t="shared" si="0"/>
        <v>0</v>
      </c>
      <c r="L19" s="106"/>
    </row>
    <row r="20" spans="1:13" x14ac:dyDescent="0.25">
      <c r="A20" s="1" t="s">
        <v>2</v>
      </c>
      <c r="B20" s="33">
        <f>'Creve Coeur'!D19+CWE!D19+'Clinic 3'!B20+'Clinic 4'!B20+'Clinic 5'!B20+'Clinic 6'!B20+'Clinic 7'!B20+'Clinic 8'!B20+'Clinic 9'!B20+'Clinic 10'!B20+'Clinic 11'!B20+'Clinic 12'!B20+'Clinic 13'!B20+'Clinic 14'!B20+'Clinic 15'!B20</f>
        <v>-25887.81</v>
      </c>
      <c r="C20" s="33">
        <f>'Creve Coeur'!E19+CWE!E19+'Clinic 3'!C20+'Clinic 4'!C20+'Clinic 5'!C20+'Clinic 6'!C20+'Clinic 7'!C20+'Clinic 8'!C20+'Clinic 9'!C20+'Clinic 10'!C20+'Clinic 11'!C20+'Clinic 12'!C20+'Clinic 13'!C20+'Clinic 14'!C20+'Clinic 15'!C20</f>
        <v>0</v>
      </c>
      <c r="D20" s="33">
        <f>'Creve Coeur'!F19+CWE!F19+'Clinic 3'!D20+'Clinic 4'!D20+'Clinic 5'!D20+'Clinic 6'!D20+'Clinic 7'!D20+'Clinic 8'!D20+'Clinic 9'!D20+'Clinic 10'!D20+'Clinic 11'!D20+'Clinic 12'!D20+'Clinic 13'!D20+'Clinic 14'!D20+'Clinic 15'!D20</f>
        <v>0</v>
      </c>
      <c r="E20" s="33">
        <f>'Creve Coeur'!G19+CWE!G19+'Clinic 3'!E20+'Clinic 4'!E20+'Clinic 5'!E20+'Clinic 6'!E20+'Clinic 7'!E20+'Clinic 8'!E20+'Clinic 9'!E20+'Clinic 10'!E20+'Clinic 11'!E20+'Clinic 12'!E20+'Clinic 13'!E20+'Clinic 14'!E20+'Clinic 15'!E20</f>
        <v>0</v>
      </c>
      <c r="F20" s="33">
        <f>'Creve Coeur'!H19+CWE!H19+'Clinic 3'!F20+'Clinic 4'!F20+'Clinic 5'!F20+'Clinic 6'!F20+'Clinic 7'!F20+'Clinic 8'!F20+'Clinic 9'!F20+'Clinic 10'!F20+'Clinic 11'!F20+'Clinic 12'!F20+'Clinic 13'!F20+'Clinic 14'!F20+'Clinic 15'!F20</f>
        <v>0</v>
      </c>
      <c r="G20" s="33">
        <f>'Creve Coeur'!I19+CWE!I19+'Clinic 3'!G20+'Clinic 4'!G20+'Clinic 5'!G20+'Clinic 6'!G20+'Clinic 7'!G20+'Clinic 8'!G20+'Clinic 9'!G20+'Clinic 10'!G20+'Clinic 11'!G20+'Clinic 12'!G20+'Clinic 13'!G20+'Clinic 14'!G20+'Clinic 15'!G20</f>
        <v>0</v>
      </c>
      <c r="H20" s="33">
        <f>'Creve Coeur'!J19+CWE!J19+'Clinic 3'!H20+'Clinic 4'!H20+'Clinic 5'!H20+'Clinic 6'!H20+'Clinic 7'!H20+'Clinic 8'!H20+'Clinic 9'!H20+'Clinic 10'!H20+'Clinic 11'!H20+'Clinic 12'!H20+'Clinic 13'!H20+'Clinic 14'!H20+'Clinic 15'!H20</f>
        <v>0</v>
      </c>
      <c r="I20" s="33">
        <f>'Creve Coeur'!K19+CWE!K19+'Clinic 3'!I20+'Clinic 4'!I20+'Clinic 5'!I20+'Clinic 6'!I20+'Clinic 7'!I20+'Clinic 8'!I20+'Clinic 9'!I20+'Clinic 10'!I20+'Clinic 11'!I20+'Clinic 12'!I20+'Clinic 13'!I20+'Clinic 14'!I20+'Clinic 15'!I20</f>
        <v>-340.09</v>
      </c>
      <c r="J20" s="2">
        <f t="shared" si="0"/>
        <v>-26227.9</v>
      </c>
      <c r="L20" s="106"/>
    </row>
    <row r="21" spans="1:13" x14ac:dyDescent="0.25">
      <c r="A21" s="1" t="s">
        <v>86</v>
      </c>
      <c r="B21" s="33">
        <f>'Creve Coeur'!D20+CWE!D20+'Clinic 3'!B21+'Clinic 4'!B21+'Clinic 5'!B21+'Clinic 6'!B21+'Clinic 7'!B21+'Clinic 8'!B21+'Clinic 9'!B21+'Clinic 10'!B21+'Clinic 11'!B21+'Clinic 12'!B21+'Clinic 13'!B21+'Clinic 14'!B21+'Clinic 15'!B21</f>
        <v>0</v>
      </c>
      <c r="C21" s="33">
        <f>'Creve Coeur'!E20+CWE!E20+'Clinic 3'!C21+'Clinic 4'!C21+'Clinic 5'!C21+'Clinic 6'!C21+'Clinic 7'!C21+'Clinic 8'!C21+'Clinic 9'!C21+'Clinic 10'!C21+'Clinic 11'!C21+'Clinic 12'!C21+'Clinic 13'!C21+'Clinic 14'!C21+'Clinic 15'!C21</f>
        <v>0</v>
      </c>
      <c r="D21" s="33">
        <f>'Creve Coeur'!F20+CWE!F20+'Clinic 3'!D21+'Clinic 4'!D21+'Clinic 5'!D21+'Clinic 6'!D21+'Clinic 7'!D21+'Clinic 8'!D21+'Clinic 9'!D21+'Clinic 10'!D21+'Clinic 11'!D21+'Clinic 12'!D21+'Clinic 13'!D21+'Clinic 14'!D21+'Clinic 15'!D21</f>
        <v>0</v>
      </c>
      <c r="E21" s="33">
        <f>'Creve Coeur'!G20+CWE!G20+'Clinic 3'!E21+'Clinic 4'!E21+'Clinic 5'!E21+'Clinic 6'!E21+'Clinic 7'!E21+'Clinic 8'!E21+'Clinic 9'!E21+'Clinic 10'!E21+'Clinic 11'!E21+'Clinic 12'!E21+'Clinic 13'!E21+'Clinic 14'!E21+'Clinic 15'!E21</f>
        <v>0</v>
      </c>
      <c r="F21" s="33">
        <f>'Creve Coeur'!H20+CWE!H20+'Clinic 3'!F21+'Clinic 4'!F21+'Clinic 5'!F21+'Clinic 6'!F21+'Clinic 7'!F21+'Clinic 8'!F21+'Clinic 9'!F21+'Clinic 10'!F21+'Clinic 11'!F21+'Clinic 12'!F21+'Clinic 13'!F21+'Clinic 14'!F21+'Clinic 15'!F21</f>
        <v>0</v>
      </c>
      <c r="G21" s="33">
        <f>'Creve Coeur'!I20+CWE!I20+'Clinic 3'!G21+'Clinic 4'!G21+'Clinic 5'!G21+'Clinic 6'!G21+'Clinic 7'!G21+'Clinic 8'!G21+'Clinic 9'!G21+'Clinic 10'!G21+'Clinic 11'!G21+'Clinic 12'!G21+'Clinic 13'!G21+'Clinic 14'!G21+'Clinic 15'!G21</f>
        <v>0</v>
      </c>
      <c r="H21" s="33">
        <f>'Creve Coeur'!J20+CWE!J20+'Clinic 3'!H21+'Clinic 4'!H21+'Clinic 5'!H21+'Clinic 6'!H21+'Clinic 7'!H21+'Clinic 8'!H21+'Clinic 9'!H21+'Clinic 10'!H21+'Clinic 11'!H21+'Clinic 12'!H21+'Clinic 13'!H21+'Clinic 14'!H21+'Clinic 15'!H21</f>
        <v>0</v>
      </c>
      <c r="I21" s="33">
        <f>'Creve Coeur'!K20+CWE!K20+'Clinic 3'!I21+'Clinic 4'!I21+'Clinic 5'!I21+'Clinic 6'!I21+'Clinic 7'!I21+'Clinic 8'!I21+'Clinic 9'!I21+'Clinic 10'!I21+'Clinic 11'!I21+'Clinic 12'!I21+'Clinic 13'!I21+'Clinic 14'!I21+'Clinic 15'!I21</f>
        <v>8.25</v>
      </c>
      <c r="J21" s="2">
        <f t="shared" si="0"/>
        <v>8.25</v>
      </c>
      <c r="L21" s="106"/>
    </row>
    <row r="22" spans="1:13" x14ac:dyDescent="0.25">
      <c r="A22" s="1" t="s">
        <v>29</v>
      </c>
      <c r="B22" s="33">
        <f>'Creve Coeur'!D21+CWE!D21+'Clinic 3'!B22+'Clinic 4'!B22+'Clinic 5'!B22+'Clinic 6'!B22+'Clinic 7'!B22+'Clinic 8'!B22+'Clinic 9'!B22+'Clinic 10'!B22+'Clinic 11'!B22+'Clinic 12'!B22+'Clinic 13'!B22+'Clinic 14'!B22+'Clinic 15'!B22</f>
        <v>0</v>
      </c>
      <c r="C22" s="33">
        <f>'Creve Coeur'!E21+CWE!E21+'Clinic 3'!C22+'Clinic 4'!C22+'Clinic 5'!C22+'Clinic 6'!C22+'Clinic 7'!C22+'Clinic 8'!C22+'Clinic 9'!C22+'Clinic 10'!C22+'Clinic 11'!C22+'Clinic 12'!C22+'Clinic 13'!C22+'Clinic 14'!C22+'Clinic 15'!C22</f>
        <v>0</v>
      </c>
      <c r="D22" s="33">
        <f>'Creve Coeur'!F21+CWE!F21+'Clinic 3'!D22+'Clinic 4'!D22+'Clinic 5'!D22+'Clinic 6'!D22+'Clinic 7'!D22+'Clinic 8'!D22+'Clinic 9'!D22+'Clinic 10'!D22+'Clinic 11'!D22+'Clinic 12'!D22+'Clinic 13'!D22+'Clinic 14'!D22+'Clinic 15'!D22</f>
        <v>0</v>
      </c>
      <c r="E22" s="33">
        <f>'Creve Coeur'!G21+CWE!G21+'Clinic 3'!E22+'Clinic 4'!E22+'Clinic 5'!E22+'Clinic 6'!E22+'Clinic 7'!E22+'Clinic 8'!E22+'Clinic 9'!E22+'Clinic 10'!E22+'Clinic 11'!E22+'Clinic 12'!E22+'Clinic 13'!E22+'Clinic 14'!E22+'Clinic 15'!E22</f>
        <v>0</v>
      </c>
      <c r="F22" s="33">
        <f>'Creve Coeur'!H21+CWE!H21+'Clinic 3'!F22+'Clinic 4'!F22+'Clinic 5'!F22+'Clinic 6'!F22+'Clinic 7'!F22+'Clinic 8'!F22+'Clinic 9'!F22+'Clinic 10'!F22+'Clinic 11'!F22+'Clinic 12'!F22+'Clinic 13'!F22+'Clinic 14'!F22+'Clinic 15'!F22</f>
        <v>0</v>
      </c>
      <c r="G22" s="33">
        <f>'Creve Coeur'!I21+CWE!I21+'Clinic 3'!G22+'Clinic 4'!G22+'Clinic 5'!G22+'Clinic 6'!G22+'Clinic 7'!G22+'Clinic 8'!G22+'Clinic 9'!G22+'Clinic 10'!G22+'Clinic 11'!G22+'Clinic 12'!G22+'Clinic 13'!G22+'Clinic 14'!G22+'Clinic 15'!G22</f>
        <v>0</v>
      </c>
      <c r="H22" s="33">
        <f>'Creve Coeur'!J21+CWE!J21+'Clinic 3'!H22+'Clinic 4'!H22+'Clinic 5'!H22+'Clinic 6'!H22+'Clinic 7'!H22+'Clinic 8'!H22+'Clinic 9'!H22+'Clinic 10'!H22+'Clinic 11'!H22+'Clinic 12'!H22+'Clinic 13'!H22+'Clinic 14'!H22+'Clinic 15'!H22</f>
        <v>0</v>
      </c>
      <c r="I22" s="33">
        <f>'Creve Coeur'!K21+CWE!K21+'Clinic 3'!I22+'Clinic 4'!I22+'Clinic 5'!I22+'Clinic 6'!I22+'Clinic 7'!I22+'Clinic 8'!I22+'Clinic 9'!I22+'Clinic 10'!I22+'Clinic 11'!I22+'Clinic 12'!I22+'Clinic 13'!I22+'Clinic 14'!I22+'Clinic 15'!I22</f>
        <v>-650.6</v>
      </c>
      <c r="J22" s="2">
        <f t="shared" si="0"/>
        <v>-650.6</v>
      </c>
      <c r="L22" s="106"/>
    </row>
    <row r="23" spans="1:13" x14ac:dyDescent="0.25">
      <c r="A23" s="1" t="s">
        <v>52</v>
      </c>
      <c r="B23" s="33">
        <f>'Creve Coeur'!D22+CWE!D22+'Clinic 3'!B23+'Clinic 4'!B23+'Clinic 5'!B23+'Clinic 6'!B23+'Clinic 7'!B23+'Clinic 8'!B23+'Clinic 9'!B23+'Clinic 10'!B23+'Clinic 11'!B23+'Clinic 12'!B23+'Clinic 13'!B23+'Clinic 14'!B23+'Clinic 15'!B23</f>
        <v>0</v>
      </c>
      <c r="C23" s="33">
        <f>'Creve Coeur'!E22+CWE!E22+'Clinic 3'!C23+'Clinic 4'!C23+'Clinic 5'!C23+'Clinic 6'!C23+'Clinic 7'!C23+'Clinic 8'!C23+'Clinic 9'!C23+'Clinic 10'!C23+'Clinic 11'!C23+'Clinic 12'!C23+'Clinic 13'!C23+'Clinic 14'!C23+'Clinic 15'!C23</f>
        <v>0</v>
      </c>
      <c r="D23" s="33">
        <f>'Creve Coeur'!F22+CWE!F22+'Clinic 3'!D23+'Clinic 4'!D23+'Clinic 5'!D23+'Clinic 6'!D23+'Clinic 7'!D23+'Clinic 8'!D23+'Clinic 9'!D23+'Clinic 10'!D23+'Clinic 11'!D23+'Clinic 12'!D23+'Clinic 13'!D23+'Clinic 14'!D23+'Clinic 15'!D23</f>
        <v>0</v>
      </c>
      <c r="E23" s="33">
        <f>'Creve Coeur'!G22+CWE!G22+'Clinic 3'!E23+'Clinic 4'!E23+'Clinic 5'!E23+'Clinic 6'!E23+'Clinic 7'!E23+'Clinic 8'!E23+'Clinic 9'!E23+'Clinic 10'!E23+'Clinic 11'!E23+'Clinic 12'!E23+'Clinic 13'!E23+'Clinic 14'!E23+'Clinic 15'!E23</f>
        <v>0</v>
      </c>
      <c r="F23" s="33">
        <f>'Creve Coeur'!H22+CWE!H22+'Clinic 3'!F23+'Clinic 4'!F23+'Clinic 5'!F23+'Clinic 6'!F23+'Clinic 7'!F23+'Clinic 8'!F23+'Clinic 9'!F23+'Clinic 10'!F23+'Clinic 11'!F23+'Clinic 12'!F23+'Clinic 13'!F23+'Clinic 14'!F23+'Clinic 15'!F23</f>
        <v>0</v>
      </c>
      <c r="G23" s="33">
        <f>'Creve Coeur'!I22+CWE!I22+'Clinic 3'!G23+'Clinic 4'!G23+'Clinic 5'!G23+'Clinic 6'!G23+'Clinic 7'!G23+'Clinic 8'!G23+'Clinic 9'!G23+'Clinic 10'!G23+'Clinic 11'!G23+'Clinic 12'!G23+'Clinic 13'!G23+'Clinic 14'!G23+'Clinic 15'!G23</f>
        <v>0</v>
      </c>
      <c r="H23" s="33">
        <f>'Creve Coeur'!J22+CWE!J22+'Clinic 3'!H23+'Clinic 4'!H23+'Clinic 5'!H23+'Clinic 6'!H23+'Clinic 7'!H23+'Clinic 8'!H23+'Clinic 9'!H23+'Clinic 10'!H23+'Clinic 11'!H23+'Clinic 12'!H23+'Clinic 13'!H23+'Clinic 14'!H23+'Clinic 15'!H23</f>
        <v>0</v>
      </c>
      <c r="I23" s="33">
        <f>'Creve Coeur'!K22+CWE!K22+'Clinic 3'!I23+'Clinic 4'!I23+'Clinic 5'!I23+'Clinic 6'!I23+'Clinic 7'!I23+'Clinic 8'!I23+'Clinic 9'!I23+'Clinic 10'!I23+'Clinic 11'!I23+'Clinic 12'!I23+'Clinic 13'!I23+'Clinic 14'!I23+'Clinic 15'!I23</f>
        <v>0</v>
      </c>
      <c r="J23" s="2">
        <f t="shared" si="0"/>
        <v>0</v>
      </c>
      <c r="L23" s="106"/>
    </row>
    <row r="24" spans="1:13" x14ac:dyDescent="0.25">
      <c r="A24" s="1" t="s">
        <v>1</v>
      </c>
      <c r="B24" s="33">
        <f>'Creve Coeur'!D23+CWE!D23+'Clinic 3'!B24+'Clinic 4'!B24+'Clinic 5'!B24+'Clinic 6'!B24+'Clinic 7'!B24+'Clinic 8'!B24+'Clinic 9'!B24+'Clinic 10'!B24+'Clinic 11'!B24+'Clinic 12'!B24+'Clinic 13'!B24+'Clinic 14'!B24+'Clinic 15'!B24</f>
        <v>0</v>
      </c>
      <c r="C24" s="33">
        <f>'Creve Coeur'!E23+CWE!E23+'Clinic 3'!C24+'Clinic 4'!C24+'Clinic 5'!C24+'Clinic 6'!C24+'Clinic 7'!C24+'Clinic 8'!C24+'Clinic 9'!C24+'Clinic 10'!C24+'Clinic 11'!C24+'Clinic 12'!C24+'Clinic 13'!C24+'Clinic 14'!C24+'Clinic 15'!C24</f>
        <v>0</v>
      </c>
      <c r="D24" s="33">
        <f>'Creve Coeur'!F23+CWE!F23+'Clinic 3'!D24+'Clinic 4'!D24+'Clinic 5'!D24+'Clinic 6'!D24+'Clinic 7'!D24+'Clinic 8'!D24+'Clinic 9'!D24+'Clinic 10'!D24+'Clinic 11'!D24+'Clinic 12'!D24+'Clinic 13'!D24+'Clinic 14'!D24+'Clinic 15'!D24</f>
        <v>0</v>
      </c>
      <c r="E24" s="33">
        <f>'Creve Coeur'!G23+CWE!G23+'Clinic 3'!E24+'Clinic 4'!E24+'Clinic 5'!E24+'Clinic 6'!E24+'Clinic 7'!E24+'Clinic 8'!E24+'Clinic 9'!E24+'Clinic 10'!E24+'Clinic 11'!E24+'Clinic 12'!E24+'Clinic 13'!E24+'Clinic 14'!E24+'Clinic 15'!E24</f>
        <v>0</v>
      </c>
      <c r="F24" s="33">
        <f>'Creve Coeur'!H23+CWE!H23+'Clinic 3'!F24+'Clinic 4'!F24+'Clinic 5'!F24+'Clinic 6'!F24+'Clinic 7'!F24+'Clinic 8'!F24+'Clinic 9'!F24+'Clinic 10'!F24+'Clinic 11'!F24+'Clinic 12'!F24+'Clinic 13'!F24+'Clinic 14'!F24+'Clinic 15'!F24</f>
        <v>0</v>
      </c>
      <c r="G24" s="33">
        <f>'Creve Coeur'!I23+CWE!I23+'Clinic 3'!G24+'Clinic 4'!G24+'Clinic 5'!G24+'Clinic 6'!G24+'Clinic 7'!G24+'Clinic 8'!G24+'Clinic 9'!G24+'Clinic 10'!G24+'Clinic 11'!G24+'Clinic 12'!G24+'Clinic 13'!G24+'Clinic 14'!G24+'Clinic 15'!G24</f>
        <v>0</v>
      </c>
      <c r="H24" s="33">
        <f>'Creve Coeur'!J23+CWE!J23+'Clinic 3'!H24+'Clinic 4'!H24+'Clinic 5'!H24+'Clinic 6'!H24+'Clinic 7'!H24+'Clinic 8'!H24+'Clinic 9'!H24+'Clinic 10'!H24+'Clinic 11'!H24+'Clinic 12'!H24+'Clinic 13'!H24+'Clinic 14'!H24+'Clinic 15'!H24</f>
        <v>0</v>
      </c>
      <c r="I24" s="33">
        <f>'Creve Coeur'!K23+CWE!K23+'Clinic 3'!I24+'Clinic 4'!I24+'Clinic 5'!I24+'Clinic 6'!I24+'Clinic 7'!I24+'Clinic 8'!I24+'Clinic 9'!I24+'Clinic 10'!I24+'Clinic 11'!I24+'Clinic 12'!I24+'Clinic 13'!I24+'Clinic 14'!I24+'Clinic 15'!I24</f>
        <v>-2098.3300000000004</v>
      </c>
      <c r="J24" s="2">
        <f t="shared" si="0"/>
        <v>-2098.3300000000004</v>
      </c>
      <c r="L24" s="106"/>
    </row>
    <row r="25" spans="1:13" x14ac:dyDescent="0.25">
      <c r="A25" s="1" t="s">
        <v>0</v>
      </c>
      <c r="B25" s="10">
        <f>SUM(B8:B24)</f>
        <v>-25887.81</v>
      </c>
      <c r="C25" s="10">
        <f t="shared" ref="C25:J25" si="1">SUM(C8:C24)</f>
        <v>0</v>
      </c>
      <c r="D25" s="10">
        <f t="shared" si="1"/>
        <v>0</v>
      </c>
      <c r="E25" s="10">
        <f t="shared" si="1"/>
        <v>0</v>
      </c>
      <c r="F25" s="10">
        <f t="shared" si="1"/>
        <v>0</v>
      </c>
      <c r="G25" s="10">
        <f t="shared" si="1"/>
        <v>0</v>
      </c>
      <c r="H25" s="10">
        <f t="shared" si="1"/>
        <v>0</v>
      </c>
      <c r="I25" s="10">
        <f t="shared" si="1"/>
        <v>-6364.9300000000021</v>
      </c>
      <c r="J25" s="10">
        <f t="shared" si="1"/>
        <v>-32252.74</v>
      </c>
      <c r="K25" s="106">
        <f>'Agile AR Aging &lt;-INPUT'!K433</f>
        <v>-32252.74</v>
      </c>
      <c r="L25" s="106">
        <f>J25-K25</f>
        <v>0</v>
      </c>
      <c r="M25" s="96" t="s">
        <v>231</v>
      </c>
    </row>
    <row r="26" spans="1:13" ht="15.75" hidden="1" customHeight="1" thickBot="1" x14ac:dyDescent="0.3">
      <c r="A26" s="1"/>
      <c r="B26" s="9"/>
      <c r="C26" s="9"/>
      <c r="D26" s="9"/>
      <c r="E26" s="9"/>
      <c r="F26" s="9"/>
      <c r="G26" s="9"/>
      <c r="H26" s="9"/>
      <c r="I26" s="9"/>
      <c r="J26" s="9"/>
    </row>
    <row r="27" spans="1:13" ht="15.75" hidden="1" customHeight="1" thickBot="1" x14ac:dyDescent="0.3">
      <c r="A27" s="153" t="s">
        <v>55</v>
      </c>
      <c r="B27" s="154"/>
      <c r="C27" s="154"/>
      <c r="D27" s="154"/>
      <c r="E27" s="154"/>
      <c r="F27" s="154"/>
      <c r="G27" s="154"/>
      <c r="H27" s="154"/>
      <c r="I27" s="154"/>
      <c r="J27" s="155"/>
    </row>
    <row r="28" spans="1:13" ht="15" hidden="1" customHeight="1" x14ac:dyDescent="0.25">
      <c r="A28" s="4" t="s">
        <v>16</v>
      </c>
      <c r="B28" s="5" t="s">
        <v>15</v>
      </c>
      <c r="C28" s="5" t="s">
        <v>14</v>
      </c>
      <c r="D28" s="5" t="s">
        <v>13</v>
      </c>
      <c r="E28" s="5" t="s">
        <v>12</v>
      </c>
      <c r="F28" s="5" t="s">
        <v>37</v>
      </c>
      <c r="G28" s="5" t="s">
        <v>38</v>
      </c>
      <c r="H28" s="5" t="s">
        <v>9</v>
      </c>
      <c r="I28" s="5"/>
      <c r="J28" s="5" t="s">
        <v>0</v>
      </c>
    </row>
    <row r="29" spans="1:13" ht="15" hidden="1" customHeight="1" x14ac:dyDescent="0.25">
      <c r="A29" s="1" t="s">
        <v>49</v>
      </c>
      <c r="B29" s="36">
        <f>'Reimbursement Rates &lt;-INPUT'!Q10</f>
        <v>1</v>
      </c>
      <c r="C29" s="36">
        <f t="shared" ref="C29:H30" si="2">B29</f>
        <v>1</v>
      </c>
      <c r="D29" s="36">
        <f t="shared" si="2"/>
        <v>1</v>
      </c>
      <c r="E29" s="36">
        <f t="shared" si="2"/>
        <v>1</v>
      </c>
      <c r="F29" s="36">
        <f t="shared" si="2"/>
        <v>1</v>
      </c>
      <c r="G29" s="36">
        <f t="shared" si="2"/>
        <v>1</v>
      </c>
      <c r="H29" s="36">
        <f t="shared" si="2"/>
        <v>1</v>
      </c>
      <c r="I29" s="36"/>
      <c r="J29" s="36">
        <f t="shared" ref="J29:J45" si="3">H29</f>
        <v>1</v>
      </c>
    </row>
    <row r="30" spans="1:13" ht="15" hidden="1" customHeight="1" x14ac:dyDescent="0.25">
      <c r="A30" s="1" t="s">
        <v>8</v>
      </c>
      <c r="B30" s="36">
        <f>'Reimbursement Rates &lt;-INPUT'!Q11</f>
        <v>0</v>
      </c>
      <c r="C30" s="36">
        <f t="shared" si="2"/>
        <v>0</v>
      </c>
      <c r="D30" s="36">
        <f t="shared" si="2"/>
        <v>0</v>
      </c>
      <c r="E30" s="36">
        <f t="shared" si="2"/>
        <v>0</v>
      </c>
      <c r="F30" s="36">
        <f t="shared" si="2"/>
        <v>0</v>
      </c>
      <c r="G30" s="36">
        <f t="shared" si="2"/>
        <v>0</v>
      </c>
      <c r="H30" s="36">
        <f t="shared" si="2"/>
        <v>0</v>
      </c>
      <c r="I30" s="36"/>
      <c r="J30" s="36">
        <f t="shared" si="3"/>
        <v>0</v>
      </c>
    </row>
    <row r="31" spans="1:13" ht="15" hidden="1" customHeight="1" x14ac:dyDescent="0.25">
      <c r="A31" s="1" t="s">
        <v>7</v>
      </c>
      <c r="B31" s="36">
        <f>'Reimbursement Rates &lt;-INPUT'!Q12</f>
        <v>0</v>
      </c>
      <c r="C31" s="36">
        <f>'Reimbursement Rates &lt;-INPUT'!R12</f>
        <v>0</v>
      </c>
      <c r="D31" s="36">
        <f>'Reimbursement Rates &lt;-INPUT'!S12</f>
        <v>0</v>
      </c>
      <c r="E31" s="36">
        <f>'Reimbursement Rates &lt;-INPUT'!T12</f>
        <v>0</v>
      </c>
      <c r="F31" s="36">
        <f>'Reimbursement Rates &lt;-INPUT'!U12</f>
        <v>0</v>
      </c>
      <c r="G31" s="36">
        <f>'Reimbursement Rates &lt;-INPUT'!V12</f>
        <v>0</v>
      </c>
      <c r="H31" s="36">
        <f>'Reimbursement Rates &lt;-INPUT'!W12</f>
        <v>0</v>
      </c>
      <c r="I31" s="36"/>
      <c r="J31" s="36">
        <f t="shared" si="3"/>
        <v>0</v>
      </c>
    </row>
    <row r="32" spans="1:13" ht="15" hidden="1" customHeight="1" x14ac:dyDescent="0.25">
      <c r="A32" s="1" t="s">
        <v>42</v>
      </c>
      <c r="B32" s="36">
        <f>'Reimbursement Rates &lt;-INPUT'!Q13</f>
        <v>0</v>
      </c>
      <c r="C32" s="36">
        <f>'Reimbursement Rates &lt;-INPUT'!R13</f>
        <v>0</v>
      </c>
      <c r="D32" s="36">
        <f>'Reimbursement Rates &lt;-INPUT'!S13</f>
        <v>0</v>
      </c>
      <c r="E32" s="36">
        <f>'Reimbursement Rates &lt;-INPUT'!T13</f>
        <v>0</v>
      </c>
      <c r="F32" s="36">
        <f>'Reimbursement Rates &lt;-INPUT'!U13</f>
        <v>0</v>
      </c>
      <c r="G32" s="36">
        <f>'Reimbursement Rates &lt;-INPUT'!V13</f>
        <v>0</v>
      </c>
      <c r="H32" s="36">
        <f>'Reimbursement Rates &lt;-INPUT'!W13</f>
        <v>0</v>
      </c>
      <c r="I32" s="36"/>
      <c r="J32" s="36">
        <f t="shared" si="3"/>
        <v>0</v>
      </c>
    </row>
    <row r="33" spans="1:10" ht="15" hidden="1" customHeight="1" x14ac:dyDescent="0.25">
      <c r="A33" s="1" t="s">
        <v>6</v>
      </c>
      <c r="B33" s="36">
        <f>'Reimbursement Rates &lt;-INPUT'!Q14</f>
        <v>0</v>
      </c>
      <c r="C33" s="36">
        <f>'Reimbursement Rates &lt;-INPUT'!R14</f>
        <v>0</v>
      </c>
      <c r="D33" s="36">
        <f>'Reimbursement Rates &lt;-INPUT'!S14</f>
        <v>0</v>
      </c>
      <c r="E33" s="36">
        <f>'Reimbursement Rates &lt;-INPUT'!T14</f>
        <v>0</v>
      </c>
      <c r="F33" s="36">
        <f>'Reimbursement Rates &lt;-INPUT'!U14</f>
        <v>0</v>
      </c>
      <c r="G33" s="36">
        <f>'Reimbursement Rates &lt;-INPUT'!V14</f>
        <v>0</v>
      </c>
      <c r="H33" s="36">
        <f>'Reimbursement Rates &lt;-INPUT'!W14</f>
        <v>0</v>
      </c>
      <c r="I33" s="36"/>
      <c r="J33" s="36">
        <f t="shared" si="3"/>
        <v>0</v>
      </c>
    </row>
    <row r="34" spans="1:10" ht="15" hidden="1" customHeight="1" x14ac:dyDescent="0.25">
      <c r="A34" s="1" t="s">
        <v>50</v>
      </c>
      <c r="B34" s="36">
        <f>'Reimbursement Rates &lt;-INPUT'!Q15</f>
        <v>0</v>
      </c>
      <c r="C34" s="36">
        <f>'Reimbursement Rates &lt;-INPUT'!R15</f>
        <v>0</v>
      </c>
      <c r="D34" s="36">
        <f>'Reimbursement Rates &lt;-INPUT'!S15</f>
        <v>0</v>
      </c>
      <c r="E34" s="36">
        <f>'Reimbursement Rates &lt;-INPUT'!T15</f>
        <v>0</v>
      </c>
      <c r="F34" s="36">
        <f>'Reimbursement Rates &lt;-INPUT'!U15</f>
        <v>0</v>
      </c>
      <c r="G34" s="36">
        <f>'Reimbursement Rates &lt;-INPUT'!V15</f>
        <v>0</v>
      </c>
      <c r="H34" s="36">
        <f>'Reimbursement Rates &lt;-INPUT'!W15</f>
        <v>0</v>
      </c>
      <c r="I34" s="36"/>
      <c r="J34" s="36">
        <f t="shared" si="3"/>
        <v>0</v>
      </c>
    </row>
    <row r="35" spans="1:10" ht="15" hidden="1" customHeight="1" x14ac:dyDescent="0.25">
      <c r="A35" s="1" t="s">
        <v>89</v>
      </c>
      <c r="B35" s="36">
        <f>'Reimbursement Rates &lt;-INPUT'!Q16</f>
        <v>0</v>
      </c>
      <c r="C35" s="36">
        <f>'Reimbursement Rates &lt;-INPUT'!R16</f>
        <v>0</v>
      </c>
      <c r="D35" s="36">
        <f>'Reimbursement Rates &lt;-INPUT'!S16</f>
        <v>0</v>
      </c>
      <c r="E35" s="36">
        <f>'Reimbursement Rates &lt;-INPUT'!T16</f>
        <v>0</v>
      </c>
      <c r="F35" s="36">
        <f>'Reimbursement Rates &lt;-INPUT'!U16</f>
        <v>0</v>
      </c>
      <c r="G35" s="36">
        <f>'Reimbursement Rates &lt;-INPUT'!V16</f>
        <v>0</v>
      </c>
      <c r="H35" s="36">
        <f>'Reimbursement Rates &lt;-INPUT'!W16</f>
        <v>0</v>
      </c>
      <c r="I35" s="36"/>
      <c r="J35" s="36">
        <f t="shared" si="3"/>
        <v>0</v>
      </c>
    </row>
    <row r="36" spans="1:10" ht="15" hidden="1" customHeight="1" x14ac:dyDescent="0.25">
      <c r="A36" s="1" t="s">
        <v>5</v>
      </c>
      <c r="B36" s="36">
        <f>'Reimbursement Rates &lt;-INPUT'!Q17</f>
        <v>0</v>
      </c>
      <c r="C36" s="36">
        <f>'Reimbursement Rates &lt;-INPUT'!R17</f>
        <v>0</v>
      </c>
      <c r="D36" s="36">
        <f>'Reimbursement Rates &lt;-INPUT'!S17</f>
        <v>0</v>
      </c>
      <c r="E36" s="36">
        <f>'Reimbursement Rates &lt;-INPUT'!T17</f>
        <v>0</v>
      </c>
      <c r="F36" s="36">
        <f>'Reimbursement Rates &lt;-INPUT'!U17</f>
        <v>0</v>
      </c>
      <c r="G36" s="36">
        <f>'Reimbursement Rates &lt;-INPUT'!V17</f>
        <v>0</v>
      </c>
      <c r="H36" s="36">
        <f>'Reimbursement Rates &lt;-INPUT'!W17</f>
        <v>0</v>
      </c>
      <c r="I36" s="36"/>
      <c r="J36" s="36">
        <f t="shared" si="3"/>
        <v>0</v>
      </c>
    </row>
    <row r="37" spans="1:10" ht="15" hidden="1" customHeight="1" x14ac:dyDescent="0.25">
      <c r="A37" s="1" t="s">
        <v>84</v>
      </c>
      <c r="B37" s="36">
        <f>'Reimbursement Rates &lt;-INPUT'!Q18</f>
        <v>0</v>
      </c>
      <c r="C37" s="36">
        <f>'Reimbursement Rates &lt;-INPUT'!R18</f>
        <v>0</v>
      </c>
      <c r="D37" s="36">
        <f>'Reimbursement Rates &lt;-INPUT'!S18</f>
        <v>0</v>
      </c>
      <c r="E37" s="36">
        <f>'Reimbursement Rates &lt;-INPUT'!T18</f>
        <v>0</v>
      </c>
      <c r="F37" s="36">
        <f>'Reimbursement Rates &lt;-INPUT'!U18</f>
        <v>0</v>
      </c>
      <c r="G37" s="36">
        <f>'Reimbursement Rates &lt;-INPUT'!V18</f>
        <v>0</v>
      </c>
      <c r="H37" s="36">
        <f>'Reimbursement Rates &lt;-INPUT'!W18</f>
        <v>0</v>
      </c>
      <c r="I37" s="36"/>
      <c r="J37" s="36">
        <f t="shared" si="3"/>
        <v>0</v>
      </c>
    </row>
    <row r="38" spans="1:10" ht="15" hidden="1" customHeight="1" x14ac:dyDescent="0.25">
      <c r="A38" s="1" t="s">
        <v>4</v>
      </c>
      <c r="B38" s="36">
        <f>'Reimbursement Rates &lt;-INPUT'!Q19</f>
        <v>0</v>
      </c>
      <c r="C38" s="36">
        <f>'Reimbursement Rates &lt;-INPUT'!R19</f>
        <v>0</v>
      </c>
      <c r="D38" s="36">
        <f>'Reimbursement Rates &lt;-INPUT'!S19</f>
        <v>0</v>
      </c>
      <c r="E38" s="36">
        <f>'Reimbursement Rates &lt;-INPUT'!T19</f>
        <v>0</v>
      </c>
      <c r="F38" s="36">
        <f>'Reimbursement Rates &lt;-INPUT'!U19</f>
        <v>0</v>
      </c>
      <c r="G38" s="36">
        <f>'Reimbursement Rates &lt;-INPUT'!V19</f>
        <v>0</v>
      </c>
      <c r="H38" s="36">
        <f>'Reimbursement Rates &lt;-INPUT'!W19</f>
        <v>0</v>
      </c>
      <c r="I38" s="36"/>
      <c r="J38" s="36">
        <f t="shared" si="3"/>
        <v>0</v>
      </c>
    </row>
    <row r="39" spans="1:10" ht="15" hidden="1" customHeight="1" x14ac:dyDescent="0.25">
      <c r="A39" s="1" t="s">
        <v>51</v>
      </c>
      <c r="B39" s="36">
        <f>'Reimbursement Rates &lt;-INPUT'!Q20</f>
        <v>0</v>
      </c>
      <c r="C39" s="36">
        <f>'Reimbursement Rates &lt;-INPUT'!R20</f>
        <v>0</v>
      </c>
      <c r="D39" s="36">
        <f>'Reimbursement Rates &lt;-INPUT'!S20</f>
        <v>0</v>
      </c>
      <c r="E39" s="36">
        <f>'Reimbursement Rates &lt;-INPUT'!T20</f>
        <v>0</v>
      </c>
      <c r="F39" s="36">
        <f>'Reimbursement Rates &lt;-INPUT'!U20</f>
        <v>0</v>
      </c>
      <c r="G39" s="36">
        <f>'Reimbursement Rates &lt;-INPUT'!V20</f>
        <v>0</v>
      </c>
      <c r="H39" s="36">
        <f>'Reimbursement Rates &lt;-INPUT'!W20</f>
        <v>0</v>
      </c>
      <c r="I39" s="36"/>
      <c r="J39" s="36">
        <f t="shared" si="3"/>
        <v>0</v>
      </c>
    </row>
    <row r="40" spans="1:10" ht="15" hidden="1" customHeight="1" x14ac:dyDescent="0.25">
      <c r="A40" s="1" t="s">
        <v>85</v>
      </c>
      <c r="B40" s="36">
        <f>'Reimbursement Rates &lt;-INPUT'!Q21</f>
        <v>0</v>
      </c>
      <c r="C40" s="36">
        <f>'Reimbursement Rates &lt;-INPUT'!R21</f>
        <v>0</v>
      </c>
      <c r="D40" s="36">
        <f>'Reimbursement Rates &lt;-INPUT'!S21</f>
        <v>0</v>
      </c>
      <c r="E40" s="36">
        <f>'Reimbursement Rates &lt;-INPUT'!T21</f>
        <v>0</v>
      </c>
      <c r="F40" s="36">
        <f>'Reimbursement Rates &lt;-INPUT'!U21</f>
        <v>0</v>
      </c>
      <c r="G40" s="36">
        <f>'Reimbursement Rates &lt;-INPUT'!V21</f>
        <v>0</v>
      </c>
      <c r="H40" s="36">
        <f>'Reimbursement Rates &lt;-INPUT'!W21</f>
        <v>0</v>
      </c>
      <c r="I40" s="36"/>
      <c r="J40" s="36">
        <f t="shared" si="3"/>
        <v>0</v>
      </c>
    </row>
    <row r="41" spans="1:10" ht="15" hidden="1" customHeight="1" x14ac:dyDescent="0.25">
      <c r="A41" s="1" t="s">
        <v>2</v>
      </c>
      <c r="B41" s="36">
        <f>'Reimbursement Rates &lt;-INPUT'!Q22</f>
        <v>0</v>
      </c>
      <c r="C41" s="36">
        <f>'Reimbursement Rates &lt;-INPUT'!R22</f>
        <v>0</v>
      </c>
      <c r="D41" s="36">
        <f>'Reimbursement Rates &lt;-INPUT'!S22</f>
        <v>0</v>
      </c>
      <c r="E41" s="36">
        <f>'Reimbursement Rates &lt;-INPUT'!T22</f>
        <v>0</v>
      </c>
      <c r="F41" s="36">
        <f>'Reimbursement Rates &lt;-INPUT'!U22</f>
        <v>0</v>
      </c>
      <c r="G41" s="36">
        <f>'Reimbursement Rates &lt;-INPUT'!V22</f>
        <v>0</v>
      </c>
      <c r="H41" s="36">
        <f>'Reimbursement Rates &lt;-INPUT'!W22</f>
        <v>0</v>
      </c>
      <c r="I41" s="36"/>
      <c r="J41" s="36">
        <f t="shared" si="3"/>
        <v>0</v>
      </c>
    </row>
    <row r="42" spans="1:10" hidden="1" x14ac:dyDescent="0.25">
      <c r="A42" s="1" t="s">
        <v>86</v>
      </c>
      <c r="B42" s="36">
        <f>'Reimbursement Rates &lt;-INPUT'!Q23</f>
        <v>1</v>
      </c>
      <c r="C42" s="36">
        <f>'Reimbursement Rates &lt;-INPUT'!R23</f>
        <v>0</v>
      </c>
      <c r="D42" s="36">
        <f>'Reimbursement Rates &lt;-INPUT'!S23</f>
        <v>1</v>
      </c>
      <c r="E42" s="36">
        <f>'Reimbursement Rates &lt;-INPUT'!T23</f>
        <v>1</v>
      </c>
      <c r="F42" s="36">
        <f>'Reimbursement Rates &lt;-INPUT'!U23</f>
        <v>0</v>
      </c>
      <c r="G42" s="36">
        <f>'Reimbursement Rates &lt;-INPUT'!V23</f>
        <v>0</v>
      </c>
      <c r="H42" s="36">
        <f>'Reimbursement Rates &lt;-INPUT'!W23</f>
        <v>0</v>
      </c>
      <c r="I42" s="36"/>
      <c r="J42" s="36">
        <f t="shared" si="3"/>
        <v>0</v>
      </c>
    </row>
    <row r="43" spans="1:10" hidden="1" x14ac:dyDescent="0.25">
      <c r="A43" s="1" t="s">
        <v>29</v>
      </c>
      <c r="B43" s="36">
        <f>'Reimbursement Rates &lt;-INPUT'!Q24</f>
        <v>0</v>
      </c>
      <c r="C43" s="36">
        <f>'Reimbursement Rates &lt;-INPUT'!R24</f>
        <v>0</v>
      </c>
      <c r="D43" s="36">
        <f>'Reimbursement Rates &lt;-INPUT'!S24</f>
        <v>0</v>
      </c>
      <c r="E43" s="36">
        <f>'Reimbursement Rates &lt;-INPUT'!T24</f>
        <v>0</v>
      </c>
      <c r="F43" s="36">
        <f>'Reimbursement Rates &lt;-INPUT'!U24</f>
        <v>0</v>
      </c>
      <c r="G43" s="36">
        <f>'Reimbursement Rates &lt;-INPUT'!V24</f>
        <v>0</v>
      </c>
      <c r="H43" s="36">
        <f>'Reimbursement Rates &lt;-INPUT'!W24</f>
        <v>0</v>
      </c>
      <c r="I43" s="36"/>
      <c r="J43" s="36">
        <f t="shared" si="3"/>
        <v>0</v>
      </c>
    </row>
    <row r="44" spans="1:10" hidden="1" x14ac:dyDescent="0.25">
      <c r="A44" s="1" t="s">
        <v>52</v>
      </c>
      <c r="B44" s="36">
        <f>'Reimbursement Rates &lt;-INPUT'!Q25</f>
        <v>0</v>
      </c>
      <c r="C44" s="36">
        <f>'Reimbursement Rates &lt;-INPUT'!R25</f>
        <v>0</v>
      </c>
      <c r="D44" s="36">
        <f>'Reimbursement Rates &lt;-INPUT'!S25</f>
        <v>0</v>
      </c>
      <c r="E44" s="36">
        <f>'Reimbursement Rates &lt;-INPUT'!T25</f>
        <v>0</v>
      </c>
      <c r="F44" s="36">
        <f>'Reimbursement Rates &lt;-INPUT'!U25</f>
        <v>0</v>
      </c>
      <c r="G44" s="36">
        <f>'Reimbursement Rates &lt;-INPUT'!V25</f>
        <v>0</v>
      </c>
      <c r="H44" s="36">
        <f>'Reimbursement Rates &lt;-INPUT'!W25</f>
        <v>0</v>
      </c>
      <c r="I44" s="36"/>
      <c r="J44" s="36">
        <f t="shared" si="3"/>
        <v>0</v>
      </c>
    </row>
    <row r="45" spans="1:10" hidden="1" x14ac:dyDescent="0.25">
      <c r="A45" s="1" t="s">
        <v>1</v>
      </c>
      <c r="B45" s="36">
        <f>'Reimbursement Rates &lt;-INPUT'!Q26</f>
        <v>0</v>
      </c>
      <c r="C45" s="36">
        <f>'Reimbursement Rates &lt;-INPUT'!R26</f>
        <v>0</v>
      </c>
      <c r="D45" s="36">
        <f>'Reimbursement Rates &lt;-INPUT'!S26</f>
        <v>0</v>
      </c>
      <c r="E45" s="36">
        <f>'Reimbursement Rates &lt;-INPUT'!T26</f>
        <v>0</v>
      </c>
      <c r="F45" s="36">
        <f>'Reimbursement Rates &lt;-INPUT'!U26</f>
        <v>0</v>
      </c>
      <c r="G45" s="36">
        <f>'Reimbursement Rates &lt;-INPUT'!V26</f>
        <v>0</v>
      </c>
      <c r="H45" s="36">
        <f>'Reimbursement Rates &lt;-INPUT'!W26</f>
        <v>0</v>
      </c>
      <c r="I45" s="36"/>
      <c r="J45" s="36">
        <f t="shared" si="3"/>
        <v>0</v>
      </c>
    </row>
    <row r="46" spans="1:10" ht="15.75" thickBot="1" x14ac:dyDescent="0.3">
      <c r="A46" s="1"/>
      <c r="B46" s="36"/>
      <c r="C46" s="36"/>
      <c r="D46" s="36"/>
      <c r="E46" s="36"/>
      <c r="F46" s="36"/>
      <c r="G46" s="36"/>
      <c r="H46" s="36"/>
      <c r="I46" s="36"/>
      <c r="J46" s="36"/>
    </row>
    <row r="47" spans="1:10" ht="15.75" thickBot="1" x14ac:dyDescent="0.3">
      <c r="A47" s="156" t="s">
        <v>250</v>
      </c>
      <c r="B47" s="157"/>
      <c r="C47" s="157"/>
      <c r="D47" s="157"/>
      <c r="E47" s="157"/>
      <c r="F47" s="157"/>
      <c r="G47" s="157"/>
      <c r="H47" s="157"/>
      <c r="I47" s="157"/>
      <c r="J47" s="158"/>
    </row>
    <row r="48" spans="1:10" x14ac:dyDescent="0.25">
      <c r="A48" s="4" t="s">
        <v>16</v>
      </c>
      <c r="B48" s="5" t="s">
        <v>15</v>
      </c>
      <c r="C48" s="5" t="s">
        <v>14</v>
      </c>
      <c r="D48" s="5" t="s">
        <v>13</v>
      </c>
      <c r="E48" s="5" t="s">
        <v>12</v>
      </c>
      <c r="F48" s="5" t="s">
        <v>94</v>
      </c>
      <c r="G48" s="5" t="s">
        <v>95</v>
      </c>
      <c r="H48" s="5" t="s">
        <v>38</v>
      </c>
      <c r="I48" s="5" t="s">
        <v>9</v>
      </c>
      <c r="J48" s="5" t="s">
        <v>0</v>
      </c>
    </row>
    <row r="49" spans="1:10" x14ac:dyDescent="0.25">
      <c r="A49" s="1" t="s">
        <v>49</v>
      </c>
      <c r="B49" s="33">
        <f>'Creve Coeur'!D28+CWE!D28</f>
        <v>0</v>
      </c>
      <c r="C49" s="33">
        <f>'Creve Coeur'!E28+CWE!E28</f>
        <v>0</v>
      </c>
      <c r="D49" s="33">
        <f>'Creve Coeur'!F28+CWE!F28</f>
        <v>0</v>
      </c>
      <c r="E49" s="33">
        <f>'Creve Coeur'!G28+CWE!G28</f>
        <v>0</v>
      </c>
      <c r="F49" s="33">
        <f>'Creve Coeur'!H28+CWE!H28</f>
        <v>0</v>
      </c>
      <c r="G49" s="33">
        <f>'Creve Coeur'!I28+CWE!I28</f>
        <v>0</v>
      </c>
      <c r="H49" s="33">
        <f>'Creve Coeur'!J28+CWE!J28</f>
        <v>0</v>
      </c>
      <c r="I49" s="33">
        <f>'Creve Coeur'!K28+CWE!K28</f>
        <v>0</v>
      </c>
      <c r="J49" s="2">
        <f>SUM(B49:I49)</f>
        <v>0</v>
      </c>
    </row>
    <row r="50" spans="1:10" x14ac:dyDescent="0.25">
      <c r="A50" s="1" t="s">
        <v>8</v>
      </c>
      <c r="B50" s="33">
        <f>'Creve Coeur'!D29+CWE!D29</f>
        <v>0</v>
      </c>
      <c r="C50" s="33">
        <f>'Creve Coeur'!E29+CWE!E29</f>
        <v>0</v>
      </c>
      <c r="D50" s="33">
        <f>'Creve Coeur'!F29+CWE!F29</f>
        <v>0</v>
      </c>
      <c r="E50" s="33">
        <f>'Creve Coeur'!G29+CWE!G29</f>
        <v>0</v>
      </c>
      <c r="F50" s="33">
        <f>'Creve Coeur'!H29+CWE!H29</f>
        <v>0</v>
      </c>
      <c r="G50" s="33">
        <f>'Creve Coeur'!I29+CWE!I29</f>
        <v>0</v>
      </c>
      <c r="H50" s="33">
        <f>'Creve Coeur'!J29+CWE!J29</f>
        <v>0</v>
      </c>
      <c r="I50" s="33">
        <f>'Creve Coeur'!K29+CWE!K29</f>
        <v>-616.87</v>
      </c>
      <c r="J50" s="2">
        <f t="shared" ref="J50:J65" si="4">SUM(B50:I50)</f>
        <v>-616.87</v>
      </c>
    </row>
    <row r="51" spans="1:10" x14ac:dyDescent="0.25">
      <c r="A51" s="1" t="s">
        <v>7</v>
      </c>
      <c r="B51" s="33">
        <f>'Creve Coeur'!D30+CWE!D30</f>
        <v>0</v>
      </c>
      <c r="C51" s="33">
        <f>'Creve Coeur'!E30+CWE!E30</f>
        <v>0</v>
      </c>
      <c r="D51" s="33">
        <f>'Creve Coeur'!F30+CWE!F30</f>
        <v>0</v>
      </c>
      <c r="E51" s="33">
        <f>'Creve Coeur'!G30+CWE!G30</f>
        <v>0</v>
      </c>
      <c r="F51" s="33">
        <f>'Creve Coeur'!H30+CWE!H30</f>
        <v>0</v>
      </c>
      <c r="G51" s="33">
        <f>'Creve Coeur'!I30+CWE!I30</f>
        <v>0</v>
      </c>
      <c r="H51" s="33">
        <f>'Creve Coeur'!J30+CWE!J30</f>
        <v>0</v>
      </c>
      <c r="I51" s="33">
        <f>'Creve Coeur'!K30+CWE!K30</f>
        <v>-436.28</v>
      </c>
      <c r="J51" s="2">
        <f t="shared" si="4"/>
        <v>-436.28</v>
      </c>
    </row>
    <row r="52" spans="1:10" x14ac:dyDescent="0.25">
      <c r="A52" s="1" t="s">
        <v>42</v>
      </c>
      <c r="B52" s="33">
        <f>'Creve Coeur'!D31+CWE!D31</f>
        <v>0</v>
      </c>
      <c r="C52" s="33">
        <f>'Creve Coeur'!E31+CWE!E31</f>
        <v>0</v>
      </c>
      <c r="D52" s="33">
        <f>'Creve Coeur'!F31+CWE!F31</f>
        <v>0</v>
      </c>
      <c r="E52" s="33">
        <f>'Creve Coeur'!G31+CWE!G31</f>
        <v>0</v>
      </c>
      <c r="F52" s="33">
        <f>'Creve Coeur'!H31+CWE!H31</f>
        <v>0</v>
      </c>
      <c r="G52" s="33">
        <f>'Creve Coeur'!I31+CWE!I31</f>
        <v>0</v>
      </c>
      <c r="H52" s="33">
        <f>'Creve Coeur'!J31+CWE!J31</f>
        <v>0</v>
      </c>
      <c r="I52" s="33">
        <f>'Creve Coeur'!K31+CWE!K31</f>
        <v>0</v>
      </c>
      <c r="J52" s="2">
        <f t="shared" si="4"/>
        <v>0</v>
      </c>
    </row>
    <row r="53" spans="1:10" x14ac:dyDescent="0.25">
      <c r="A53" s="1" t="s">
        <v>6</v>
      </c>
      <c r="B53" s="33">
        <f>'Creve Coeur'!D32+CWE!D32</f>
        <v>0</v>
      </c>
      <c r="C53" s="33">
        <f>'Creve Coeur'!E32+CWE!E32</f>
        <v>0</v>
      </c>
      <c r="D53" s="33">
        <f>'Creve Coeur'!F32+CWE!F32</f>
        <v>0</v>
      </c>
      <c r="E53" s="33">
        <f>'Creve Coeur'!G32+CWE!G32</f>
        <v>0</v>
      </c>
      <c r="F53" s="33">
        <f>'Creve Coeur'!H32+CWE!H32</f>
        <v>0</v>
      </c>
      <c r="G53" s="33">
        <f>'Creve Coeur'!I32+CWE!I32</f>
        <v>0</v>
      </c>
      <c r="H53" s="33">
        <f>'Creve Coeur'!J32+CWE!J32</f>
        <v>0</v>
      </c>
      <c r="I53" s="33">
        <f>'Creve Coeur'!K32+CWE!K32</f>
        <v>-577.94999999999993</v>
      </c>
      <c r="J53" s="2">
        <f t="shared" si="4"/>
        <v>-577.94999999999993</v>
      </c>
    </row>
    <row r="54" spans="1:10" x14ac:dyDescent="0.25">
      <c r="A54" s="1" t="s">
        <v>50</v>
      </c>
      <c r="B54" s="33">
        <f>'Creve Coeur'!D33+CWE!D33</f>
        <v>0</v>
      </c>
      <c r="C54" s="33">
        <f>'Creve Coeur'!E33+CWE!E33</f>
        <v>0</v>
      </c>
      <c r="D54" s="33">
        <f>'Creve Coeur'!F33+CWE!F33</f>
        <v>0</v>
      </c>
      <c r="E54" s="33">
        <f>'Creve Coeur'!G33+CWE!G33</f>
        <v>0</v>
      </c>
      <c r="F54" s="33">
        <f>'Creve Coeur'!H33+CWE!H33</f>
        <v>0</v>
      </c>
      <c r="G54" s="33">
        <f>'Creve Coeur'!I33+CWE!I33</f>
        <v>0</v>
      </c>
      <c r="H54" s="33">
        <f>'Creve Coeur'!J33+CWE!J33</f>
        <v>0</v>
      </c>
      <c r="I54" s="33">
        <f>'Creve Coeur'!K33+CWE!K33</f>
        <v>0</v>
      </c>
      <c r="J54" s="2">
        <f t="shared" si="4"/>
        <v>0</v>
      </c>
    </row>
    <row r="55" spans="1:10" x14ac:dyDescent="0.25">
      <c r="A55" s="1" t="s">
        <v>89</v>
      </c>
      <c r="B55" s="33">
        <f>'Creve Coeur'!D34+CWE!D34</f>
        <v>0</v>
      </c>
      <c r="C55" s="33">
        <f>'Creve Coeur'!E34+CWE!E34</f>
        <v>0</v>
      </c>
      <c r="D55" s="33">
        <f>'Creve Coeur'!F34+CWE!F34</f>
        <v>0</v>
      </c>
      <c r="E55" s="33">
        <f>'Creve Coeur'!G34+CWE!G34</f>
        <v>0</v>
      </c>
      <c r="F55" s="33">
        <f>'Creve Coeur'!H34+CWE!H34</f>
        <v>0</v>
      </c>
      <c r="G55" s="33">
        <f>'Creve Coeur'!I34+CWE!I34</f>
        <v>0</v>
      </c>
      <c r="H55" s="33">
        <f>'Creve Coeur'!J34+CWE!J34</f>
        <v>0</v>
      </c>
      <c r="I55" s="33">
        <f>'Creve Coeur'!K34+CWE!K34</f>
        <v>0</v>
      </c>
      <c r="J55" s="2">
        <f t="shared" si="4"/>
        <v>0</v>
      </c>
    </row>
    <row r="56" spans="1:10" x14ac:dyDescent="0.25">
      <c r="A56" s="1" t="s">
        <v>5</v>
      </c>
      <c r="B56" s="33">
        <f>'Creve Coeur'!D35+CWE!D35</f>
        <v>0</v>
      </c>
      <c r="C56" s="33">
        <f>'Creve Coeur'!E35+CWE!E35</f>
        <v>0</v>
      </c>
      <c r="D56" s="33">
        <f>'Creve Coeur'!F35+CWE!F35</f>
        <v>0</v>
      </c>
      <c r="E56" s="33">
        <f>'Creve Coeur'!G35+CWE!G35</f>
        <v>0</v>
      </c>
      <c r="F56" s="33">
        <f>'Creve Coeur'!H35+CWE!H35</f>
        <v>0</v>
      </c>
      <c r="G56" s="33">
        <f>'Creve Coeur'!I35+CWE!I35</f>
        <v>0</v>
      </c>
      <c r="H56" s="33">
        <f>'Creve Coeur'!J35+CWE!J35</f>
        <v>0</v>
      </c>
      <c r="I56" s="33">
        <f>'Creve Coeur'!K35+CWE!K35</f>
        <v>0</v>
      </c>
      <c r="J56" s="2">
        <f t="shared" si="4"/>
        <v>0</v>
      </c>
    </row>
    <row r="57" spans="1:10" x14ac:dyDescent="0.25">
      <c r="A57" s="1" t="s">
        <v>84</v>
      </c>
      <c r="B57" s="33">
        <f>'Creve Coeur'!D36+CWE!D36</f>
        <v>0</v>
      </c>
      <c r="C57" s="33">
        <f>'Creve Coeur'!E36+CWE!E36</f>
        <v>0</v>
      </c>
      <c r="D57" s="33">
        <f>'Creve Coeur'!F36+CWE!F36</f>
        <v>0</v>
      </c>
      <c r="E57" s="33">
        <f>'Creve Coeur'!G36+CWE!G36</f>
        <v>0</v>
      </c>
      <c r="F57" s="33">
        <f>'Creve Coeur'!H36+CWE!H36</f>
        <v>0</v>
      </c>
      <c r="G57" s="33">
        <f>'Creve Coeur'!I36+CWE!I36</f>
        <v>0</v>
      </c>
      <c r="H57" s="33">
        <f>'Creve Coeur'!J36+CWE!J36</f>
        <v>0</v>
      </c>
      <c r="I57" s="33">
        <f>'Creve Coeur'!K36+CWE!K36</f>
        <v>0</v>
      </c>
      <c r="J57" s="2">
        <f t="shared" si="4"/>
        <v>0</v>
      </c>
    </row>
    <row r="58" spans="1:10" x14ac:dyDescent="0.25">
      <c r="A58" s="1" t="s">
        <v>4</v>
      </c>
      <c r="B58" s="33">
        <f>'Creve Coeur'!D37+CWE!D37</f>
        <v>0</v>
      </c>
      <c r="C58" s="33">
        <f>'Creve Coeur'!E37+CWE!E37</f>
        <v>0</v>
      </c>
      <c r="D58" s="33">
        <f>'Creve Coeur'!F37+CWE!F37</f>
        <v>0</v>
      </c>
      <c r="E58" s="33">
        <f>'Creve Coeur'!G37+CWE!G37</f>
        <v>0</v>
      </c>
      <c r="F58" s="33">
        <f>'Creve Coeur'!H37+CWE!H37</f>
        <v>0</v>
      </c>
      <c r="G58" s="33">
        <f>'Creve Coeur'!I37+CWE!I37</f>
        <v>0</v>
      </c>
      <c r="H58" s="33">
        <f>'Creve Coeur'!J37+CWE!J37</f>
        <v>0</v>
      </c>
      <c r="I58" s="33">
        <f>'Creve Coeur'!K37+CWE!K37</f>
        <v>-2071.2900000000009</v>
      </c>
      <c r="J58" s="2">
        <f t="shared" si="4"/>
        <v>-2071.2900000000009</v>
      </c>
    </row>
    <row r="59" spans="1:10" x14ac:dyDescent="0.25">
      <c r="A59" s="1" t="s">
        <v>51</v>
      </c>
      <c r="B59" s="33">
        <f>'Creve Coeur'!D38+CWE!D38</f>
        <v>0</v>
      </c>
      <c r="C59" s="33">
        <f>'Creve Coeur'!E38+CWE!E38</f>
        <v>0</v>
      </c>
      <c r="D59" s="33">
        <f>'Creve Coeur'!F38+CWE!F38</f>
        <v>0</v>
      </c>
      <c r="E59" s="33">
        <f>'Creve Coeur'!G38+CWE!G38</f>
        <v>0</v>
      </c>
      <c r="F59" s="33">
        <f>'Creve Coeur'!H38+CWE!H38</f>
        <v>0</v>
      </c>
      <c r="G59" s="33">
        <f>'Creve Coeur'!I38+CWE!I38</f>
        <v>0</v>
      </c>
      <c r="H59" s="33">
        <f>'Creve Coeur'!J38+CWE!J38</f>
        <v>0</v>
      </c>
      <c r="I59" s="33">
        <f>'Creve Coeur'!K38+CWE!K38</f>
        <v>0</v>
      </c>
      <c r="J59" s="2">
        <f t="shared" si="4"/>
        <v>0</v>
      </c>
    </row>
    <row r="60" spans="1:10" x14ac:dyDescent="0.25">
      <c r="A60" s="1" t="s">
        <v>85</v>
      </c>
      <c r="B60" s="33">
        <f>'Creve Coeur'!D39+CWE!D39</f>
        <v>0</v>
      </c>
      <c r="C60" s="33">
        <f>'Creve Coeur'!E39+CWE!E39</f>
        <v>0</v>
      </c>
      <c r="D60" s="33">
        <f>'Creve Coeur'!F39+CWE!F39</f>
        <v>0</v>
      </c>
      <c r="E60" s="33">
        <f>'Creve Coeur'!G39+CWE!G39</f>
        <v>0</v>
      </c>
      <c r="F60" s="33">
        <f>'Creve Coeur'!H39+CWE!H39</f>
        <v>0</v>
      </c>
      <c r="G60" s="33">
        <f>'Creve Coeur'!I39+CWE!I39</f>
        <v>0</v>
      </c>
      <c r="H60" s="33">
        <f>'Creve Coeur'!J39+CWE!J39</f>
        <v>0</v>
      </c>
      <c r="I60" s="33">
        <f>'Creve Coeur'!K39+CWE!K39</f>
        <v>0</v>
      </c>
      <c r="J60" s="2">
        <f t="shared" si="4"/>
        <v>0</v>
      </c>
    </row>
    <row r="61" spans="1:10" x14ac:dyDescent="0.25">
      <c r="A61" s="1" t="s">
        <v>2</v>
      </c>
      <c r="B61" s="33">
        <f>'Creve Coeur'!D40+CWE!D40</f>
        <v>0</v>
      </c>
      <c r="C61" s="33">
        <f>'Creve Coeur'!E40+CWE!E40</f>
        <v>0</v>
      </c>
      <c r="D61" s="33">
        <f>'Creve Coeur'!F40+CWE!F40</f>
        <v>0</v>
      </c>
      <c r="E61" s="33">
        <f>'Creve Coeur'!G40+CWE!G40</f>
        <v>0</v>
      </c>
      <c r="F61" s="33">
        <f>'Creve Coeur'!H40+CWE!H40</f>
        <v>0</v>
      </c>
      <c r="G61" s="33">
        <f>'Creve Coeur'!I40+CWE!I40</f>
        <v>0</v>
      </c>
      <c r="H61" s="33">
        <f>'Creve Coeur'!J40+CWE!J40</f>
        <v>0</v>
      </c>
      <c r="I61" s="33">
        <f>'Creve Coeur'!K40+CWE!K40</f>
        <v>-88.6</v>
      </c>
      <c r="J61" s="2">
        <f t="shared" si="4"/>
        <v>-88.6</v>
      </c>
    </row>
    <row r="62" spans="1:10" x14ac:dyDescent="0.25">
      <c r="A62" s="1" t="s">
        <v>86</v>
      </c>
      <c r="B62" s="33">
        <f>'Creve Coeur'!D41+CWE!D41</f>
        <v>0</v>
      </c>
      <c r="C62" s="33">
        <f>'Creve Coeur'!E41+CWE!E41</f>
        <v>0</v>
      </c>
      <c r="D62" s="33">
        <f>'Creve Coeur'!F41+CWE!F41</f>
        <v>0</v>
      </c>
      <c r="E62" s="33">
        <f>'Creve Coeur'!G41+CWE!G41</f>
        <v>0</v>
      </c>
      <c r="F62" s="33">
        <f>'Creve Coeur'!H41+CWE!H41</f>
        <v>0</v>
      </c>
      <c r="G62" s="33">
        <f>'Creve Coeur'!I41+CWE!I41</f>
        <v>0</v>
      </c>
      <c r="H62" s="33">
        <f>'Creve Coeur'!J41+CWE!J41</f>
        <v>0</v>
      </c>
      <c r="I62" s="33">
        <f>'Creve Coeur'!K41+CWE!K41</f>
        <v>0</v>
      </c>
      <c r="J62" s="2">
        <f t="shared" si="4"/>
        <v>0</v>
      </c>
    </row>
    <row r="63" spans="1:10" x14ac:dyDescent="0.25">
      <c r="A63" s="1" t="s">
        <v>29</v>
      </c>
      <c r="B63" s="33">
        <f>'Creve Coeur'!D42+CWE!D42</f>
        <v>0</v>
      </c>
      <c r="C63" s="33">
        <f>'Creve Coeur'!E42+CWE!E42</f>
        <v>0</v>
      </c>
      <c r="D63" s="33">
        <f>'Creve Coeur'!F42+CWE!F42</f>
        <v>0</v>
      </c>
      <c r="E63" s="33">
        <f>'Creve Coeur'!G42+CWE!G42</f>
        <v>0</v>
      </c>
      <c r="F63" s="33">
        <f>'Creve Coeur'!H42+CWE!H42</f>
        <v>0</v>
      </c>
      <c r="G63" s="33">
        <f>'Creve Coeur'!I42+CWE!I42</f>
        <v>0</v>
      </c>
      <c r="H63" s="33">
        <f>'Creve Coeur'!J42+CWE!J42</f>
        <v>0</v>
      </c>
      <c r="I63" s="33">
        <f>'Creve Coeur'!K42+CWE!K42</f>
        <v>-660.61</v>
      </c>
      <c r="J63" s="2">
        <f t="shared" si="4"/>
        <v>-660.61</v>
      </c>
    </row>
    <row r="64" spans="1:10" x14ac:dyDescent="0.25">
      <c r="A64" s="1" t="s">
        <v>52</v>
      </c>
      <c r="B64" s="33">
        <f>'Creve Coeur'!D43+CWE!D43</f>
        <v>0</v>
      </c>
      <c r="C64" s="33">
        <f>'Creve Coeur'!E43+CWE!E43</f>
        <v>0</v>
      </c>
      <c r="D64" s="33">
        <f>'Creve Coeur'!F43+CWE!F43</f>
        <v>0</v>
      </c>
      <c r="E64" s="33">
        <f>'Creve Coeur'!G43+CWE!G43</f>
        <v>0</v>
      </c>
      <c r="F64" s="33">
        <f>'Creve Coeur'!H43+CWE!H43</f>
        <v>0</v>
      </c>
      <c r="G64" s="33">
        <f>'Creve Coeur'!I43+CWE!I43</f>
        <v>0</v>
      </c>
      <c r="H64" s="33">
        <f>'Creve Coeur'!J43+CWE!J43</f>
        <v>0</v>
      </c>
      <c r="I64" s="33">
        <f>'Creve Coeur'!K43+CWE!K43</f>
        <v>0</v>
      </c>
      <c r="J64" s="2">
        <f t="shared" si="4"/>
        <v>0</v>
      </c>
    </row>
    <row r="65" spans="1:12" x14ac:dyDescent="0.25">
      <c r="A65" s="1" t="s">
        <v>1</v>
      </c>
      <c r="B65" s="33">
        <f>'Creve Coeur'!D44+CWE!D44</f>
        <v>0</v>
      </c>
      <c r="C65" s="33">
        <f>'Creve Coeur'!E44+CWE!E44</f>
        <v>0</v>
      </c>
      <c r="D65" s="33">
        <f>'Creve Coeur'!F44+CWE!F44</f>
        <v>0</v>
      </c>
      <c r="E65" s="33">
        <f>'Creve Coeur'!G44+CWE!G44</f>
        <v>0</v>
      </c>
      <c r="F65" s="33">
        <f>'Creve Coeur'!H44+CWE!H44</f>
        <v>0</v>
      </c>
      <c r="G65" s="33">
        <f>'Creve Coeur'!I44+CWE!I44</f>
        <v>0</v>
      </c>
      <c r="H65" s="33">
        <f>'Creve Coeur'!J44+CWE!J44</f>
        <v>0</v>
      </c>
      <c r="I65" s="33">
        <f>'Creve Coeur'!K44+CWE!K44</f>
        <v>-2098.3300000000004</v>
      </c>
      <c r="J65" s="2">
        <f t="shared" si="4"/>
        <v>-2098.3300000000004</v>
      </c>
    </row>
    <row r="66" spans="1:12" x14ac:dyDescent="0.25">
      <c r="A66" s="1" t="s">
        <v>0</v>
      </c>
      <c r="B66" s="10">
        <f>SUM(B49:B65)</f>
        <v>0</v>
      </c>
      <c r="C66" s="10">
        <f t="shared" ref="C66:J66" si="5">SUM(C49:C65)</f>
        <v>0</v>
      </c>
      <c r="D66" s="10">
        <f t="shared" si="5"/>
        <v>0</v>
      </c>
      <c r="E66" s="10">
        <f t="shared" si="5"/>
        <v>0</v>
      </c>
      <c r="F66" s="10">
        <f t="shared" si="5"/>
        <v>0</v>
      </c>
      <c r="G66" s="10">
        <f t="shared" si="5"/>
        <v>0</v>
      </c>
      <c r="H66" s="10">
        <f t="shared" si="5"/>
        <v>0</v>
      </c>
      <c r="I66" s="10">
        <f t="shared" si="5"/>
        <v>-6549.93</v>
      </c>
      <c r="J66" s="10">
        <f t="shared" si="5"/>
        <v>-6549.93</v>
      </c>
      <c r="K66" s="106"/>
      <c r="L66" s="108"/>
    </row>
    <row r="67" spans="1:12" ht="15.75" thickBot="1" x14ac:dyDescent="0.3">
      <c r="A67" s="1"/>
      <c r="B67" s="36"/>
      <c r="C67" s="36"/>
      <c r="D67" s="36"/>
      <c r="E67" s="36"/>
      <c r="F67" s="36"/>
      <c r="G67" s="36"/>
      <c r="H67" s="36"/>
      <c r="I67" s="36"/>
      <c r="J67" s="36"/>
    </row>
    <row r="68" spans="1:12" ht="15.75" thickBot="1" x14ac:dyDescent="0.3">
      <c r="A68" s="159" t="s">
        <v>251</v>
      </c>
      <c r="B68" s="160"/>
      <c r="C68" s="160"/>
      <c r="D68" s="160"/>
      <c r="E68" s="160"/>
      <c r="F68" s="160"/>
      <c r="G68" s="160"/>
      <c r="H68" s="160"/>
      <c r="I68" s="160"/>
      <c r="J68" s="161"/>
    </row>
    <row r="69" spans="1:12" x14ac:dyDescent="0.25">
      <c r="A69" s="4" t="s">
        <v>16</v>
      </c>
      <c r="B69" s="5" t="s">
        <v>15</v>
      </c>
      <c r="C69" s="5" t="s">
        <v>14</v>
      </c>
      <c r="D69" s="5" t="s">
        <v>13</v>
      </c>
      <c r="E69" s="5" t="s">
        <v>12</v>
      </c>
      <c r="F69" s="5" t="s">
        <v>94</v>
      </c>
      <c r="G69" s="5" t="s">
        <v>95</v>
      </c>
      <c r="H69" s="5" t="s">
        <v>38</v>
      </c>
      <c r="I69" s="5" t="s">
        <v>9</v>
      </c>
      <c r="J69" s="5" t="s">
        <v>0</v>
      </c>
    </row>
    <row r="70" spans="1:12" x14ac:dyDescent="0.25">
      <c r="A70" s="1" t="s">
        <v>49</v>
      </c>
      <c r="B70" s="33">
        <f>B8-B49</f>
        <v>0</v>
      </c>
      <c r="C70" s="33">
        <f t="shared" ref="C70:I70" si="6">C8-C49</f>
        <v>0</v>
      </c>
      <c r="D70" s="33">
        <f t="shared" si="6"/>
        <v>0</v>
      </c>
      <c r="E70" s="33">
        <f t="shared" si="6"/>
        <v>0</v>
      </c>
      <c r="F70" s="33">
        <f t="shared" si="6"/>
        <v>0</v>
      </c>
      <c r="G70" s="33">
        <f t="shared" si="6"/>
        <v>0</v>
      </c>
      <c r="H70" s="33">
        <f t="shared" si="6"/>
        <v>0</v>
      </c>
      <c r="I70" s="33">
        <f t="shared" si="6"/>
        <v>0</v>
      </c>
      <c r="J70" s="2">
        <f>SUM(B70:I70)</f>
        <v>0</v>
      </c>
    </row>
    <row r="71" spans="1:12" x14ac:dyDescent="0.25">
      <c r="A71" s="1" t="s">
        <v>8</v>
      </c>
      <c r="B71" s="33">
        <f t="shared" ref="B71:I71" si="7">B9-B50</f>
        <v>0</v>
      </c>
      <c r="C71" s="33">
        <f t="shared" si="7"/>
        <v>0</v>
      </c>
      <c r="D71" s="33">
        <f t="shared" si="7"/>
        <v>0</v>
      </c>
      <c r="E71" s="33">
        <f t="shared" si="7"/>
        <v>0</v>
      </c>
      <c r="F71" s="33">
        <f t="shared" si="7"/>
        <v>0</v>
      </c>
      <c r="G71" s="33">
        <f t="shared" si="7"/>
        <v>0</v>
      </c>
      <c r="H71" s="33">
        <f t="shared" si="7"/>
        <v>0</v>
      </c>
      <c r="I71" s="33">
        <f t="shared" si="7"/>
        <v>115</v>
      </c>
      <c r="J71" s="2">
        <f t="shared" ref="J71:J86" si="8">SUM(B71:I71)</f>
        <v>115</v>
      </c>
    </row>
    <row r="72" spans="1:12" x14ac:dyDescent="0.25">
      <c r="A72" s="1" t="s">
        <v>7</v>
      </c>
      <c r="B72" s="33">
        <f t="shared" ref="B72:I72" si="9">B10-B51</f>
        <v>0</v>
      </c>
      <c r="C72" s="33">
        <f t="shared" si="9"/>
        <v>0</v>
      </c>
      <c r="D72" s="33">
        <f t="shared" si="9"/>
        <v>0</v>
      </c>
      <c r="E72" s="33">
        <f t="shared" si="9"/>
        <v>0</v>
      </c>
      <c r="F72" s="33">
        <f t="shared" si="9"/>
        <v>0</v>
      </c>
      <c r="G72" s="33">
        <f t="shared" si="9"/>
        <v>0</v>
      </c>
      <c r="H72" s="33">
        <f t="shared" si="9"/>
        <v>0</v>
      </c>
      <c r="I72" s="33">
        <f t="shared" si="9"/>
        <v>174.40999999999997</v>
      </c>
      <c r="J72" s="2">
        <f t="shared" si="8"/>
        <v>174.40999999999997</v>
      </c>
    </row>
    <row r="73" spans="1:12" x14ac:dyDescent="0.25">
      <c r="A73" s="1" t="s">
        <v>42</v>
      </c>
      <c r="B73" s="33">
        <f t="shared" ref="B73:I73" si="10">B11-B52</f>
        <v>0</v>
      </c>
      <c r="C73" s="33">
        <f t="shared" si="10"/>
        <v>0</v>
      </c>
      <c r="D73" s="33">
        <f t="shared" si="10"/>
        <v>0</v>
      </c>
      <c r="E73" s="33">
        <f t="shared" si="10"/>
        <v>0</v>
      </c>
      <c r="F73" s="33">
        <f t="shared" si="10"/>
        <v>0</v>
      </c>
      <c r="G73" s="33">
        <f t="shared" si="10"/>
        <v>0</v>
      </c>
      <c r="H73" s="33">
        <f t="shared" si="10"/>
        <v>0</v>
      </c>
      <c r="I73" s="33">
        <f t="shared" si="10"/>
        <v>0</v>
      </c>
      <c r="J73" s="2">
        <f t="shared" si="8"/>
        <v>0</v>
      </c>
    </row>
    <row r="74" spans="1:12" x14ac:dyDescent="0.25">
      <c r="A74" s="1" t="s">
        <v>6</v>
      </c>
      <c r="B74" s="33">
        <f t="shared" ref="B74:I74" si="11">B12-B53</f>
        <v>0</v>
      </c>
      <c r="C74" s="33">
        <f t="shared" si="11"/>
        <v>0</v>
      </c>
      <c r="D74" s="33">
        <f t="shared" si="11"/>
        <v>0</v>
      </c>
      <c r="E74" s="33">
        <f t="shared" si="11"/>
        <v>0</v>
      </c>
      <c r="F74" s="33">
        <f t="shared" si="11"/>
        <v>0</v>
      </c>
      <c r="G74" s="33">
        <f t="shared" si="11"/>
        <v>0</v>
      </c>
      <c r="H74" s="33">
        <f t="shared" si="11"/>
        <v>0</v>
      </c>
      <c r="I74" s="33">
        <f t="shared" si="11"/>
        <v>-1695.3100000000009</v>
      </c>
      <c r="J74" s="2">
        <f t="shared" si="8"/>
        <v>-1695.3100000000009</v>
      </c>
    </row>
    <row r="75" spans="1:12" x14ac:dyDescent="0.25">
      <c r="A75" s="1" t="s">
        <v>50</v>
      </c>
      <c r="B75" s="33">
        <f t="shared" ref="B75:I75" si="12">B13-B54</f>
        <v>0</v>
      </c>
      <c r="C75" s="33">
        <f t="shared" si="12"/>
        <v>0</v>
      </c>
      <c r="D75" s="33">
        <f t="shared" si="12"/>
        <v>0</v>
      </c>
      <c r="E75" s="33">
        <f t="shared" si="12"/>
        <v>0</v>
      </c>
      <c r="F75" s="33">
        <f t="shared" si="12"/>
        <v>0</v>
      </c>
      <c r="G75" s="33">
        <f t="shared" si="12"/>
        <v>0</v>
      </c>
      <c r="H75" s="33">
        <f t="shared" si="12"/>
        <v>0</v>
      </c>
      <c r="I75" s="33">
        <f t="shared" si="12"/>
        <v>0</v>
      </c>
      <c r="J75" s="2">
        <f t="shared" si="8"/>
        <v>0</v>
      </c>
    </row>
    <row r="76" spans="1:12" x14ac:dyDescent="0.25">
      <c r="A76" s="1" t="s">
        <v>89</v>
      </c>
      <c r="B76" s="33">
        <f t="shared" ref="B76:I76" si="13">B14-B55</f>
        <v>0</v>
      </c>
      <c r="C76" s="33">
        <f t="shared" si="13"/>
        <v>0</v>
      </c>
      <c r="D76" s="33">
        <f t="shared" si="13"/>
        <v>0</v>
      </c>
      <c r="E76" s="33">
        <f t="shared" si="13"/>
        <v>0</v>
      </c>
      <c r="F76" s="33">
        <f t="shared" si="13"/>
        <v>0</v>
      </c>
      <c r="G76" s="33">
        <f t="shared" si="13"/>
        <v>0</v>
      </c>
      <c r="H76" s="33">
        <f t="shared" si="13"/>
        <v>0</v>
      </c>
      <c r="I76" s="33">
        <f t="shared" si="13"/>
        <v>0</v>
      </c>
      <c r="J76" s="2">
        <f t="shared" si="8"/>
        <v>0</v>
      </c>
    </row>
    <row r="77" spans="1:12" x14ac:dyDescent="0.25">
      <c r="A77" s="1" t="s">
        <v>5</v>
      </c>
      <c r="B77" s="33">
        <f t="shared" ref="B77:I77" si="14">B15-B56</f>
        <v>0</v>
      </c>
      <c r="C77" s="33">
        <f t="shared" si="14"/>
        <v>0</v>
      </c>
      <c r="D77" s="33">
        <f t="shared" si="14"/>
        <v>0</v>
      </c>
      <c r="E77" s="33">
        <f t="shared" si="14"/>
        <v>0</v>
      </c>
      <c r="F77" s="33">
        <f t="shared" si="14"/>
        <v>0</v>
      </c>
      <c r="G77" s="33">
        <f t="shared" si="14"/>
        <v>0</v>
      </c>
      <c r="H77" s="33">
        <f t="shared" si="14"/>
        <v>0</v>
      </c>
      <c r="I77" s="33">
        <f t="shared" si="14"/>
        <v>0</v>
      </c>
      <c r="J77" s="2">
        <f t="shared" si="8"/>
        <v>0</v>
      </c>
    </row>
    <row r="78" spans="1:12" x14ac:dyDescent="0.25">
      <c r="A78" s="1" t="s">
        <v>84</v>
      </c>
      <c r="B78" s="33">
        <f t="shared" ref="B78:I78" si="15">B16-B57</f>
        <v>0</v>
      </c>
      <c r="C78" s="33">
        <f t="shared" si="15"/>
        <v>0</v>
      </c>
      <c r="D78" s="33">
        <f t="shared" si="15"/>
        <v>0</v>
      </c>
      <c r="E78" s="33">
        <f t="shared" si="15"/>
        <v>0</v>
      </c>
      <c r="F78" s="33">
        <f t="shared" si="15"/>
        <v>0</v>
      </c>
      <c r="G78" s="33">
        <f t="shared" si="15"/>
        <v>0</v>
      </c>
      <c r="H78" s="33">
        <f t="shared" si="15"/>
        <v>0</v>
      </c>
      <c r="I78" s="33">
        <f t="shared" si="15"/>
        <v>-13.600000000000001</v>
      </c>
      <c r="J78" s="2">
        <f t="shared" si="8"/>
        <v>-13.600000000000001</v>
      </c>
    </row>
    <row r="79" spans="1:12" x14ac:dyDescent="0.25">
      <c r="A79" s="1" t="s">
        <v>4</v>
      </c>
      <c r="B79" s="33">
        <f t="shared" ref="B79:I79" si="16">B17-B58</f>
        <v>0</v>
      </c>
      <c r="C79" s="33">
        <f t="shared" si="16"/>
        <v>0</v>
      </c>
      <c r="D79" s="33">
        <f t="shared" si="16"/>
        <v>0</v>
      </c>
      <c r="E79" s="33">
        <f t="shared" si="16"/>
        <v>0</v>
      </c>
      <c r="F79" s="33">
        <f t="shared" si="16"/>
        <v>0</v>
      </c>
      <c r="G79" s="33">
        <f t="shared" si="16"/>
        <v>0</v>
      </c>
      <c r="H79" s="33">
        <f t="shared" si="16"/>
        <v>0</v>
      </c>
      <c r="I79" s="33">
        <f t="shared" si="16"/>
        <v>1837.7300000000009</v>
      </c>
      <c r="J79" s="2">
        <f t="shared" si="8"/>
        <v>1837.7300000000009</v>
      </c>
    </row>
    <row r="80" spans="1:12" x14ac:dyDescent="0.25">
      <c r="A80" s="1" t="s">
        <v>51</v>
      </c>
      <c r="B80" s="33">
        <f t="shared" ref="B80:I80" si="17">B18-B59</f>
        <v>0</v>
      </c>
      <c r="C80" s="33">
        <f t="shared" si="17"/>
        <v>0</v>
      </c>
      <c r="D80" s="33">
        <f t="shared" si="17"/>
        <v>0</v>
      </c>
      <c r="E80" s="33">
        <f t="shared" si="17"/>
        <v>0</v>
      </c>
      <c r="F80" s="33">
        <f t="shared" si="17"/>
        <v>0</v>
      </c>
      <c r="G80" s="33">
        <f t="shared" si="17"/>
        <v>0</v>
      </c>
      <c r="H80" s="33">
        <f t="shared" si="17"/>
        <v>0</v>
      </c>
      <c r="I80" s="33">
        <f t="shared" si="17"/>
        <v>0</v>
      </c>
      <c r="J80" s="2">
        <f t="shared" si="8"/>
        <v>0</v>
      </c>
    </row>
    <row r="81" spans="1:12" x14ac:dyDescent="0.25">
      <c r="A81" s="1" t="s">
        <v>85</v>
      </c>
      <c r="B81" s="33">
        <f t="shared" ref="B81:I81" si="18">B19-B60</f>
        <v>0</v>
      </c>
      <c r="C81" s="33">
        <f t="shared" si="18"/>
        <v>0</v>
      </c>
      <c r="D81" s="33">
        <f t="shared" si="18"/>
        <v>0</v>
      </c>
      <c r="E81" s="33">
        <f t="shared" si="18"/>
        <v>0</v>
      </c>
      <c r="F81" s="33">
        <f t="shared" si="18"/>
        <v>0</v>
      </c>
      <c r="G81" s="33">
        <f t="shared" si="18"/>
        <v>0</v>
      </c>
      <c r="H81" s="33">
        <f t="shared" si="18"/>
        <v>0</v>
      </c>
      <c r="I81" s="33">
        <f t="shared" si="18"/>
        <v>0</v>
      </c>
      <c r="J81" s="2">
        <f t="shared" si="8"/>
        <v>0</v>
      </c>
    </row>
    <row r="82" spans="1:12" x14ac:dyDescent="0.25">
      <c r="A82" s="1" t="s">
        <v>2</v>
      </c>
      <c r="B82" s="33">
        <f t="shared" ref="B82:I82" si="19">B20-B61</f>
        <v>-25887.81</v>
      </c>
      <c r="C82" s="33">
        <f t="shared" si="19"/>
        <v>0</v>
      </c>
      <c r="D82" s="33">
        <f t="shared" si="19"/>
        <v>0</v>
      </c>
      <c r="E82" s="33">
        <f t="shared" si="19"/>
        <v>0</v>
      </c>
      <c r="F82" s="33">
        <f t="shared" si="19"/>
        <v>0</v>
      </c>
      <c r="G82" s="33">
        <f t="shared" si="19"/>
        <v>0</v>
      </c>
      <c r="H82" s="33">
        <f t="shared" si="19"/>
        <v>0</v>
      </c>
      <c r="I82" s="33">
        <f t="shared" si="19"/>
        <v>-251.48999999999998</v>
      </c>
      <c r="J82" s="2">
        <f t="shared" si="8"/>
        <v>-26139.300000000003</v>
      </c>
    </row>
    <row r="83" spans="1:12" x14ac:dyDescent="0.25">
      <c r="A83" s="1" t="s">
        <v>86</v>
      </c>
      <c r="B83" s="33">
        <f t="shared" ref="B83:I83" si="20">B21-B62</f>
        <v>0</v>
      </c>
      <c r="C83" s="33">
        <f t="shared" si="20"/>
        <v>0</v>
      </c>
      <c r="D83" s="33">
        <f t="shared" si="20"/>
        <v>0</v>
      </c>
      <c r="E83" s="33">
        <f t="shared" si="20"/>
        <v>0</v>
      </c>
      <c r="F83" s="33">
        <f t="shared" si="20"/>
        <v>0</v>
      </c>
      <c r="G83" s="33">
        <f t="shared" si="20"/>
        <v>0</v>
      </c>
      <c r="H83" s="33">
        <f t="shared" si="20"/>
        <v>0</v>
      </c>
      <c r="I83" s="33">
        <f t="shared" si="20"/>
        <v>8.25</v>
      </c>
      <c r="J83" s="2">
        <f t="shared" si="8"/>
        <v>8.25</v>
      </c>
    </row>
    <row r="84" spans="1:12" x14ac:dyDescent="0.25">
      <c r="A84" s="1" t="s">
        <v>29</v>
      </c>
      <c r="B84" s="33">
        <f t="shared" ref="B84:I84" si="21">B22-B63</f>
        <v>0</v>
      </c>
      <c r="C84" s="33">
        <f t="shared" si="21"/>
        <v>0</v>
      </c>
      <c r="D84" s="33">
        <f t="shared" si="21"/>
        <v>0</v>
      </c>
      <c r="E84" s="33">
        <f t="shared" si="21"/>
        <v>0</v>
      </c>
      <c r="F84" s="33">
        <f t="shared" si="21"/>
        <v>0</v>
      </c>
      <c r="G84" s="33">
        <f t="shared" si="21"/>
        <v>0</v>
      </c>
      <c r="H84" s="33">
        <f t="shared" si="21"/>
        <v>0</v>
      </c>
      <c r="I84" s="33">
        <f t="shared" si="21"/>
        <v>10.009999999999991</v>
      </c>
      <c r="J84" s="2">
        <f t="shared" si="8"/>
        <v>10.009999999999991</v>
      </c>
    </row>
    <row r="85" spans="1:12" x14ac:dyDescent="0.25">
      <c r="A85" s="1" t="s">
        <v>52</v>
      </c>
      <c r="B85" s="33">
        <f t="shared" ref="B85:I85" si="22">B23-B64</f>
        <v>0</v>
      </c>
      <c r="C85" s="33">
        <f t="shared" si="22"/>
        <v>0</v>
      </c>
      <c r="D85" s="33">
        <f t="shared" si="22"/>
        <v>0</v>
      </c>
      <c r="E85" s="33">
        <f t="shared" si="22"/>
        <v>0</v>
      </c>
      <c r="F85" s="33">
        <f t="shared" si="22"/>
        <v>0</v>
      </c>
      <c r="G85" s="33">
        <f t="shared" si="22"/>
        <v>0</v>
      </c>
      <c r="H85" s="33">
        <f t="shared" si="22"/>
        <v>0</v>
      </c>
      <c r="I85" s="33">
        <f t="shared" si="22"/>
        <v>0</v>
      </c>
      <c r="J85" s="2">
        <f t="shared" si="8"/>
        <v>0</v>
      </c>
    </row>
    <row r="86" spans="1:12" x14ac:dyDescent="0.25">
      <c r="A86" s="1" t="s">
        <v>1</v>
      </c>
      <c r="B86" s="33">
        <f t="shared" ref="B86:I86" si="23">B24-B65</f>
        <v>0</v>
      </c>
      <c r="C86" s="33">
        <f t="shared" si="23"/>
        <v>0</v>
      </c>
      <c r="D86" s="33">
        <f t="shared" si="23"/>
        <v>0</v>
      </c>
      <c r="E86" s="33">
        <f t="shared" si="23"/>
        <v>0</v>
      </c>
      <c r="F86" s="33">
        <f t="shared" si="23"/>
        <v>0</v>
      </c>
      <c r="G86" s="33">
        <f t="shared" si="23"/>
        <v>0</v>
      </c>
      <c r="H86" s="33">
        <f t="shared" si="23"/>
        <v>0</v>
      </c>
      <c r="I86" s="33">
        <f t="shared" si="23"/>
        <v>0</v>
      </c>
      <c r="J86" s="2">
        <f t="shared" si="8"/>
        <v>0</v>
      </c>
    </row>
    <row r="87" spans="1:12" x14ac:dyDescent="0.25">
      <c r="A87" s="1" t="s">
        <v>0</v>
      </c>
      <c r="B87" s="10">
        <f>SUM(B70:B86)</f>
        <v>-25887.81</v>
      </c>
      <c r="C87" s="10">
        <f t="shared" ref="C87:J87" si="24">SUM(C70:C86)</f>
        <v>0</v>
      </c>
      <c r="D87" s="10">
        <f t="shared" si="24"/>
        <v>0</v>
      </c>
      <c r="E87" s="10">
        <f t="shared" si="24"/>
        <v>0</v>
      </c>
      <c r="F87" s="10">
        <f t="shared" si="24"/>
        <v>0</v>
      </c>
      <c r="G87" s="10">
        <f t="shared" si="24"/>
        <v>0</v>
      </c>
      <c r="H87" s="10">
        <f t="shared" si="24"/>
        <v>0</v>
      </c>
      <c r="I87" s="10">
        <f t="shared" si="24"/>
        <v>185.00000000000003</v>
      </c>
      <c r="J87" s="10">
        <f t="shared" si="24"/>
        <v>-25702.810000000005</v>
      </c>
      <c r="K87" s="106">
        <v>140343.4</v>
      </c>
      <c r="L87" s="106">
        <f>+K87-J87</f>
        <v>166046.21</v>
      </c>
    </row>
    <row r="88" spans="1:12" ht="15.75" thickBot="1" x14ac:dyDescent="0.3">
      <c r="A88" s="1"/>
      <c r="B88" s="36"/>
      <c r="C88" s="36"/>
      <c r="D88" s="36"/>
      <c r="E88" s="36"/>
      <c r="F88" s="36"/>
      <c r="G88" s="36"/>
      <c r="H88" s="36"/>
      <c r="I88" s="36"/>
      <c r="J88" s="36"/>
    </row>
    <row r="89" spans="1:12" ht="15.75" thickBot="1" x14ac:dyDescent="0.3">
      <c r="A89" s="150" t="s">
        <v>33</v>
      </c>
      <c r="B89" s="151"/>
      <c r="C89" s="151"/>
      <c r="D89" s="151"/>
      <c r="E89" s="151"/>
      <c r="F89" s="151"/>
      <c r="G89" s="151"/>
      <c r="H89" s="151"/>
      <c r="I89" s="151"/>
      <c r="J89" s="152"/>
    </row>
    <row r="90" spans="1:12" x14ac:dyDescent="0.25">
      <c r="A90" s="4" t="s">
        <v>16</v>
      </c>
      <c r="B90" s="5" t="s">
        <v>15</v>
      </c>
      <c r="C90" s="5" t="s">
        <v>14</v>
      </c>
      <c r="D90" s="5" t="s">
        <v>13</v>
      </c>
      <c r="E90" s="5" t="s">
        <v>12</v>
      </c>
      <c r="F90" s="5" t="s">
        <v>94</v>
      </c>
      <c r="G90" s="5" t="s">
        <v>95</v>
      </c>
      <c r="H90" s="5" t="s">
        <v>38</v>
      </c>
      <c r="I90" s="5" t="s">
        <v>9</v>
      </c>
      <c r="J90" s="5" t="s">
        <v>0</v>
      </c>
    </row>
    <row r="91" spans="1:12" x14ac:dyDescent="0.25">
      <c r="A91" s="1" t="s">
        <v>49</v>
      </c>
      <c r="B91" s="37">
        <f>'Creve Coeur'!D90+CWE!D90+'Clinic 3'!B49+'Clinic 4'!B49+'Clinic 5'!B49+'Clinic 6'!B49+'Clinic 7'!B49+'Clinic 8'!B49+'Clinic 9'!B49+'Clinic 10'!B49+'Clinic 11'!B49+'Clinic 12'!B49+'Clinic 13'!B49+'Clinic 14'!B49+'Clinic 15'!B49</f>
        <v>0</v>
      </c>
      <c r="C91" s="37">
        <f>'Creve Coeur'!E90+CWE!E90+'Clinic 3'!C49+'Clinic 4'!C49+'Clinic 5'!C49+'Clinic 6'!C49+'Clinic 7'!C49+'Clinic 8'!C49+'Clinic 9'!C49+'Clinic 10'!C49+'Clinic 11'!C49+'Clinic 12'!C49+'Clinic 13'!C49+'Clinic 14'!C49+'Clinic 15'!C49</f>
        <v>0</v>
      </c>
      <c r="D91" s="37">
        <f>'Creve Coeur'!F90+CWE!F90+'Clinic 3'!D49+'Clinic 4'!D49+'Clinic 5'!D49+'Clinic 6'!D49+'Clinic 7'!D49+'Clinic 8'!D49+'Clinic 9'!D49+'Clinic 10'!D49+'Clinic 11'!D49+'Clinic 12'!D49+'Clinic 13'!D49+'Clinic 14'!D49+'Clinic 15'!D49</f>
        <v>0</v>
      </c>
      <c r="E91" s="37">
        <f>'Creve Coeur'!G90+CWE!G90+'Clinic 3'!E49+'Clinic 4'!E49+'Clinic 5'!E49+'Clinic 6'!E49+'Clinic 7'!E49+'Clinic 8'!E49+'Clinic 9'!E49+'Clinic 10'!E49+'Clinic 11'!E49+'Clinic 12'!E49+'Clinic 13'!E49+'Clinic 14'!E49+'Clinic 15'!E49</f>
        <v>0</v>
      </c>
      <c r="F91" s="37">
        <f>'Creve Coeur'!H90+CWE!H90+'Clinic 3'!F49+'Clinic 4'!F49+'Clinic 5'!F49+'Clinic 6'!F49+'Clinic 7'!F49+'Clinic 8'!F49+'Clinic 9'!F49+'Clinic 10'!F49+'Clinic 11'!F49+'Clinic 12'!F49+'Clinic 13'!F49+'Clinic 14'!F49+'Clinic 15'!F49</f>
        <v>0</v>
      </c>
      <c r="G91" s="37">
        <f>'Creve Coeur'!I90+CWE!I90+'Clinic 3'!G49+'Clinic 4'!G49+'Clinic 5'!G49+'Clinic 6'!G49+'Clinic 7'!G49+'Clinic 8'!G49+'Clinic 9'!G49+'Clinic 10'!G49+'Clinic 11'!G49+'Clinic 12'!G49+'Clinic 13'!G49+'Clinic 14'!G49+'Clinic 15'!G49</f>
        <v>0</v>
      </c>
      <c r="H91" s="37">
        <f>'Creve Coeur'!J90+CWE!J90+'Clinic 3'!H49+'Clinic 4'!H49+'Clinic 5'!H49+'Clinic 6'!H49+'Clinic 7'!H49+'Clinic 8'!H49+'Clinic 9'!H49+'Clinic 10'!H49+'Clinic 11'!H49+'Clinic 12'!H49+'Clinic 13'!H49+'Clinic 14'!H49+'Clinic 15'!H49</f>
        <v>0</v>
      </c>
      <c r="I91" s="37">
        <f>'Creve Coeur'!K90+CWE!K90+'Clinic 3'!I49+'Clinic 4'!I49+'Clinic 5'!I49+'Clinic 6'!I49+'Clinic 7'!I49+'Clinic 8'!I49+'Clinic 9'!I49+'Clinic 10'!I49+'Clinic 11'!I49+'Clinic 12'!I49+'Clinic 13'!I49+'Clinic 14'!I49+'Clinic 15'!I49</f>
        <v>0</v>
      </c>
      <c r="J91" s="37">
        <f>SUM(B91:I91)</f>
        <v>0</v>
      </c>
    </row>
    <row r="92" spans="1:12" x14ac:dyDescent="0.25">
      <c r="A92" s="1" t="s">
        <v>8</v>
      </c>
      <c r="B92" s="37">
        <f>'Creve Coeur'!D91+CWE!D91+'Clinic 3'!B50+'Clinic 4'!B50+'Clinic 5'!B50+'Clinic 6'!B50+'Clinic 7'!B50+'Clinic 8'!B50+'Clinic 9'!B50+'Clinic 10'!B50+'Clinic 11'!B50+'Clinic 12'!B50+'Clinic 13'!B50+'Clinic 14'!B50+'Clinic 15'!B50</f>
        <v>0</v>
      </c>
      <c r="C92" s="37">
        <f>'Creve Coeur'!E91+CWE!E91+'Clinic 3'!C50+'Clinic 4'!C50+'Clinic 5'!C50+'Clinic 6'!C50+'Clinic 7'!C50+'Clinic 8'!C50+'Clinic 9'!C50+'Clinic 10'!C50+'Clinic 11'!C50+'Clinic 12'!C50+'Clinic 13'!C50+'Clinic 14'!C50+'Clinic 15'!C50</f>
        <v>0</v>
      </c>
      <c r="D92" s="37">
        <f>'Creve Coeur'!F91+CWE!F91+'Clinic 3'!D50+'Clinic 4'!D50+'Clinic 5'!D50+'Clinic 6'!D50+'Clinic 7'!D50+'Clinic 8'!D50+'Clinic 9'!D50+'Clinic 10'!D50+'Clinic 11'!D50+'Clinic 12'!D50+'Clinic 13'!D50+'Clinic 14'!D50+'Clinic 15'!D50</f>
        <v>0</v>
      </c>
      <c r="E92" s="37">
        <f>'Creve Coeur'!G91+CWE!G91+'Clinic 3'!E50+'Clinic 4'!E50+'Clinic 5'!E50+'Clinic 6'!E50+'Clinic 7'!E50+'Clinic 8'!E50+'Clinic 9'!E50+'Clinic 10'!E50+'Clinic 11'!E50+'Clinic 12'!E50+'Clinic 13'!E50+'Clinic 14'!E50+'Clinic 15'!E50</f>
        <v>0</v>
      </c>
      <c r="F92" s="37">
        <f>'Creve Coeur'!H91+CWE!H91+'Clinic 3'!F50+'Clinic 4'!F50+'Clinic 5'!F50+'Clinic 6'!F50+'Clinic 7'!F50+'Clinic 8'!F50+'Clinic 9'!F50+'Clinic 10'!F50+'Clinic 11'!F50+'Clinic 12'!F50+'Clinic 13'!F50+'Clinic 14'!F50+'Clinic 15'!F50</f>
        <v>0</v>
      </c>
      <c r="G92" s="37">
        <f>'Creve Coeur'!I91+CWE!I91+'Clinic 3'!G50+'Clinic 4'!G50+'Clinic 5'!G50+'Clinic 6'!G50+'Clinic 7'!G50+'Clinic 8'!G50+'Clinic 9'!G50+'Clinic 10'!G50+'Clinic 11'!G50+'Clinic 12'!G50+'Clinic 13'!G50+'Clinic 14'!G50+'Clinic 15'!G50</f>
        <v>0</v>
      </c>
      <c r="H92" s="37">
        <f>'Creve Coeur'!J91+CWE!J91+'Clinic 3'!H50+'Clinic 4'!H50+'Clinic 5'!H50+'Clinic 6'!H50+'Clinic 7'!H50+'Clinic 8'!H50+'Clinic 9'!H50+'Clinic 10'!H50+'Clinic 11'!H50+'Clinic 12'!H50+'Clinic 13'!H50+'Clinic 14'!H50+'Clinic 15'!H50</f>
        <v>0</v>
      </c>
      <c r="I92" s="37">
        <f>'Creve Coeur'!K91+CWE!K91+'Clinic 3'!I50+'Clinic 4'!I50+'Clinic 5'!I50+'Clinic 6'!I50+'Clinic 7'!I50+'Clinic 8'!I50+'Clinic 9'!I50+'Clinic 10'!I50+'Clinic 11'!I50+'Clinic 12'!I50+'Clinic 13'!I50+'Clinic 14'!I50+'Clinic 15'!I50</f>
        <v>0</v>
      </c>
      <c r="J92" s="37">
        <f t="shared" ref="J92:J107" si="25">SUM(B92:I92)</f>
        <v>0</v>
      </c>
    </row>
    <row r="93" spans="1:12" x14ac:dyDescent="0.25">
      <c r="A93" s="1" t="s">
        <v>7</v>
      </c>
      <c r="B93" s="37">
        <f>'Creve Coeur'!D92+CWE!D92+'Clinic 3'!B51+'Clinic 4'!B51+'Clinic 5'!B51+'Clinic 6'!B51+'Clinic 7'!B51+'Clinic 8'!B51+'Clinic 9'!B51+'Clinic 10'!B51+'Clinic 11'!B51+'Clinic 12'!B51+'Clinic 13'!B51+'Clinic 14'!B51+'Clinic 15'!B51</f>
        <v>0</v>
      </c>
      <c r="C93" s="37">
        <f>'Creve Coeur'!E92+CWE!E92+'Clinic 3'!C51+'Clinic 4'!C51+'Clinic 5'!C51+'Clinic 6'!C51+'Clinic 7'!C51+'Clinic 8'!C51+'Clinic 9'!C51+'Clinic 10'!C51+'Clinic 11'!C51+'Clinic 12'!C51+'Clinic 13'!C51+'Clinic 14'!C51+'Clinic 15'!C51</f>
        <v>0</v>
      </c>
      <c r="D93" s="37">
        <f>'Creve Coeur'!F92+CWE!F92+'Clinic 3'!D51+'Clinic 4'!D51+'Clinic 5'!D51+'Clinic 6'!D51+'Clinic 7'!D51+'Clinic 8'!D51+'Clinic 9'!D51+'Clinic 10'!D51+'Clinic 11'!D51+'Clinic 12'!D51+'Clinic 13'!D51+'Clinic 14'!D51+'Clinic 15'!D51</f>
        <v>0</v>
      </c>
      <c r="E93" s="37">
        <f>'Creve Coeur'!G92+CWE!G92+'Clinic 3'!E51+'Clinic 4'!E51+'Clinic 5'!E51+'Clinic 6'!E51+'Clinic 7'!E51+'Clinic 8'!E51+'Clinic 9'!E51+'Clinic 10'!E51+'Clinic 11'!E51+'Clinic 12'!E51+'Clinic 13'!E51+'Clinic 14'!E51+'Clinic 15'!E51</f>
        <v>0</v>
      </c>
      <c r="F93" s="37">
        <f>'Creve Coeur'!H92+CWE!H92+'Clinic 3'!F51+'Clinic 4'!F51+'Clinic 5'!F51+'Clinic 6'!F51+'Clinic 7'!F51+'Clinic 8'!F51+'Clinic 9'!F51+'Clinic 10'!F51+'Clinic 11'!F51+'Clinic 12'!F51+'Clinic 13'!F51+'Clinic 14'!F51+'Clinic 15'!F51</f>
        <v>0</v>
      </c>
      <c r="G93" s="37">
        <f>'Creve Coeur'!I92+CWE!I92+'Clinic 3'!G51+'Clinic 4'!G51+'Clinic 5'!G51+'Clinic 6'!G51+'Clinic 7'!G51+'Clinic 8'!G51+'Clinic 9'!G51+'Clinic 10'!G51+'Clinic 11'!G51+'Clinic 12'!G51+'Clinic 13'!G51+'Clinic 14'!G51+'Clinic 15'!G51</f>
        <v>0</v>
      </c>
      <c r="H93" s="37">
        <f>'Creve Coeur'!J92+CWE!J92+'Clinic 3'!H51+'Clinic 4'!H51+'Clinic 5'!H51+'Clinic 6'!H51+'Clinic 7'!H51+'Clinic 8'!H51+'Clinic 9'!H51+'Clinic 10'!H51+'Clinic 11'!H51+'Clinic 12'!H51+'Clinic 13'!H51+'Clinic 14'!H51+'Clinic 15'!H51</f>
        <v>0</v>
      </c>
      <c r="I93" s="37">
        <f>'Creve Coeur'!K92+CWE!K92+'Clinic 3'!I51+'Clinic 4'!I51+'Clinic 5'!I51+'Clinic 6'!I51+'Clinic 7'!I51+'Clinic 8'!I51+'Clinic 9'!I51+'Clinic 10'!I51+'Clinic 11'!I51+'Clinic 12'!I51+'Clinic 13'!I51+'Clinic 14'!I51+'Clinic 15'!I51</f>
        <v>174.40999999999997</v>
      </c>
      <c r="J93" s="37">
        <f t="shared" si="25"/>
        <v>174.40999999999997</v>
      </c>
    </row>
    <row r="94" spans="1:12" x14ac:dyDescent="0.25">
      <c r="A94" s="1" t="s">
        <v>42</v>
      </c>
      <c r="B94" s="37">
        <f>'Creve Coeur'!D93+CWE!D93+'Clinic 3'!B52+'Clinic 4'!B52+'Clinic 5'!B52+'Clinic 6'!B52+'Clinic 7'!B52+'Clinic 8'!B52+'Clinic 9'!B52+'Clinic 10'!B52+'Clinic 11'!B52+'Clinic 12'!B52+'Clinic 13'!B52+'Clinic 14'!B52+'Clinic 15'!B52</f>
        <v>0</v>
      </c>
      <c r="C94" s="37">
        <f>'Creve Coeur'!E93+CWE!E93+'Clinic 3'!C52+'Clinic 4'!C52+'Clinic 5'!C52+'Clinic 6'!C52+'Clinic 7'!C52+'Clinic 8'!C52+'Clinic 9'!C52+'Clinic 10'!C52+'Clinic 11'!C52+'Clinic 12'!C52+'Clinic 13'!C52+'Clinic 14'!C52+'Clinic 15'!C52</f>
        <v>0</v>
      </c>
      <c r="D94" s="37">
        <f>'Creve Coeur'!F93+CWE!F93+'Clinic 3'!D52+'Clinic 4'!D52+'Clinic 5'!D52+'Clinic 6'!D52+'Clinic 7'!D52+'Clinic 8'!D52+'Clinic 9'!D52+'Clinic 10'!D52+'Clinic 11'!D52+'Clinic 12'!D52+'Clinic 13'!D52+'Clinic 14'!D52+'Clinic 15'!D52</f>
        <v>0</v>
      </c>
      <c r="E94" s="37">
        <f>'Creve Coeur'!G93+CWE!G93+'Clinic 3'!E52+'Clinic 4'!E52+'Clinic 5'!E52+'Clinic 6'!E52+'Clinic 7'!E52+'Clinic 8'!E52+'Clinic 9'!E52+'Clinic 10'!E52+'Clinic 11'!E52+'Clinic 12'!E52+'Clinic 13'!E52+'Clinic 14'!E52+'Clinic 15'!E52</f>
        <v>0</v>
      </c>
      <c r="F94" s="37">
        <f>'Creve Coeur'!H93+CWE!H93+'Clinic 3'!F52+'Clinic 4'!F52+'Clinic 5'!F52+'Clinic 6'!F52+'Clinic 7'!F52+'Clinic 8'!F52+'Clinic 9'!F52+'Clinic 10'!F52+'Clinic 11'!F52+'Clinic 12'!F52+'Clinic 13'!F52+'Clinic 14'!F52+'Clinic 15'!F52</f>
        <v>0</v>
      </c>
      <c r="G94" s="37">
        <f>'Creve Coeur'!I93+CWE!I93+'Clinic 3'!G52+'Clinic 4'!G52+'Clinic 5'!G52+'Clinic 6'!G52+'Clinic 7'!G52+'Clinic 8'!G52+'Clinic 9'!G52+'Clinic 10'!G52+'Clinic 11'!G52+'Clinic 12'!G52+'Clinic 13'!G52+'Clinic 14'!G52+'Clinic 15'!G52</f>
        <v>0</v>
      </c>
      <c r="H94" s="37">
        <f>'Creve Coeur'!J93+CWE!J93+'Clinic 3'!H52+'Clinic 4'!H52+'Clinic 5'!H52+'Clinic 6'!H52+'Clinic 7'!H52+'Clinic 8'!H52+'Clinic 9'!H52+'Clinic 10'!H52+'Clinic 11'!H52+'Clinic 12'!H52+'Clinic 13'!H52+'Clinic 14'!H52+'Clinic 15'!H52</f>
        <v>0</v>
      </c>
      <c r="I94" s="37">
        <f>'Creve Coeur'!K93+CWE!K93+'Clinic 3'!I52+'Clinic 4'!I52+'Clinic 5'!I52+'Clinic 6'!I52+'Clinic 7'!I52+'Clinic 8'!I52+'Clinic 9'!I52+'Clinic 10'!I52+'Clinic 11'!I52+'Clinic 12'!I52+'Clinic 13'!I52+'Clinic 14'!I52+'Clinic 15'!I52</f>
        <v>0</v>
      </c>
      <c r="J94" s="37">
        <f t="shared" si="25"/>
        <v>0</v>
      </c>
    </row>
    <row r="95" spans="1:12" x14ac:dyDescent="0.25">
      <c r="A95" s="1" t="s">
        <v>6</v>
      </c>
      <c r="B95" s="37">
        <f>'Creve Coeur'!D94+CWE!D94+'Clinic 3'!B53+'Clinic 4'!B53+'Clinic 5'!B53+'Clinic 6'!B53+'Clinic 7'!B53+'Clinic 8'!B53+'Clinic 9'!B53+'Clinic 10'!B53+'Clinic 11'!B53+'Clinic 12'!B53+'Clinic 13'!B53+'Clinic 14'!B53+'Clinic 15'!B53</f>
        <v>0</v>
      </c>
      <c r="C95" s="37">
        <f>'Creve Coeur'!E94+CWE!E94+'Clinic 3'!C53+'Clinic 4'!C53+'Clinic 5'!C53+'Clinic 6'!C53+'Clinic 7'!C53+'Clinic 8'!C53+'Clinic 9'!C53+'Clinic 10'!C53+'Clinic 11'!C53+'Clinic 12'!C53+'Clinic 13'!C53+'Clinic 14'!C53+'Clinic 15'!C53</f>
        <v>0</v>
      </c>
      <c r="D95" s="37">
        <f>'Creve Coeur'!F94+CWE!F94+'Clinic 3'!D53+'Clinic 4'!D53+'Clinic 5'!D53+'Clinic 6'!D53+'Clinic 7'!D53+'Clinic 8'!D53+'Clinic 9'!D53+'Clinic 10'!D53+'Clinic 11'!D53+'Clinic 12'!D53+'Clinic 13'!D53+'Clinic 14'!D53+'Clinic 15'!D53</f>
        <v>0</v>
      </c>
      <c r="E95" s="37">
        <f>'Creve Coeur'!G94+CWE!G94+'Clinic 3'!E53+'Clinic 4'!E53+'Clinic 5'!E53+'Clinic 6'!E53+'Clinic 7'!E53+'Clinic 8'!E53+'Clinic 9'!E53+'Clinic 10'!E53+'Clinic 11'!E53+'Clinic 12'!E53+'Clinic 13'!E53+'Clinic 14'!E53+'Clinic 15'!E53</f>
        <v>0</v>
      </c>
      <c r="F95" s="37">
        <f>'Creve Coeur'!H94+CWE!H94+'Clinic 3'!F53+'Clinic 4'!F53+'Clinic 5'!F53+'Clinic 6'!F53+'Clinic 7'!F53+'Clinic 8'!F53+'Clinic 9'!F53+'Clinic 10'!F53+'Clinic 11'!F53+'Clinic 12'!F53+'Clinic 13'!F53+'Clinic 14'!F53+'Clinic 15'!F53</f>
        <v>0</v>
      </c>
      <c r="G95" s="37">
        <f>'Creve Coeur'!I94+CWE!I94+'Clinic 3'!G53+'Clinic 4'!G53+'Clinic 5'!G53+'Clinic 6'!G53+'Clinic 7'!G53+'Clinic 8'!G53+'Clinic 9'!G53+'Clinic 10'!G53+'Clinic 11'!G53+'Clinic 12'!G53+'Clinic 13'!G53+'Clinic 14'!G53+'Clinic 15'!G53</f>
        <v>0</v>
      </c>
      <c r="H95" s="37">
        <f>'Creve Coeur'!J94+CWE!J94+'Clinic 3'!H53+'Clinic 4'!H53+'Clinic 5'!H53+'Clinic 6'!H53+'Clinic 7'!H53+'Clinic 8'!H53+'Clinic 9'!H53+'Clinic 10'!H53+'Clinic 11'!H53+'Clinic 12'!H53+'Clinic 13'!H53+'Clinic 14'!H53+'Clinic 15'!H53</f>
        <v>0</v>
      </c>
      <c r="I95" s="37">
        <f>'Creve Coeur'!K94+CWE!K94+'Clinic 3'!I53+'Clinic 4'!I53+'Clinic 5'!I53+'Clinic 6'!I53+'Clinic 7'!I53+'Clinic 8'!I53+'Clinic 9'!I53+'Clinic 10'!I53+'Clinic 11'!I53+'Clinic 12'!I53+'Clinic 13'!I53+'Clinic 14'!I53+'Clinic 15'!I53</f>
        <v>-1695.3100000000006</v>
      </c>
      <c r="J95" s="37">
        <f t="shared" si="25"/>
        <v>-1695.3100000000006</v>
      </c>
    </row>
    <row r="96" spans="1:12" x14ac:dyDescent="0.25">
      <c r="A96" s="1" t="s">
        <v>50</v>
      </c>
      <c r="B96" s="37">
        <f>'Creve Coeur'!D95+CWE!D95+'Clinic 3'!B54+'Clinic 4'!B54+'Clinic 5'!B54+'Clinic 6'!B54+'Clinic 7'!B54+'Clinic 8'!B54+'Clinic 9'!B54+'Clinic 10'!B54+'Clinic 11'!B54+'Clinic 12'!B54+'Clinic 13'!B54+'Clinic 14'!B54+'Clinic 15'!B54</f>
        <v>0</v>
      </c>
      <c r="C96" s="37">
        <f>'Creve Coeur'!E95+CWE!E95+'Clinic 3'!C54+'Clinic 4'!C54+'Clinic 5'!C54+'Clinic 6'!C54+'Clinic 7'!C54+'Clinic 8'!C54+'Clinic 9'!C54+'Clinic 10'!C54+'Clinic 11'!C54+'Clinic 12'!C54+'Clinic 13'!C54+'Clinic 14'!C54+'Clinic 15'!C54</f>
        <v>0</v>
      </c>
      <c r="D96" s="37">
        <f>'Creve Coeur'!F95+CWE!F95+'Clinic 3'!D54+'Clinic 4'!D54+'Clinic 5'!D54+'Clinic 6'!D54+'Clinic 7'!D54+'Clinic 8'!D54+'Clinic 9'!D54+'Clinic 10'!D54+'Clinic 11'!D54+'Clinic 12'!D54+'Clinic 13'!D54+'Clinic 14'!D54+'Clinic 15'!D54</f>
        <v>0</v>
      </c>
      <c r="E96" s="37">
        <f>'Creve Coeur'!G95+CWE!G95+'Clinic 3'!E54+'Clinic 4'!E54+'Clinic 5'!E54+'Clinic 6'!E54+'Clinic 7'!E54+'Clinic 8'!E54+'Clinic 9'!E54+'Clinic 10'!E54+'Clinic 11'!E54+'Clinic 12'!E54+'Clinic 13'!E54+'Clinic 14'!E54+'Clinic 15'!E54</f>
        <v>0</v>
      </c>
      <c r="F96" s="37">
        <f>'Creve Coeur'!H95+CWE!H95+'Clinic 3'!F54+'Clinic 4'!F54+'Clinic 5'!F54+'Clinic 6'!F54+'Clinic 7'!F54+'Clinic 8'!F54+'Clinic 9'!F54+'Clinic 10'!F54+'Clinic 11'!F54+'Clinic 12'!F54+'Clinic 13'!F54+'Clinic 14'!F54+'Clinic 15'!F54</f>
        <v>0</v>
      </c>
      <c r="G96" s="37">
        <f>'Creve Coeur'!I95+CWE!I95+'Clinic 3'!G54+'Clinic 4'!G54+'Clinic 5'!G54+'Clinic 6'!G54+'Clinic 7'!G54+'Clinic 8'!G54+'Clinic 9'!G54+'Clinic 10'!G54+'Clinic 11'!G54+'Clinic 12'!G54+'Clinic 13'!G54+'Clinic 14'!G54+'Clinic 15'!G54</f>
        <v>0</v>
      </c>
      <c r="H96" s="37">
        <f>'Creve Coeur'!J95+CWE!J95+'Clinic 3'!H54+'Clinic 4'!H54+'Clinic 5'!H54+'Clinic 6'!H54+'Clinic 7'!H54+'Clinic 8'!H54+'Clinic 9'!H54+'Clinic 10'!H54+'Clinic 11'!H54+'Clinic 12'!H54+'Clinic 13'!H54+'Clinic 14'!H54+'Clinic 15'!H54</f>
        <v>0</v>
      </c>
      <c r="I96" s="37">
        <f>'Creve Coeur'!K95+CWE!K95+'Clinic 3'!I54+'Clinic 4'!I54+'Clinic 5'!I54+'Clinic 6'!I54+'Clinic 7'!I54+'Clinic 8'!I54+'Clinic 9'!I54+'Clinic 10'!I54+'Clinic 11'!I54+'Clinic 12'!I54+'Clinic 13'!I54+'Clinic 14'!I54+'Clinic 15'!I54</f>
        <v>0</v>
      </c>
      <c r="J96" s="37">
        <f t="shared" si="25"/>
        <v>0</v>
      </c>
    </row>
    <row r="97" spans="1:12" x14ac:dyDescent="0.25">
      <c r="A97" s="1" t="s">
        <v>89</v>
      </c>
      <c r="B97" s="37">
        <f>'Creve Coeur'!D96+CWE!D96+'Clinic 3'!B55+'Clinic 4'!B55+'Clinic 5'!B55+'Clinic 6'!B55+'Clinic 7'!B55+'Clinic 8'!B55+'Clinic 9'!B55+'Clinic 10'!B55+'Clinic 11'!B55+'Clinic 12'!B55+'Clinic 13'!B55+'Clinic 14'!B55+'Clinic 15'!B55</f>
        <v>0</v>
      </c>
      <c r="C97" s="37">
        <f>'Creve Coeur'!E96+CWE!E96+'Clinic 3'!C55+'Clinic 4'!C55+'Clinic 5'!C55+'Clinic 6'!C55+'Clinic 7'!C55+'Clinic 8'!C55+'Clinic 9'!C55+'Clinic 10'!C55+'Clinic 11'!C55+'Clinic 12'!C55+'Clinic 13'!C55+'Clinic 14'!C55+'Clinic 15'!C55</f>
        <v>0</v>
      </c>
      <c r="D97" s="37">
        <f>'Creve Coeur'!F96+CWE!F96+'Clinic 3'!D55+'Clinic 4'!D55+'Clinic 5'!D55+'Clinic 6'!D55+'Clinic 7'!D55+'Clinic 8'!D55+'Clinic 9'!D55+'Clinic 10'!D55+'Clinic 11'!D55+'Clinic 12'!D55+'Clinic 13'!D55+'Clinic 14'!D55+'Clinic 15'!D55</f>
        <v>0</v>
      </c>
      <c r="E97" s="37">
        <f>'Creve Coeur'!G96+CWE!G96+'Clinic 3'!E55+'Clinic 4'!E55+'Clinic 5'!E55+'Clinic 6'!E55+'Clinic 7'!E55+'Clinic 8'!E55+'Clinic 9'!E55+'Clinic 10'!E55+'Clinic 11'!E55+'Clinic 12'!E55+'Clinic 13'!E55+'Clinic 14'!E55+'Clinic 15'!E55</f>
        <v>0</v>
      </c>
      <c r="F97" s="37">
        <f>'Creve Coeur'!H96+CWE!H96+'Clinic 3'!F55+'Clinic 4'!F55+'Clinic 5'!F55+'Clinic 6'!F55+'Clinic 7'!F55+'Clinic 8'!F55+'Clinic 9'!F55+'Clinic 10'!F55+'Clinic 11'!F55+'Clinic 12'!F55+'Clinic 13'!F55+'Clinic 14'!F55+'Clinic 15'!F55</f>
        <v>0</v>
      </c>
      <c r="G97" s="37">
        <f>'Creve Coeur'!I96+CWE!I96+'Clinic 3'!G55+'Clinic 4'!G55+'Clinic 5'!G55+'Clinic 6'!G55+'Clinic 7'!G55+'Clinic 8'!G55+'Clinic 9'!G55+'Clinic 10'!G55+'Clinic 11'!G55+'Clinic 12'!G55+'Clinic 13'!G55+'Clinic 14'!G55+'Clinic 15'!G55</f>
        <v>0</v>
      </c>
      <c r="H97" s="37">
        <f>'Creve Coeur'!J96+CWE!J96+'Clinic 3'!H55+'Clinic 4'!H55+'Clinic 5'!H55+'Clinic 6'!H55+'Clinic 7'!H55+'Clinic 8'!H55+'Clinic 9'!H55+'Clinic 10'!H55+'Clinic 11'!H55+'Clinic 12'!H55+'Clinic 13'!H55+'Clinic 14'!H55+'Clinic 15'!H55</f>
        <v>0</v>
      </c>
      <c r="I97" s="37">
        <f>'Creve Coeur'!K96+CWE!K96+'Clinic 3'!I55+'Clinic 4'!I55+'Clinic 5'!I55+'Clinic 6'!I55+'Clinic 7'!I55+'Clinic 8'!I55+'Clinic 9'!I55+'Clinic 10'!I55+'Clinic 11'!I55+'Clinic 12'!I55+'Clinic 13'!I55+'Clinic 14'!I55+'Clinic 15'!I55</f>
        <v>0</v>
      </c>
      <c r="J97" s="37">
        <f t="shared" si="25"/>
        <v>0</v>
      </c>
    </row>
    <row r="98" spans="1:12" x14ac:dyDescent="0.25">
      <c r="A98" s="1" t="s">
        <v>5</v>
      </c>
      <c r="B98" s="37">
        <f>'Creve Coeur'!D97+CWE!D97+'Clinic 3'!B56+'Clinic 4'!B56+'Clinic 5'!B56+'Clinic 6'!B56+'Clinic 7'!B56+'Clinic 8'!B56+'Clinic 9'!B56+'Clinic 10'!B56+'Clinic 11'!B56+'Clinic 12'!B56+'Clinic 13'!B56+'Clinic 14'!B56+'Clinic 15'!B56</f>
        <v>0</v>
      </c>
      <c r="C98" s="37">
        <f>'Creve Coeur'!E97+CWE!E97+'Clinic 3'!C56+'Clinic 4'!C56+'Clinic 5'!C56+'Clinic 6'!C56+'Clinic 7'!C56+'Clinic 8'!C56+'Clinic 9'!C56+'Clinic 10'!C56+'Clinic 11'!C56+'Clinic 12'!C56+'Clinic 13'!C56+'Clinic 14'!C56+'Clinic 15'!C56</f>
        <v>0</v>
      </c>
      <c r="D98" s="37">
        <f>'Creve Coeur'!F97+CWE!F97+'Clinic 3'!D56+'Clinic 4'!D56+'Clinic 5'!D56+'Clinic 6'!D56+'Clinic 7'!D56+'Clinic 8'!D56+'Clinic 9'!D56+'Clinic 10'!D56+'Clinic 11'!D56+'Clinic 12'!D56+'Clinic 13'!D56+'Clinic 14'!D56+'Clinic 15'!D56</f>
        <v>0</v>
      </c>
      <c r="E98" s="37">
        <f>'Creve Coeur'!G97+CWE!G97+'Clinic 3'!E56+'Clinic 4'!E56+'Clinic 5'!E56+'Clinic 6'!E56+'Clinic 7'!E56+'Clinic 8'!E56+'Clinic 9'!E56+'Clinic 10'!E56+'Clinic 11'!E56+'Clinic 12'!E56+'Clinic 13'!E56+'Clinic 14'!E56+'Clinic 15'!E56</f>
        <v>0</v>
      </c>
      <c r="F98" s="37">
        <f>'Creve Coeur'!H97+CWE!H97+'Clinic 3'!F56+'Clinic 4'!F56+'Clinic 5'!F56+'Clinic 6'!F56+'Clinic 7'!F56+'Clinic 8'!F56+'Clinic 9'!F56+'Clinic 10'!F56+'Clinic 11'!F56+'Clinic 12'!F56+'Clinic 13'!F56+'Clinic 14'!F56+'Clinic 15'!F56</f>
        <v>0</v>
      </c>
      <c r="G98" s="37">
        <f>'Creve Coeur'!I97+CWE!I97+'Clinic 3'!G56+'Clinic 4'!G56+'Clinic 5'!G56+'Clinic 6'!G56+'Clinic 7'!G56+'Clinic 8'!G56+'Clinic 9'!G56+'Clinic 10'!G56+'Clinic 11'!G56+'Clinic 12'!G56+'Clinic 13'!G56+'Clinic 14'!G56+'Clinic 15'!G56</f>
        <v>0</v>
      </c>
      <c r="H98" s="37">
        <f>'Creve Coeur'!J97+CWE!J97+'Clinic 3'!H56+'Clinic 4'!H56+'Clinic 5'!H56+'Clinic 6'!H56+'Clinic 7'!H56+'Clinic 8'!H56+'Clinic 9'!H56+'Clinic 10'!H56+'Clinic 11'!H56+'Clinic 12'!H56+'Clinic 13'!H56+'Clinic 14'!H56+'Clinic 15'!H56</f>
        <v>0</v>
      </c>
      <c r="I98" s="37">
        <f>'Creve Coeur'!K97+CWE!K97+'Clinic 3'!I56+'Clinic 4'!I56+'Clinic 5'!I56+'Clinic 6'!I56+'Clinic 7'!I56+'Clinic 8'!I56+'Clinic 9'!I56+'Clinic 10'!I56+'Clinic 11'!I56+'Clinic 12'!I56+'Clinic 13'!I56+'Clinic 14'!I56+'Clinic 15'!I56</f>
        <v>0</v>
      </c>
      <c r="J98" s="37">
        <f t="shared" si="25"/>
        <v>0</v>
      </c>
    </row>
    <row r="99" spans="1:12" x14ac:dyDescent="0.25">
      <c r="A99" s="1" t="s">
        <v>84</v>
      </c>
      <c r="B99" s="37">
        <f>'Creve Coeur'!D98+CWE!D98+'Clinic 3'!B57+'Clinic 4'!B57+'Clinic 5'!B57+'Clinic 6'!B57+'Clinic 7'!B57+'Clinic 8'!B57+'Clinic 9'!B57+'Clinic 10'!B57+'Clinic 11'!B57+'Clinic 12'!B57+'Clinic 13'!B57+'Clinic 14'!B57+'Clinic 15'!B57</f>
        <v>0</v>
      </c>
      <c r="C99" s="37">
        <f>'Creve Coeur'!E98+CWE!E98+'Clinic 3'!C57+'Clinic 4'!C57+'Clinic 5'!C57+'Clinic 6'!C57+'Clinic 7'!C57+'Clinic 8'!C57+'Clinic 9'!C57+'Clinic 10'!C57+'Clinic 11'!C57+'Clinic 12'!C57+'Clinic 13'!C57+'Clinic 14'!C57+'Clinic 15'!C57</f>
        <v>0</v>
      </c>
      <c r="D99" s="37">
        <f>'Creve Coeur'!F98+CWE!F98+'Clinic 3'!D57+'Clinic 4'!D57+'Clinic 5'!D57+'Clinic 6'!D57+'Clinic 7'!D57+'Clinic 8'!D57+'Clinic 9'!D57+'Clinic 10'!D57+'Clinic 11'!D57+'Clinic 12'!D57+'Clinic 13'!D57+'Clinic 14'!D57+'Clinic 15'!D57</f>
        <v>0</v>
      </c>
      <c r="E99" s="37">
        <f>'Creve Coeur'!G98+CWE!G98+'Clinic 3'!E57+'Clinic 4'!E57+'Clinic 5'!E57+'Clinic 6'!E57+'Clinic 7'!E57+'Clinic 8'!E57+'Clinic 9'!E57+'Clinic 10'!E57+'Clinic 11'!E57+'Clinic 12'!E57+'Clinic 13'!E57+'Clinic 14'!E57+'Clinic 15'!E57</f>
        <v>0</v>
      </c>
      <c r="F99" s="37">
        <f>'Creve Coeur'!H98+CWE!H98+'Clinic 3'!F57+'Clinic 4'!F57+'Clinic 5'!F57+'Clinic 6'!F57+'Clinic 7'!F57+'Clinic 8'!F57+'Clinic 9'!F57+'Clinic 10'!F57+'Clinic 11'!F57+'Clinic 12'!F57+'Clinic 13'!F57+'Clinic 14'!F57+'Clinic 15'!F57</f>
        <v>0</v>
      </c>
      <c r="G99" s="37">
        <f>'Creve Coeur'!I98+CWE!I98+'Clinic 3'!G57+'Clinic 4'!G57+'Clinic 5'!G57+'Clinic 6'!G57+'Clinic 7'!G57+'Clinic 8'!G57+'Clinic 9'!G57+'Clinic 10'!G57+'Clinic 11'!G57+'Clinic 12'!G57+'Clinic 13'!G57+'Clinic 14'!G57+'Clinic 15'!G57</f>
        <v>0</v>
      </c>
      <c r="H99" s="37">
        <f>'Creve Coeur'!J98+CWE!J98+'Clinic 3'!H57+'Clinic 4'!H57+'Clinic 5'!H57+'Clinic 6'!H57+'Clinic 7'!H57+'Clinic 8'!H57+'Clinic 9'!H57+'Clinic 10'!H57+'Clinic 11'!H57+'Clinic 12'!H57+'Clinic 13'!H57+'Clinic 14'!H57+'Clinic 15'!H57</f>
        <v>0</v>
      </c>
      <c r="I99" s="37">
        <f>'Creve Coeur'!K98+CWE!K98+'Clinic 3'!I57+'Clinic 4'!I57+'Clinic 5'!I57+'Clinic 6'!I57+'Clinic 7'!I57+'Clinic 8'!I57+'Clinic 9'!I57+'Clinic 10'!I57+'Clinic 11'!I57+'Clinic 12'!I57+'Clinic 13'!I57+'Clinic 14'!I57+'Clinic 15'!I57</f>
        <v>-13.600000000000001</v>
      </c>
      <c r="J99" s="37">
        <f t="shared" si="25"/>
        <v>-13.600000000000001</v>
      </c>
    </row>
    <row r="100" spans="1:12" x14ac:dyDescent="0.25">
      <c r="A100" s="1" t="s">
        <v>4</v>
      </c>
      <c r="B100" s="37">
        <f>'Creve Coeur'!D99+CWE!D99+'Clinic 3'!B58+'Clinic 4'!B58+'Clinic 5'!B58+'Clinic 6'!B58+'Clinic 7'!B58+'Clinic 8'!B58+'Clinic 9'!B58+'Clinic 10'!B58+'Clinic 11'!B58+'Clinic 12'!B58+'Clinic 13'!B58+'Clinic 14'!B58+'Clinic 15'!B58</f>
        <v>0</v>
      </c>
      <c r="C100" s="37">
        <f>'Creve Coeur'!E99+CWE!E99+'Clinic 3'!C58+'Clinic 4'!C58+'Clinic 5'!C58+'Clinic 6'!C58+'Clinic 7'!C58+'Clinic 8'!C58+'Clinic 9'!C58+'Clinic 10'!C58+'Clinic 11'!C58+'Clinic 12'!C58+'Clinic 13'!C58+'Clinic 14'!C58+'Clinic 15'!C58</f>
        <v>0</v>
      </c>
      <c r="D100" s="37">
        <f>'Creve Coeur'!F99+CWE!F99+'Clinic 3'!D58+'Clinic 4'!D58+'Clinic 5'!D58+'Clinic 6'!D58+'Clinic 7'!D58+'Clinic 8'!D58+'Clinic 9'!D58+'Clinic 10'!D58+'Clinic 11'!D58+'Clinic 12'!D58+'Clinic 13'!D58+'Clinic 14'!D58+'Clinic 15'!D58</f>
        <v>0</v>
      </c>
      <c r="E100" s="37">
        <f>'Creve Coeur'!G99+CWE!G99+'Clinic 3'!E58+'Clinic 4'!E58+'Clinic 5'!E58+'Clinic 6'!E58+'Clinic 7'!E58+'Clinic 8'!E58+'Clinic 9'!E58+'Clinic 10'!E58+'Clinic 11'!E58+'Clinic 12'!E58+'Clinic 13'!E58+'Clinic 14'!E58+'Clinic 15'!E58</f>
        <v>0</v>
      </c>
      <c r="F100" s="37">
        <f>'Creve Coeur'!H99+CWE!H99+'Clinic 3'!F58+'Clinic 4'!F58+'Clinic 5'!F58+'Clinic 6'!F58+'Clinic 7'!F58+'Clinic 8'!F58+'Clinic 9'!F58+'Clinic 10'!F58+'Clinic 11'!F58+'Clinic 12'!F58+'Clinic 13'!F58+'Clinic 14'!F58+'Clinic 15'!F58</f>
        <v>0</v>
      </c>
      <c r="G100" s="37">
        <f>'Creve Coeur'!I99+CWE!I99+'Clinic 3'!G58+'Clinic 4'!G58+'Clinic 5'!G58+'Clinic 6'!G58+'Clinic 7'!G58+'Clinic 8'!G58+'Clinic 9'!G58+'Clinic 10'!G58+'Clinic 11'!G58+'Clinic 12'!G58+'Clinic 13'!G58+'Clinic 14'!G58+'Clinic 15'!G58</f>
        <v>0</v>
      </c>
      <c r="H100" s="37">
        <f>'Creve Coeur'!J99+CWE!J99+'Clinic 3'!H58+'Clinic 4'!H58+'Clinic 5'!H58+'Clinic 6'!H58+'Clinic 7'!H58+'Clinic 8'!H58+'Clinic 9'!H58+'Clinic 10'!H58+'Clinic 11'!H58+'Clinic 12'!H58+'Clinic 13'!H58+'Clinic 14'!H58+'Clinic 15'!H58</f>
        <v>0</v>
      </c>
      <c r="I100" s="37">
        <f>'Creve Coeur'!K99+CWE!K99+'Clinic 3'!I58+'Clinic 4'!I58+'Clinic 5'!I58+'Clinic 6'!I58+'Clinic 7'!I58+'Clinic 8'!I58+'Clinic 9'!I58+'Clinic 10'!I58+'Clinic 11'!I58+'Clinic 12'!I58+'Clinic 13'!I58+'Clinic 14'!I58+'Clinic 15'!I58</f>
        <v>1837.7300000000009</v>
      </c>
      <c r="J100" s="37">
        <f t="shared" si="25"/>
        <v>1837.7300000000009</v>
      </c>
    </row>
    <row r="101" spans="1:12" x14ac:dyDescent="0.25">
      <c r="A101" s="1" t="s">
        <v>51</v>
      </c>
      <c r="B101" s="37">
        <f>'Creve Coeur'!D100+CWE!D100+'Clinic 3'!B59+'Clinic 4'!B59+'Clinic 5'!B59+'Clinic 6'!B59+'Clinic 7'!B59+'Clinic 8'!B59+'Clinic 9'!B59+'Clinic 10'!B59+'Clinic 11'!B59+'Clinic 12'!B59+'Clinic 13'!B59+'Clinic 14'!B59+'Clinic 15'!B59</f>
        <v>0</v>
      </c>
      <c r="C101" s="37">
        <f>'Creve Coeur'!E100+CWE!E100+'Clinic 3'!C59+'Clinic 4'!C59+'Clinic 5'!C59+'Clinic 6'!C59+'Clinic 7'!C59+'Clinic 8'!C59+'Clinic 9'!C59+'Clinic 10'!C59+'Clinic 11'!C59+'Clinic 12'!C59+'Clinic 13'!C59+'Clinic 14'!C59+'Clinic 15'!C59</f>
        <v>0</v>
      </c>
      <c r="D101" s="37">
        <f>'Creve Coeur'!F100+CWE!F100+'Clinic 3'!D59+'Clinic 4'!D59+'Clinic 5'!D59+'Clinic 6'!D59+'Clinic 7'!D59+'Clinic 8'!D59+'Clinic 9'!D59+'Clinic 10'!D59+'Clinic 11'!D59+'Clinic 12'!D59+'Clinic 13'!D59+'Clinic 14'!D59+'Clinic 15'!D59</f>
        <v>0</v>
      </c>
      <c r="E101" s="37">
        <f>'Creve Coeur'!G100+CWE!G100+'Clinic 3'!E59+'Clinic 4'!E59+'Clinic 5'!E59+'Clinic 6'!E59+'Clinic 7'!E59+'Clinic 8'!E59+'Clinic 9'!E59+'Clinic 10'!E59+'Clinic 11'!E59+'Clinic 12'!E59+'Clinic 13'!E59+'Clinic 14'!E59+'Clinic 15'!E59</f>
        <v>0</v>
      </c>
      <c r="F101" s="37">
        <f>'Creve Coeur'!H100+CWE!H100+'Clinic 3'!F59+'Clinic 4'!F59+'Clinic 5'!F59+'Clinic 6'!F59+'Clinic 7'!F59+'Clinic 8'!F59+'Clinic 9'!F59+'Clinic 10'!F59+'Clinic 11'!F59+'Clinic 12'!F59+'Clinic 13'!F59+'Clinic 14'!F59+'Clinic 15'!F59</f>
        <v>0</v>
      </c>
      <c r="G101" s="37">
        <f>'Creve Coeur'!I100+CWE!I100+'Clinic 3'!G59+'Clinic 4'!G59+'Clinic 5'!G59+'Clinic 6'!G59+'Clinic 7'!G59+'Clinic 8'!G59+'Clinic 9'!G59+'Clinic 10'!G59+'Clinic 11'!G59+'Clinic 12'!G59+'Clinic 13'!G59+'Clinic 14'!G59+'Clinic 15'!G59</f>
        <v>0</v>
      </c>
      <c r="H101" s="37">
        <f>'Creve Coeur'!J100+CWE!J100+'Clinic 3'!H59+'Clinic 4'!H59+'Clinic 5'!H59+'Clinic 6'!H59+'Clinic 7'!H59+'Clinic 8'!H59+'Clinic 9'!H59+'Clinic 10'!H59+'Clinic 11'!H59+'Clinic 12'!H59+'Clinic 13'!H59+'Clinic 14'!H59+'Clinic 15'!H59</f>
        <v>0</v>
      </c>
      <c r="I101" s="37">
        <f>'Creve Coeur'!K100+CWE!K100+'Clinic 3'!I59+'Clinic 4'!I59+'Clinic 5'!I59+'Clinic 6'!I59+'Clinic 7'!I59+'Clinic 8'!I59+'Clinic 9'!I59+'Clinic 10'!I59+'Clinic 11'!I59+'Clinic 12'!I59+'Clinic 13'!I59+'Clinic 14'!I59+'Clinic 15'!I59</f>
        <v>0</v>
      </c>
      <c r="J101" s="37">
        <f t="shared" si="25"/>
        <v>0</v>
      </c>
    </row>
    <row r="102" spans="1:12" x14ac:dyDescent="0.25">
      <c r="A102" s="1" t="s">
        <v>85</v>
      </c>
      <c r="B102" s="37">
        <f>'Creve Coeur'!D101+CWE!D101+'Clinic 3'!B60+'Clinic 4'!B60+'Clinic 5'!B60+'Clinic 6'!B60+'Clinic 7'!B60+'Clinic 8'!B60+'Clinic 9'!B60+'Clinic 10'!B60+'Clinic 11'!B60+'Clinic 12'!B60+'Clinic 13'!B60+'Clinic 14'!B60+'Clinic 15'!B60</f>
        <v>0</v>
      </c>
      <c r="C102" s="37">
        <f>'Creve Coeur'!E101+CWE!E101+'Clinic 3'!C60+'Clinic 4'!C60+'Clinic 5'!C60+'Clinic 6'!C60+'Clinic 7'!C60+'Clinic 8'!C60+'Clinic 9'!C60+'Clinic 10'!C60+'Clinic 11'!C60+'Clinic 12'!C60+'Clinic 13'!C60+'Clinic 14'!C60+'Clinic 15'!C60</f>
        <v>0</v>
      </c>
      <c r="D102" s="37">
        <f>'Creve Coeur'!F101+CWE!F101+'Clinic 3'!D60+'Clinic 4'!D60+'Clinic 5'!D60+'Clinic 6'!D60+'Clinic 7'!D60+'Clinic 8'!D60+'Clinic 9'!D60+'Clinic 10'!D60+'Clinic 11'!D60+'Clinic 12'!D60+'Clinic 13'!D60+'Clinic 14'!D60+'Clinic 15'!D60</f>
        <v>0</v>
      </c>
      <c r="E102" s="37">
        <f>'Creve Coeur'!G101+CWE!G101+'Clinic 3'!E60+'Clinic 4'!E60+'Clinic 5'!E60+'Clinic 6'!E60+'Clinic 7'!E60+'Clinic 8'!E60+'Clinic 9'!E60+'Clinic 10'!E60+'Clinic 11'!E60+'Clinic 12'!E60+'Clinic 13'!E60+'Clinic 14'!E60+'Clinic 15'!E60</f>
        <v>0</v>
      </c>
      <c r="F102" s="37">
        <f>'Creve Coeur'!H101+CWE!H101+'Clinic 3'!F60+'Clinic 4'!F60+'Clinic 5'!F60+'Clinic 6'!F60+'Clinic 7'!F60+'Clinic 8'!F60+'Clinic 9'!F60+'Clinic 10'!F60+'Clinic 11'!F60+'Clinic 12'!F60+'Clinic 13'!F60+'Clinic 14'!F60+'Clinic 15'!F60</f>
        <v>0</v>
      </c>
      <c r="G102" s="37">
        <f>'Creve Coeur'!I101+CWE!I101+'Clinic 3'!G60+'Clinic 4'!G60+'Clinic 5'!G60+'Clinic 6'!G60+'Clinic 7'!G60+'Clinic 8'!G60+'Clinic 9'!G60+'Clinic 10'!G60+'Clinic 11'!G60+'Clinic 12'!G60+'Clinic 13'!G60+'Clinic 14'!G60+'Clinic 15'!G60</f>
        <v>0</v>
      </c>
      <c r="H102" s="37">
        <f>'Creve Coeur'!J101+CWE!J101+'Clinic 3'!H60+'Clinic 4'!H60+'Clinic 5'!H60+'Clinic 6'!H60+'Clinic 7'!H60+'Clinic 8'!H60+'Clinic 9'!H60+'Clinic 10'!H60+'Clinic 11'!H60+'Clinic 12'!H60+'Clinic 13'!H60+'Clinic 14'!H60+'Clinic 15'!H60</f>
        <v>0</v>
      </c>
      <c r="I102" s="37">
        <f>'Creve Coeur'!K101+CWE!K101+'Clinic 3'!I60+'Clinic 4'!I60+'Clinic 5'!I60+'Clinic 6'!I60+'Clinic 7'!I60+'Clinic 8'!I60+'Clinic 9'!I60+'Clinic 10'!I60+'Clinic 11'!I60+'Clinic 12'!I60+'Clinic 13'!I60+'Clinic 14'!I60+'Clinic 15'!I60</f>
        <v>0</v>
      </c>
      <c r="J102" s="37">
        <f t="shared" si="25"/>
        <v>0</v>
      </c>
    </row>
    <row r="103" spans="1:12" x14ac:dyDescent="0.25">
      <c r="A103" s="1" t="s">
        <v>2</v>
      </c>
      <c r="B103" s="37">
        <f>'Creve Coeur'!D102+CWE!D102+'Clinic 3'!B61+'Clinic 4'!B61+'Clinic 5'!B61+'Clinic 6'!B61+'Clinic 7'!B61+'Clinic 8'!B61+'Clinic 9'!B61+'Clinic 10'!B61+'Clinic 11'!B61+'Clinic 12'!B61+'Clinic 13'!B61+'Clinic 14'!B61+'Clinic 15'!B61</f>
        <v>0</v>
      </c>
      <c r="C103" s="37">
        <f>'Creve Coeur'!E102+CWE!E102+'Clinic 3'!C61+'Clinic 4'!C61+'Clinic 5'!C61+'Clinic 6'!C61+'Clinic 7'!C61+'Clinic 8'!C61+'Clinic 9'!C61+'Clinic 10'!C61+'Clinic 11'!C61+'Clinic 12'!C61+'Clinic 13'!C61+'Clinic 14'!C61+'Clinic 15'!C61</f>
        <v>0</v>
      </c>
      <c r="D103" s="37">
        <f>'Creve Coeur'!F102+CWE!F102+'Clinic 3'!D61+'Clinic 4'!D61+'Clinic 5'!D61+'Clinic 6'!D61+'Clinic 7'!D61+'Clinic 8'!D61+'Clinic 9'!D61+'Clinic 10'!D61+'Clinic 11'!D61+'Clinic 12'!D61+'Clinic 13'!D61+'Clinic 14'!D61+'Clinic 15'!D61</f>
        <v>0</v>
      </c>
      <c r="E103" s="37">
        <f>'Creve Coeur'!G102+CWE!G102+'Clinic 3'!E61+'Clinic 4'!E61+'Clinic 5'!E61+'Clinic 6'!E61+'Clinic 7'!E61+'Clinic 8'!E61+'Clinic 9'!E61+'Clinic 10'!E61+'Clinic 11'!E61+'Clinic 12'!E61+'Clinic 13'!E61+'Clinic 14'!E61+'Clinic 15'!E61</f>
        <v>0</v>
      </c>
      <c r="F103" s="37">
        <f>'Creve Coeur'!H102+CWE!H102+'Clinic 3'!F61+'Clinic 4'!F61+'Clinic 5'!F61+'Clinic 6'!F61+'Clinic 7'!F61+'Clinic 8'!F61+'Clinic 9'!F61+'Clinic 10'!F61+'Clinic 11'!F61+'Clinic 12'!F61+'Clinic 13'!F61+'Clinic 14'!F61+'Clinic 15'!F61</f>
        <v>0</v>
      </c>
      <c r="G103" s="37">
        <f>'Creve Coeur'!I102+CWE!I102+'Clinic 3'!G61+'Clinic 4'!G61+'Clinic 5'!G61+'Clinic 6'!G61+'Clinic 7'!G61+'Clinic 8'!G61+'Clinic 9'!G61+'Clinic 10'!G61+'Clinic 11'!G61+'Clinic 12'!G61+'Clinic 13'!G61+'Clinic 14'!G61+'Clinic 15'!G61</f>
        <v>0</v>
      </c>
      <c r="H103" s="37">
        <f>'Creve Coeur'!J102+CWE!J102+'Clinic 3'!H61+'Clinic 4'!H61+'Clinic 5'!H61+'Clinic 6'!H61+'Clinic 7'!H61+'Clinic 8'!H61+'Clinic 9'!H61+'Clinic 10'!H61+'Clinic 11'!H61+'Clinic 12'!H61+'Clinic 13'!H61+'Clinic 14'!H61+'Clinic 15'!H61</f>
        <v>0</v>
      </c>
      <c r="I103" s="37">
        <f>'Creve Coeur'!K102+CWE!K102+'Clinic 3'!I61+'Clinic 4'!I61+'Clinic 5'!I61+'Clinic 6'!I61+'Clinic 7'!I61+'Clinic 8'!I61+'Clinic 9'!I61+'Clinic 10'!I61+'Clinic 11'!I61+'Clinic 12'!I61+'Clinic 13'!I61+'Clinic 14'!I61+'Clinic 15'!I61</f>
        <v>0</v>
      </c>
      <c r="J103" s="37">
        <f t="shared" si="25"/>
        <v>0</v>
      </c>
    </row>
    <row r="104" spans="1:12" x14ac:dyDescent="0.25">
      <c r="A104" s="1" t="s">
        <v>86</v>
      </c>
      <c r="B104" s="37">
        <f>'Creve Coeur'!D103+CWE!D103+'Clinic 3'!B62+'Clinic 4'!B62+'Clinic 5'!B62+'Clinic 6'!B62+'Clinic 7'!B62+'Clinic 8'!B62+'Clinic 9'!B62+'Clinic 10'!B62+'Clinic 11'!B62+'Clinic 12'!B62+'Clinic 13'!B62+'Clinic 14'!B62+'Clinic 15'!B62</f>
        <v>0</v>
      </c>
      <c r="C104" s="37">
        <f>'Creve Coeur'!E103+CWE!E103+'Clinic 3'!C62+'Clinic 4'!C62+'Clinic 5'!C62+'Clinic 6'!C62+'Clinic 7'!C62+'Clinic 8'!C62+'Clinic 9'!C62+'Clinic 10'!C62+'Clinic 11'!C62+'Clinic 12'!C62+'Clinic 13'!C62+'Clinic 14'!C62+'Clinic 15'!C62</f>
        <v>0</v>
      </c>
      <c r="D104" s="37">
        <f>'Creve Coeur'!F103+CWE!F103+'Clinic 3'!D62+'Clinic 4'!D62+'Clinic 5'!D62+'Clinic 6'!D62+'Clinic 7'!D62+'Clinic 8'!D62+'Clinic 9'!D62+'Clinic 10'!D62+'Clinic 11'!D62+'Clinic 12'!D62+'Clinic 13'!D62+'Clinic 14'!D62+'Clinic 15'!D62</f>
        <v>0</v>
      </c>
      <c r="E104" s="37">
        <f>'Creve Coeur'!G103+CWE!G103+'Clinic 3'!E62+'Clinic 4'!E62+'Clinic 5'!E62+'Clinic 6'!E62+'Clinic 7'!E62+'Clinic 8'!E62+'Clinic 9'!E62+'Clinic 10'!E62+'Clinic 11'!E62+'Clinic 12'!E62+'Clinic 13'!E62+'Clinic 14'!E62+'Clinic 15'!E62</f>
        <v>0</v>
      </c>
      <c r="F104" s="37">
        <f>'Creve Coeur'!H103+CWE!H103+'Clinic 3'!F62+'Clinic 4'!F62+'Clinic 5'!F62+'Clinic 6'!F62+'Clinic 7'!F62+'Clinic 8'!F62+'Clinic 9'!F62+'Clinic 10'!F62+'Clinic 11'!F62+'Clinic 12'!F62+'Clinic 13'!F62+'Clinic 14'!F62+'Clinic 15'!F62</f>
        <v>0</v>
      </c>
      <c r="G104" s="37">
        <f>'Creve Coeur'!I103+CWE!I103+'Clinic 3'!G62+'Clinic 4'!G62+'Clinic 5'!G62+'Clinic 6'!G62+'Clinic 7'!G62+'Clinic 8'!G62+'Clinic 9'!G62+'Clinic 10'!G62+'Clinic 11'!G62+'Clinic 12'!G62+'Clinic 13'!G62+'Clinic 14'!G62+'Clinic 15'!G62</f>
        <v>0</v>
      </c>
      <c r="H104" s="37">
        <f>'Creve Coeur'!J103+CWE!J103+'Clinic 3'!H62+'Clinic 4'!H62+'Clinic 5'!H62+'Clinic 6'!H62+'Clinic 7'!H62+'Clinic 8'!H62+'Clinic 9'!H62+'Clinic 10'!H62+'Clinic 11'!H62+'Clinic 12'!H62+'Clinic 13'!H62+'Clinic 14'!H62+'Clinic 15'!H62</f>
        <v>0</v>
      </c>
      <c r="I104" s="37">
        <f>'Creve Coeur'!K103+CWE!K103+'Clinic 3'!I62+'Clinic 4'!I62+'Clinic 5'!I62+'Clinic 6'!I62+'Clinic 7'!I62+'Clinic 8'!I62+'Clinic 9'!I62+'Clinic 10'!I62+'Clinic 11'!I62+'Clinic 12'!I62+'Clinic 13'!I62+'Clinic 14'!I62+'Clinic 15'!I62</f>
        <v>8.25</v>
      </c>
      <c r="J104" s="37">
        <f t="shared" si="25"/>
        <v>8.25</v>
      </c>
    </row>
    <row r="105" spans="1:12" x14ac:dyDescent="0.25">
      <c r="A105" s="1" t="s">
        <v>29</v>
      </c>
      <c r="B105" s="37">
        <f>'Creve Coeur'!D104+CWE!D104+'Clinic 3'!B63+'Clinic 4'!B63+'Clinic 5'!B63+'Clinic 6'!B63+'Clinic 7'!B63+'Clinic 8'!B63+'Clinic 9'!B63+'Clinic 10'!B63+'Clinic 11'!B63+'Clinic 12'!B63+'Clinic 13'!B63+'Clinic 14'!B63+'Clinic 15'!B63</f>
        <v>0</v>
      </c>
      <c r="C105" s="37">
        <f>'Creve Coeur'!E104+CWE!E104+'Clinic 3'!C63+'Clinic 4'!C63+'Clinic 5'!C63+'Clinic 6'!C63+'Clinic 7'!C63+'Clinic 8'!C63+'Clinic 9'!C63+'Clinic 10'!C63+'Clinic 11'!C63+'Clinic 12'!C63+'Clinic 13'!C63+'Clinic 14'!C63+'Clinic 15'!C63</f>
        <v>0</v>
      </c>
      <c r="D105" s="37">
        <f>'Creve Coeur'!F104+CWE!F104+'Clinic 3'!D63+'Clinic 4'!D63+'Clinic 5'!D63+'Clinic 6'!D63+'Clinic 7'!D63+'Clinic 8'!D63+'Clinic 9'!D63+'Clinic 10'!D63+'Clinic 11'!D63+'Clinic 12'!D63+'Clinic 13'!D63+'Clinic 14'!D63+'Clinic 15'!D63</f>
        <v>0</v>
      </c>
      <c r="E105" s="37">
        <f>'Creve Coeur'!G104+CWE!G104+'Clinic 3'!E63+'Clinic 4'!E63+'Clinic 5'!E63+'Clinic 6'!E63+'Clinic 7'!E63+'Clinic 8'!E63+'Clinic 9'!E63+'Clinic 10'!E63+'Clinic 11'!E63+'Clinic 12'!E63+'Clinic 13'!E63+'Clinic 14'!E63+'Clinic 15'!E63</f>
        <v>0</v>
      </c>
      <c r="F105" s="37">
        <f>'Creve Coeur'!H104+CWE!H104+'Clinic 3'!F63+'Clinic 4'!F63+'Clinic 5'!F63+'Clinic 6'!F63+'Clinic 7'!F63+'Clinic 8'!F63+'Clinic 9'!F63+'Clinic 10'!F63+'Clinic 11'!F63+'Clinic 12'!F63+'Clinic 13'!F63+'Clinic 14'!F63+'Clinic 15'!F63</f>
        <v>0</v>
      </c>
      <c r="G105" s="37">
        <f>'Creve Coeur'!I104+CWE!I104+'Clinic 3'!G63+'Clinic 4'!G63+'Clinic 5'!G63+'Clinic 6'!G63+'Clinic 7'!G63+'Clinic 8'!G63+'Clinic 9'!G63+'Clinic 10'!G63+'Clinic 11'!G63+'Clinic 12'!G63+'Clinic 13'!G63+'Clinic 14'!G63+'Clinic 15'!G63</f>
        <v>0</v>
      </c>
      <c r="H105" s="37">
        <f>'Creve Coeur'!J104+CWE!J104+'Clinic 3'!H63+'Clinic 4'!H63+'Clinic 5'!H63+'Clinic 6'!H63+'Clinic 7'!H63+'Clinic 8'!H63+'Clinic 9'!H63+'Clinic 10'!H63+'Clinic 11'!H63+'Clinic 12'!H63+'Clinic 13'!H63+'Clinic 14'!H63+'Clinic 15'!H63</f>
        <v>0</v>
      </c>
      <c r="I105" s="37">
        <f>'Creve Coeur'!K104+CWE!K104+'Clinic 3'!I63+'Clinic 4'!I63+'Clinic 5'!I63+'Clinic 6'!I63+'Clinic 7'!I63+'Clinic 8'!I63+'Clinic 9'!I63+'Clinic 10'!I63+'Clinic 11'!I63+'Clinic 12'!I63+'Clinic 13'!I63+'Clinic 14'!I63+'Clinic 15'!I63</f>
        <v>10.009999999999991</v>
      </c>
      <c r="J105" s="37">
        <f t="shared" si="25"/>
        <v>10.009999999999991</v>
      </c>
    </row>
    <row r="106" spans="1:12" x14ac:dyDescent="0.25">
      <c r="A106" s="1" t="s">
        <v>52</v>
      </c>
      <c r="B106" s="37">
        <f>'Creve Coeur'!D105+CWE!D105+'Clinic 3'!B64+'Clinic 4'!B64+'Clinic 5'!B64+'Clinic 6'!B64+'Clinic 7'!B64+'Clinic 8'!B64+'Clinic 9'!B64+'Clinic 10'!B64+'Clinic 11'!B64+'Clinic 12'!B64+'Clinic 13'!B64+'Clinic 14'!B64+'Clinic 15'!B64</f>
        <v>0</v>
      </c>
      <c r="C106" s="37">
        <f>'Creve Coeur'!E105+CWE!E105+'Clinic 3'!C64+'Clinic 4'!C64+'Clinic 5'!C64+'Clinic 6'!C64+'Clinic 7'!C64+'Clinic 8'!C64+'Clinic 9'!C64+'Clinic 10'!C64+'Clinic 11'!C64+'Clinic 12'!C64+'Clinic 13'!C64+'Clinic 14'!C64+'Clinic 15'!C64</f>
        <v>0</v>
      </c>
      <c r="D106" s="37">
        <f>'Creve Coeur'!F105+CWE!F105+'Clinic 3'!D64+'Clinic 4'!D64+'Clinic 5'!D64+'Clinic 6'!D64+'Clinic 7'!D64+'Clinic 8'!D64+'Clinic 9'!D64+'Clinic 10'!D64+'Clinic 11'!D64+'Clinic 12'!D64+'Clinic 13'!D64+'Clinic 14'!D64+'Clinic 15'!D64</f>
        <v>0</v>
      </c>
      <c r="E106" s="37">
        <f>'Creve Coeur'!G105+CWE!G105+'Clinic 3'!E64+'Clinic 4'!E64+'Clinic 5'!E64+'Clinic 6'!E64+'Clinic 7'!E64+'Clinic 8'!E64+'Clinic 9'!E64+'Clinic 10'!E64+'Clinic 11'!E64+'Clinic 12'!E64+'Clinic 13'!E64+'Clinic 14'!E64+'Clinic 15'!E64</f>
        <v>0</v>
      </c>
      <c r="F106" s="37">
        <f>'Creve Coeur'!H105+CWE!H105+'Clinic 3'!F64+'Clinic 4'!F64+'Clinic 5'!F64+'Clinic 6'!F64+'Clinic 7'!F64+'Clinic 8'!F64+'Clinic 9'!F64+'Clinic 10'!F64+'Clinic 11'!F64+'Clinic 12'!F64+'Clinic 13'!F64+'Clinic 14'!F64+'Clinic 15'!F64</f>
        <v>0</v>
      </c>
      <c r="G106" s="37">
        <f>'Creve Coeur'!I105+CWE!I105+'Clinic 3'!G64+'Clinic 4'!G64+'Clinic 5'!G64+'Clinic 6'!G64+'Clinic 7'!G64+'Clinic 8'!G64+'Clinic 9'!G64+'Clinic 10'!G64+'Clinic 11'!G64+'Clinic 12'!G64+'Clinic 13'!G64+'Clinic 14'!G64+'Clinic 15'!G64</f>
        <v>0</v>
      </c>
      <c r="H106" s="37">
        <f>'Creve Coeur'!J105+CWE!J105+'Clinic 3'!H64+'Clinic 4'!H64+'Clinic 5'!H64+'Clinic 6'!H64+'Clinic 7'!H64+'Clinic 8'!H64+'Clinic 9'!H64+'Clinic 10'!H64+'Clinic 11'!H64+'Clinic 12'!H64+'Clinic 13'!H64+'Clinic 14'!H64+'Clinic 15'!H64</f>
        <v>0</v>
      </c>
      <c r="I106" s="37">
        <f>'Creve Coeur'!K105+CWE!K105+'Clinic 3'!I64+'Clinic 4'!I64+'Clinic 5'!I64+'Clinic 6'!I64+'Clinic 7'!I64+'Clinic 8'!I64+'Clinic 9'!I64+'Clinic 10'!I64+'Clinic 11'!I64+'Clinic 12'!I64+'Clinic 13'!I64+'Clinic 14'!I64+'Clinic 15'!I64</f>
        <v>0</v>
      </c>
      <c r="J106" s="37">
        <f t="shared" si="25"/>
        <v>0</v>
      </c>
    </row>
    <row r="107" spans="1:12" x14ac:dyDescent="0.25">
      <c r="A107" s="1" t="s">
        <v>1</v>
      </c>
      <c r="B107" s="38">
        <f>'Creve Coeur'!D106+CWE!D106+'Clinic 3'!B65+'Clinic 4'!B65+'Clinic 5'!B65+'Clinic 6'!B65+'Clinic 7'!B65+'Clinic 8'!B65+'Clinic 9'!B65+'Clinic 10'!B65+'Clinic 11'!B65+'Clinic 12'!B65+'Clinic 13'!B65+'Clinic 14'!B65+'Clinic 15'!B65</f>
        <v>0</v>
      </c>
      <c r="C107" s="38">
        <f>'Creve Coeur'!E106+CWE!E106+'Clinic 3'!C65+'Clinic 4'!C65+'Clinic 5'!C65+'Clinic 6'!C65+'Clinic 7'!C65+'Clinic 8'!C65+'Clinic 9'!C65+'Clinic 10'!C65+'Clinic 11'!C65+'Clinic 12'!C65+'Clinic 13'!C65+'Clinic 14'!C65+'Clinic 15'!C65</f>
        <v>0</v>
      </c>
      <c r="D107" s="38">
        <f>'Creve Coeur'!F106+CWE!F106+'Clinic 3'!D65+'Clinic 4'!D65+'Clinic 5'!D65+'Clinic 6'!D65+'Clinic 7'!D65+'Clinic 8'!D65+'Clinic 9'!D65+'Clinic 10'!D65+'Clinic 11'!D65+'Clinic 12'!D65+'Clinic 13'!D65+'Clinic 14'!D65+'Clinic 15'!D65</f>
        <v>0</v>
      </c>
      <c r="E107" s="38">
        <f>'Creve Coeur'!G106+CWE!G106+'Clinic 3'!E65+'Clinic 4'!E65+'Clinic 5'!E65+'Clinic 6'!E65+'Clinic 7'!E65+'Clinic 8'!E65+'Clinic 9'!E65+'Clinic 10'!E65+'Clinic 11'!E65+'Clinic 12'!E65+'Clinic 13'!E65+'Clinic 14'!E65+'Clinic 15'!E65</f>
        <v>0</v>
      </c>
      <c r="F107" s="38">
        <f>'Creve Coeur'!H106+CWE!H106+'Clinic 3'!F65+'Clinic 4'!F65+'Clinic 5'!F65+'Clinic 6'!F65+'Clinic 7'!F65+'Clinic 8'!F65+'Clinic 9'!F65+'Clinic 10'!F65+'Clinic 11'!F65+'Clinic 12'!F65+'Clinic 13'!F65+'Clinic 14'!F65+'Clinic 15'!F65</f>
        <v>0</v>
      </c>
      <c r="G107" s="38">
        <f>'Creve Coeur'!I106+CWE!I106+'Clinic 3'!G65+'Clinic 4'!G65+'Clinic 5'!G65+'Clinic 6'!G65+'Clinic 7'!G65+'Clinic 8'!G65+'Clinic 9'!G65+'Clinic 10'!G65+'Clinic 11'!G65+'Clinic 12'!G65+'Clinic 13'!G65+'Clinic 14'!G65+'Clinic 15'!G65</f>
        <v>0</v>
      </c>
      <c r="H107" s="38">
        <f>'Creve Coeur'!J106+CWE!J106+'Clinic 3'!H65+'Clinic 4'!H65+'Clinic 5'!H65+'Clinic 6'!H65+'Clinic 7'!H65+'Clinic 8'!H65+'Clinic 9'!H65+'Clinic 10'!H65+'Clinic 11'!H65+'Clinic 12'!H65+'Clinic 13'!H65+'Clinic 14'!H65+'Clinic 15'!H65</f>
        <v>0</v>
      </c>
      <c r="I107" s="38">
        <f>'Creve Coeur'!K106+CWE!K106+'Clinic 3'!I65+'Clinic 4'!I65+'Clinic 5'!I65+'Clinic 6'!I65+'Clinic 7'!I65+'Clinic 8'!I65+'Clinic 9'!I65+'Clinic 10'!I65+'Clinic 11'!I65+'Clinic 12'!I65+'Clinic 13'!I65+'Clinic 14'!I65+'Clinic 15'!I65</f>
        <v>0</v>
      </c>
      <c r="J107" s="38">
        <f t="shared" si="25"/>
        <v>0</v>
      </c>
    </row>
    <row r="108" spans="1:12" x14ac:dyDescent="0.25">
      <c r="A108" s="1"/>
      <c r="B108" s="9">
        <f>SUM(B91:B107)</f>
        <v>0</v>
      </c>
      <c r="C108" s="9">
        <f t="shared" ref="C108:J108" si="26">SUM(C91:C107)</f>
        <v>0</v>
      </c>
      <c r="D108" s="9">
        <f t="shared" si="26"/>
        <v>0</v>
      </c>
      <c r="E108" s="9">
        <f t="shared" si="26"/>
        <v>0</v>
      </c>
      <c r="F108" s="9">
        <f t="shared" si="26"/>
        <v>0</v>
      </c>
      <c r="G108" s="9">
        <f t="shared" si="26"/>
        <v>0</v>
      </c>
      <c r="H108" s="9">
        <f t="shared" si="26"/>
        <v>0</v>
      </c>
      <c r="I108" s="9">
        <f t="shared" si="26"/>
        <v>321.49000000000046</v>
      </c>
      <c r="J108" s="9">
        <f t="shared" si="26"/>
        <v>321.49000000000046</v>
      </c>
      <c r="K108" s="106">
        <v>76157.27</v>
      </c>
      <c r="L108" s="109"/>
    </row>
    <row r="109" spans="1:12" ht="15.75" thickBot="1" x14ac:dyDescent="0.3">
      <c r="A109" s="1"/>
      <c r="B109" s="9"/>
      <c r="C109" s="9"/>
      <c r="D109" s="9"/>
      <c r="E109" s="9"/>
      <c r="F109" s="9"/>
      <c r="G109" s="9"/>
      <c r="H109" s="9"/>
      <c r="I109" s="9"/>
      <c r="J109" s="9"/>
    </row>
    <row r="110" spans="1:12" ht="15.75" thickBot="1" x14ac:dyDescent="0.3">
      <c r="A110" s="150" t="s">
        <v>64</v>
      </c>
      <c r="B110" s="151"/>
      <c r="C110" s="151"/>
      <c r="D110" s="151"/>
      <c r="E110" s="151"/>
      <c r="F110" s="151"/>
      <c r="G110" s="151"/>
      <c r="H110" s="151"/>
      <c r="I110" s="151"/>
      <c r="J110" s="152"/>
    </row>
    <row r="111" spans="1:12" x14ac:dyDescent="0.25">
      <c r="A111" s="4" t="s">
        <v>16</v>
      </c>
      <c r="B111" s="5" t="s">
        <v>15</v>
      </c>
      <c r="C111" s="5" t="s">
        <v>14</v>
      </c>
      <c r="D111" s="5" t="s">
        <v>13</v>
      </c>
      <c r="E111" s="5" t="s">
        <v>12</v>
      </c>
      <c r="F111" s="5" t="s">
        <v>94</v>
      </c>
      <c r="G111" s="5" t="s">
        <v>95</v>
      </c>
      <c r="H111" s="5" t="s">
        <v>38</v>
      </c>
      <c r="I111" s="5" t="s">
        <v>9</v>
      </c>
      <c r="J111" s="5" t="s">
        <v>0</v>
      </c>
    </row>
    <row r="112" spans="1:12" x14ac:dyDescent="0.25">
      <c r="A112" s="1" t="s">
        <v>49</v>
      </c>
      <c r="B112" s="39">
        <f>B70-B91</f>
        <v>0</v>
      </c>
      <c r="C112" s="39">
        <f t="shared" ref="C112:I112" si="27">C70-C91</f>
        <v>0</v>
      </c>
      <c r="D112" s="39">
        <f t="shared" si="27"/>
        <v>0</v>
      </c>
      <c r="E112" s="39">
        <f t="shared" si="27"/>
        <v>0</v>
      </c>
      <c r="F112" s="39">
        <f t="shared" si="27"/>
        <v>0</v>
      </c>
      <c r="G112" s="39">
        <f t="shared" si="27"/>
        <v>0</v>
      </c>
      <c r="H112" s="39">
        <f t="shared" si="27"/>
        <v>0</v>
      </c>
      <c r="I112" s="39">
        <f t="shared" si="27"/>
        <v>0</v>
      </c>
      <c r="J112" s="39">
        <f>SUM(B112:I112)</f>
        <v>0</v>
      </c>
    </row>
    <row r="113" spans="1:10" x14ac:dyDescent="0.25">
      <c r="A113" s="1" t="s">
        <v>8</v>
      </c>
      <c r="B113" s="39">
        <f t="shared" ref="B113:I113" si="28">B71-B92</f>
        <v>0</v>
      </c>
      <c r="C113" s="39">
        <f t="shared" si="28"/>
        <v>0</v>
      </c>
      <c r="D113" s="39">
        <f t="shared" si="28"/>
        <v>0</v>
      </c>
      <c r="E113" s="39">
        <f t="shared" si="28"/>
        <v>0</v>
      </c>
      <c r="F113" s="39">
        <f t="shared" si="28"/>
        <v>0</v>
      </c>
      <c r="G113" s="39">
        <f t="shared" si="28"/>
        <v>0</v>
      </c>
      <c r="H113" s="39">
        <f t="shared" si="28"/>
        <v>0</v>
      </c>
      <c r="I113" s="39">
        <f t="shared" si="28"/>
        <v>115</v>
      </c>
      <c r="J113" s="39">
        <f t="shared" ref="J113:J128" si="29">SUM(B113:I113)</f>
        <v>115</v>
      </c>
    </row>
    <row r="114" spans="1:10" x14ac:dyDescent="0.25">
      <c r="A114" s="1" t="s">
        <v>7</v>
      </c>
      <c r="B114" s="39">
        <f t="shared" ref="B114:I114" si="30">B72-B93</f>
        <v>0</v>
      </c>
      <c r="C114" s="39">
        <f t="shared" si="30"/>
        <v>0</v>
      </c>
      <c r="D114" s="39">
        <f t="shared" si="30"/>
        <v>0</v>
      </c>
      <c r="E114" s="39">
        <f t="shared" si="30"/>
        <v>0</v>
      </c>
      <c r="F114" s="39">
        <f t="shared" si="30"/>
        <v>0</v>
      </c>
      <c r="G114" s="39">
        <f t="shared" si="30"/>
        <v>0</v>
      </c>
      <c r="H114" s="39">
        <f t="shared" si="30"/>
        <v>0</v>
      </c>
      <c r="I114" s="39">
        <f t="shared" si="30"/>
        <v>0</v>
      </c>
      <c r="J114" s="39">
        <f t="shared" si="29"/>
        <v>0</v>
      </c>
    </row>
    <row r="115" spans="1:10" x14ac:dyDescent="0.25">
      <c r="A115" s="1" t="s">
        <v>42</v>
      </c>
      <c r="B115" s="39">
        <f t="shared" ref="B115:I115" si="31">B73-B94</f>
        <v>0</v>
      </c>
      <c r="C115" s="39">
        <f t="shared" si="31"/>
        <v>0</v>
      </c>
      <c r="D115" s="39">
        <f t="shared" si="31"/>
        <v>0</v>
      </c>
      <c r="E115" s="39">
        <f t="shared" si="31"/>
        <v>0</v>
      </c>
      <c r="F115" s="39">
        <f t="shared" si="31"/>
        <v>0</v>
      </c>
      <c r="G115" s="39">
        <f t="shared" si="31"/>
        <v>0</v>
      </c>
      <c r="H115" s="39">
        <f t="shared" si="31"/>
        <v>0</v>
      </c>
      <c r="I115" s="39">
        <f t="shared" si="31"/>
        <v>0</v>
      </c>
      <c r="J115" s="39">
        <f t="shared" si="29"/>
        <v>0</v>
      </c>
    </row>
    <row r="116" spans="1:10" x14ac:dyDescent="0.25">
      <c r="A116" s="1" t="s">
        <v>6</v>
      </c>
      <c r="B116" s="39">
        <f t="shared" ref="B116:I116" si="32">B74-B95</f>
        <v>0</v>
      </c>
      <c r="C116" s="39">
        <f t="shared" si="32"/>
        <v>0</v>
      </c>
      <c r="D116" s="39">
        <f t="shared" si="32"/>
        <v>0</v>
      </c>
      <c r="E116" s="39">
        <f t="shared" si="32"/>
        <v>0</v>
      </c>
      <c r="F116" s="39">
        <f t="shared" si="32"/>
        <v>0</v>
      </c>
      <c r="G116" s="39">
        <f t="shared" si="32"/>
        <v>0</v>
      </c>
      <c r="H116" s="39">
        <f t="shared" si="32"/>
        <v>0</v>
      </c>
      <c r="I116" s="39">
        <f t="shared" si="32"/>
        <v>0</v>
      </c>
      <c r="J116" s="39">
        <f t="shared" si="29"/>
        <v>0</v>
      </c>
    </row>
    <row r="117" spans="1:10" x14ac:dyDescent="0.25">
      <c r="A117" s="1" t="s">
        <v>50</v>
      </c>
      <c r="B117" s="39">
        <f t="shared" ref="B117:I117" si="33">B75-B96</f>
        <v>0</v>
      </c>
      <c r="C117" s="39">
        <f t="shared" si="33"/>
        <v>0</v>
      </c>
      <c r="D117" s="39">
        <f t="shared" si="33"/>
        <v>0</v>
      </c>
      <c r="E117" s="39">
        <f t="shared" si="33"/>
        <v>0</v>
      </c>
      <c r="F117" s="39">
        <f t="shared" si="33"/>
        <v>0</v>
      </c>
      <c r="G117" s="39">
        <f t="shared" si="33"/>
        <v>0</v>
      </c>
      <c r="H117" s="39">
        <f t="shared" si="33"/>
        <v>0</v>
      </c>
      <c r="I117" s="39">
        <f t="shared" si="33"/>
        <v>0</v>
      </c>
      <c r="J117" s="39">
        <f t="shared" si="29"/>
        <v>0</v>
      </c>
    </row>
    <row r="118" spans="1:10" ht="15.75" customHeight="1" x14ac:dyDescent="0.25">
      <c r="A118" s="1" t="s">
        <v>89</v>
      </c>
      <c r="B118" s="39">
        <f t="shared" ref="B118:I118" si="34">B76-B97</f>
        <v>0</v>
      </c>
      <c r="C118" s="39">
        <f t="shared" si="34"/>
        <v>0</v>
      </c>
      <c r="D118" s="39">
        <f t="shared" si="34"/>
        <v>0</v>
      </c>
      <c r="E118" s="39">
        <f t="shared" si="34"/>
        <v>0</v>
      </c>
      <c r="F118" s="39">
        <f t="shared" si="34"/>
        <v>0</v>
      </c>
      <c r="G118" s="39">
        <f t="shared" si="34"/>
        <v>0</v>
      </c>
      <c r="H118" s="39">
        <f t="shared" si="34"/>
        <v>0</v>
      </c>
      <c r="I118" s="39">
        <f t="shared" si="34"/>
        <v>0</v>
      </c>
      <c r="J118" s="39">
        <f t="shared" si="29"/>
        <v>0</v>
      </c>
    </row>
    <row r="119" spans="1:10" ht="15.75" customHeight="1" x14ac:dyDescent="0.25">
      <c r="A119" s="1" t="s">
        <v>5</v>
      </c>
      <c r="B119" s="39">
        <f t="shared" ref="B119:I119" si="35">B77-B98</f>
        <v>0</v>
      </c>
      <c r="C119" s="39">
        <f t="shared" si="35"/>
        <v>0</v>
      </c>
      <c r="D119" s="39">
        <f t="shared" si="35"/>
        <v>0</v>
      </c>
      <c r="E119" s="39">
        <f t="shared" si="35"/>
        <v>0</v>
      </c>
      <c r="F119" s="39">
        <f t="shared" si="35"/>
        <v>0</v>
      </c>
      <c r="G119" s="39">
        <f t="shared" si="35"/>
        <v>0</v>
      </c>
      <c r="H119" s="39">
        <f t="shared" si="35"/>
        <v>0</v>
      </c>
      <c r="I119" s="39">
        <f t="shared" si="35"/>
        <v>0</v>
      </c>
      <c r="J119" s="39">
        <f t="shared" si="29"/>
        <v>0</v>
      </c>
    </row>
    <row r="120" spans="1:10" ht="15" customHeight="1" x14ac:dyDescent="0.25">
      <c r="A120" s="1" t="s">
        <v>84</v>
      </c>
      <c r="B120" s="39">
        <f t="shared" ref="B120:I120" si="36">B78-B99</f>
        <v>0</v>
      </c>
      <c r="C120" s="39">
        <f t="shared" si="36"/>
        <v>0</v>
      </c>
      <c r="D120" s="39">
        <f t="shared" si="36"/>
        <v>0</v>
      </c>
      <c r="E120" s="39">
        <f t="shared" si="36"/>
        <v>0</v>
      </c>
      <c r="F120" s="39">
        <f t="shared" si="36"/>
        <v>0</v>
      </c>
      <c r="G120" s="39">
        <f t="shared" si="36"/>
        <v>0</v>
      </c>
      <c r="H120" s="39">
        <f t="shared" si="36"/>
        <v>0</v>
      </c>
      <c r="I120" s="39">
        <f t="shared" si="36"/>
        <v>0</v>
      </c>
      <c r="J120" s="39">
        <f t="shared" si="29"/>
        <v>0</v>
      </c>
    </row>
    <row r="121" spans="1:10" ht="15" customHeight="1" x14ac:dyDescent="0.25">
      <c r="A121" s="1" t="s">
        <v>4</v>
      </c>
      <c r="B121" s="39">
        <f t="shared" ref="B121:I121" si="37">B79-B100</f>
        <v>0</v>
      </c>
      <c r="C121" s="39">
        <f t="shared" si="37"/>
        <v>0</v>
      </c>
      <c r="D121" s="39">
        <f t="shared" si="37"/>
        <v>0</v>
      </c>
      <c r="E121" s="39">
        <f t="shared" si="37"/>
        <v>0</v>
      </c>
      <c r="F121" s="39">
        <f t="shared" si="37"/>
        <v>0</v>
      </c>
      <c r="G121" s="39">
        <f t="shared" si="37"/>
        <v>0</v>
      </c>
      <c r="H121" s="39">
        <f t="shared" si="37"/>
        <v>0</v>
      </c>
      <c r="I121" s="39">
        <f t="shared" si="37"/>
        <v>0</v>
      </c>
      <c r="J121" s="39">
        <f t="shared" si="29"/>
        <v>0</v>
      </c>
    </row>
    <row r="122" spans="1:10" ht="15" customHeight="1" x14ac:dyDescent="0.25">
      <c r="A122" s="1" t="s">
        <v>51</v>
      </c>
      <c r="B122" s="39">
        <f t="shared" ref="B122:I122" si="38">B80-B101</f>
        <v>0</v>
      </c>
      <c r="C122" s="39">
        <f t="shared" si="38"/>
        <v>0</v>
      </c>
      <c r="D122" s="39">
        <f t="shared" si="38"/>
        <v>0</v>
      </c>
      <c r="E122" s="39">
        <f t="shared" si="38"/>
        <v>0</v>
      </c>
      <c r="F122" s="39">
        <f t="shared" si="38"/>
        <v>0</v>
      </c>
      <c r="G122" s="39">
        <f t="shared" si="38"/>
        <v>0</v>
      </c>
      <c r="H122" s="39">
        <f t="shared" si="38"/>
        <v>0</v>
      </c>
      <c r="I122" s="39">
        <f t="shared" si="38"/>
        <v>0</v>
      </c>
      <c r="J122" s="39">
        <f t="shared" si="29"/>
        <v>0</v>
      </c>
    </row>
    <row r="123" spans="1:10" ht="15" customHeight="1" x14ac:dyDescent="0.25">
      <c r="A123" s="1" t="s">
        <v>85</v>
      </c>
      <c r="B123" s="39">
        <f t="shared" ref="B123:I123" si="39">B81-B102</f>
        <v>0</v>
      </c>
      <c r="C123" s="39">
        <f t="shared" si="39"/>
        <v>0</v>
      </c>
      <c r="D123" s="39">
        <f t="shared" si="39"/>
        <v>0</v>
      </c>
      <c r="E123" s="39">
        <f t="shared" si="39"/>
        <v>0</v>
      </c>
      <c r="F123" s="39">
        <f t="shared" si="39"/>
        <v>0</v>
      </c>
      <c r="G123" s="39">
        <f t="shared" si="39"/>
        <v>0</v>
      </c>
      <c r="H123" s="39">
        <f t="shared" si="39"/>
        <v>0</v>
      </c>
      <c r="I123" s="39">
        <f t="shared" si="39"/>
        <v>0</v>
      </c>
      <c r="J123" s="39">
        <f t="shared" si="29"/>
        <v>0</v>
      </c>
    </row>
    <row r="124" spans="1:10" ht="15" customHeight="1" x14ac:dyDescent="0.25">
      <c r="A124" s="1" t="s">
        <v>2</v>
      </c>
      <c r="B124" s="39">
        <f t="shared" ref="B124:I124" si="40">B82-B103</f>
        <v>-25887.81</v>
      </c>
      <c r="C124" s="39">
        <f t="shared" si="40"/>
        <v>0</v>
      </c>
      <c r="D124" s="39">
        <f t="shared" si="40"/>
        <v>0</v>
      </c>
      <c r="E124" s="39">
        <f t="shared" si="40"/>
        <v>0</v>
      </c>
      <c r="F124" s="39">
        <f t="shared" si="40"/>
        <v>0</v>
      </c>
      <c r="G124" s="39">
        <f t="shared" si="40"/>
        <v>0</v>
      </c>
      <c r="H124" s="39">
        <f t="shared" si="40"/>
        <v>0</v>
      </c>
      <c r="I124" s="39">
        <f t="shared" si="40"/>
        <v>-251.48999999999998</v>
      </c>
      <c r="J124" s="39">
        <f t="shared" si="29"/>
        <v>-26139.300000000003</v>
      </c>
    </row>
    <row r="125" spans="1:10" ht="15" customHeight="1" x14ac:dyDescent="0.25">
      <c r="A125" s="1" t="s">
        <v>86</v>
      </c>
      <c r="B125" s="39">
        <f t="shared" ref="B125:I125" si="41">B83-B104</f>
        <v>0</v>
      </c>
      <c r="C125" s="39">
        <f t="shared" si="41"/>
        <v>0</v>
      </c>
      <c r="D125" s="39">
        <f t="shared" si="41"/>
        <v>0</v>
      </c>
      <c r="E125" s="39">
        <f t="shared" si="41"/>
        <v>0</v>
      </c>
      <c r="F125" s="39">
        <f t="shared" si="41"/>
        <v>0</v>
      </c>
      <c r="G125" s="39">
        <f t="shared" si="41"/>
        <v>0</v>
      </c>
      <c r="H125" s="39">
        <f t="shared" si="41"/>
        <v>0</v>
      </c>
      <c r="I125" s="39">
        <f t="shared" si="41"/>
        <v>0</v>
      </c>
      <c r="J125" s="39">
        <f t="shared" si="29"/>
        <v>0</v>
      </c>
    </row>
    <row r="126" spans="1:10" ht="15" customHeight="1" x14ac:dyDescent="0.25">
      <c r="A126" s="1" t="s">
        <v>29</v>
      </c>
      <c r="B126" s="39">
        <f t="shared" ref="B126:I126" si="42">B84-B105</f>
        <v>0</v>
      </c>
      <c r="C126" s="39">
        <f t="shared" si="42"/>
        <v>0</v>
      </c>
      <c r="D126" s="39">
        <f t="shared" si="42"/>
        <v>0</v>
      </c>
      <c r="E126" s="39">
        <f t="shared" si="42"/>
        <v>0</v>
      </c>
      <c r="F126" s="39">
        <f t="shared" si="42"/>
        <v>0</v>
      </c>
      <c r="G126" s="39">
        <f t="shared" si="42"/>
        <v>0</v>
      </c>
      <c r="H126" s="39">
        <f t="shared" si="42"/>
        <v>0</v>
      </c>
      <c r="I126" s="39">
        <f t="shared" si="42"/>
        <v>0</v>
      </c>
      <c r="J126" s="39">
        <f t="shared" si="29"/>
        <v>0</v>
      </c>
    </row>
    <row r="127" spans="1:10" ht="15" customHeight="1" x14ac:dyDescent="0.25">
      <c r="A127" s="1" t="s">
        <v>52</v>
      </c>
      <c r="B127" s="39">
        <f t="shared" ref="B127:I127" si="43">B85-B106</f>
        <v>0</v>
      </c>
      <c r="C127" s="39">
        <f t="shared" si="43"/>
        <v>0</v>
      </c>
      <c r="D127" s="39">
        <f t="shared" si="43"/>
        <v>0</v>
      </c>
      <c r="E127" s="39">
        <f t="shared" si="43"/>
        <v>0</v>
      </c>
      <c r="F127" s="39">
        <f t="shared" si="43"/>
        <v>0</v>
      </c>
      <c r="G127" s="39">
        <f t="shared" si="43"/>
        <v>0</v>
      </c>
      <c r="H127" s="39">
        <f t="shared" si="43"/>
        <v>0</v>
      </c>
      <c r="I127" s="39">
        <f t="shared" si="43"/>
        <v>0</v>
      </c>
      <c r="J127" s="39">
        <f t="shared" si="29"/>
        <v>0</v>
      </c>
    </row>
    <row r="128" spans="1:10" ht="15" customHeight="1" x14ac:dyDescent="0.25">
      <c r="A128" s="146" t="s">
        <v>1</v>
      </c>
      <c r="B128" s="40">
        <f t="shared" ref="B128:I128" si="44">B86-B107</f>
        <v>0</v>
      </c>
      <c r="C128" s="40">
        <f t="shared" si="44"/>
        <v>0</v>
      </c>
      <c r="D128" s="40">
        <f t="shared" si="44"/>
        <v>0</v>
      </c>
      <c r="E128" s="40">
        <f t="shared" si="44"/>
        <v>0</v>
      </c>
      <c r="F128" s="40">
        <f t="shared" si="44"/>
        <v>0</v>
      </c>
      <c r="G128" s="40">
        <f t="shared" si="44"/>
        <v>0</v>
      </c>
      <c r="H128" s="40">
        <f t="shared" si="44"/>
        <v>0</v>
      </c>
      <c r="I128" s="40">
        <f t="shared" si="44"/>
        <v>0</v>
      </c>
      <c r="J128" s="40">
        <f t="shared" si="29"/>
        <v>0</v>
      </c>
    </row>
    <row r="129" spans="1:12" ht="15" customHeight="1" x14ac:dyDescent="0.25">
      <c r="A129" s="4"/>
      <c r="B129" s="39">
        <f>SUM(B112:B128)</f>
        <v>-25887.81</v>
      </c>
      <c r="C129" s="39">
        <f t="shared" ref="C129:J129" si="45">SUM(C112:C128)</f>
        <v>0</v>
      </c>
      <c r="D129" s="39">
        <f t="shared" si="45"/>
        <v>0</v>
      </c>
      <c r="E129" s="39">
        <f t="shared" si="45"/>
        <v>0</v>
      </c>
      <c r="F129" s="39">
        <f t="shared" si="45"/>
        <v>0</v>
      </c>
      <c r="G129" s="39">
        <f t="shared" si="45"/>
        <v>0</v>
      </c>
      <c r="H129" s="39">
        <f t="shared" si="45"/>
        <v>0</v>
      </c>
      <c r="I129" s="39">
        <f t="shared" si="45"/>
        <v>-136.48999999999998</v>
      </c>
      <c r="J129" s="39">
        <f t="shared" si="45"/>
        <v>-26024.300000000003</v>
      </c>
      <c r="K129" s="106"/>
      <c r="L129" s="109"/>
    </row>
    <row r="130" spans="1:12" ht="15" hidden="1" customHeight="1" thickBot="1" x14ac:dyDescent="0.3">
      <c r="A130" s="4"/>
      <c r="B130" s="39"/>
      <c r="C130" s="39"/>
      <c r="D130" s="39"/>
      <c r="E130" s="39"/>
      <c r="F130" s="39"/>
      <c r="G130" s="39"/>
      <c r="H130" s="39"/>
      <c r="I130" s="39"/>
      <c r="J130" s="39"/>
    </row>
    <row r="131" spans="1:12" ht="15" hidden="1" customHeight="1" thickBot="1" x14ac:dyDescent="0.3">
      <c r="A131" s="153" t="s">
        <v>59</v>
      </c>
      <c r="B131" s="154"/>
      <c r="C131" s="154"/>
      <c r="D131" s="154"/>
      <c r="E131" s="154"/>
      <c r="F131" s="154"/>
      <c r="G131" s="154"/>
      <c r="H131" s="154"/>
      <c r="I131" s="154"/>
      <c r="J131" s="155"/>
    </row>
    <row r="132" spans="1:12" ht="15" hidden="1" customHeight="1" x14ac:dyDescent="0.25">
      <c r="A132" s="4" t="s">
        <v>16</v>
      </c>
      <c r="B132" s="5" t="s">
        <v>15</v>
      </c>
      <c r="C132" s="5" t="s">
        <v>14</v>
      </c>
      <c r="D132" s="5" t="s">
        <v>13</v>
      </c>
      <c r="E132" s="5" t="s">
        <v>12</v>
      </c>
      <c r="F132" s="5" t="s">
        <v>37</v>
      </c>
      <c r="G132" s="5" t="s">
        <v>38</v>
      </c>
      <c r="H132" s="5" t="s">
        <v>9</v>
      </c>
      <c r="I132" s="5"/>
      <c r="J132" s="5" t="s">
        <v>0</v>
      </c>
    </row>
    <row r="133" spans="1:12" ht="15" hidden="1" customHeight="1" x14ac:dyDescent="0.25">
      <c r="A133" s="1" t="s">
        <v>49</v>
      </c>
      <c r="B133" s="41">
        <v>0</v>
      </c>
      <c r="C133" s="41">
        <v>0</v>
      </c>
      <c r="D133" s="41">
        <v>0</v>
      </c>
      <c r="E133" s="41">
        <v>0.1</v>
      </c>
      <c r="F133" s="41">
        <v>0.15</v>
      </c>
      <c r="G133" s="41">
        <v>0.2</v>
      </c>
      <c r="H133" s="41">
        <v>1</v>
      </c>
      <c r="I133" s="41"/>
      <c r="J133" s="39"/>
    </row>
    <row r="134" spans="1:12" hidden="1" x14ac:dyDescent="0.25">
      <c r="A134" s="1" t="s">
        <v>8</v>
      </c>
      <c r="B134" s="41">
        <v>0</v>
      </c>
      <c r="C134" s="41">
        <v>0</v>
      </c>
      <c r="D134" s="41">
        <v>0</v>
      </c>
      <c r="E134" s="41">
        <v>0.1</v>
      </c>
      <c r="F134" s="41">
        <v>0.15</v>
      </c>
      <c r="G134" s="41">
        <v>0.2</v>
      </c>
      <c r="H134" s="41">
        <v>1</v>
      </c>
      <c r="I134" s="41"/>
      <c r="J134" s="39"/>
    </row>
    <row r="135" spans="1:12" hidden="1" x14ac:dyDescent="0.25">
      <c r="A135" s="1" t="s">
        <v>7</v>
      </c>
      <c r="B135" s="41">
        <v>0</v>
      </c>
      <c r="C135" s="41">
        <v>0</v>
      </c>
      <c r="D135" s="41">
        <v>0</v>
      </c>
      <c r="E135" s="41">
        <v>0.1</v>
      </c>
      <c r="F135" s="41">
        <v>0.15</v>
      </c>
      <c r="G135" s="41">
        <v>0.2</v>
      </c>
      <c r="H135" s="41">
        <v>1</v>
      </c>
      <c r="I135" s="41"/>
      <c r="J135" s="39"/>
    </row>
    <row r="136" spans="1:12" hidden="1" x14ac:dyDescent="0.25">
      <c r="A136" s="1" t="s">
        <v>42</v>
      </c>
      <c r="B136" s="41">
        <v>0</v>
      </c>
      <c r="C136" s="41">
        <v>0</v>
      </c>
      <c r="D136" s="41">
        <v>0</v>
      </c>
      <c r="E136" s="41">
        <v>0.1</v>
      </c>
      <c r="F136" s="41">
        <v>0.15</v>
      </c>
      <c r="G136" s="41">
        <v>0.2</v>
      </c>
      <c r="H136" s="41">
        <v>1</v>
      </c>
      <c r="I136" s="41"/>
      <c r="J136" s="39"/>
    </row>
    <row r="137" spans="1:12" hidden="1" x14ac:dyDescent="0.25">
      <c r="A137" s="1" t="s">
        <v>6</v>
      </c>
      <c r="B137" s="41">
        <v>0</v>
      </c>
      <c r="C137" s="41">
        <v>0</v>
      </c>
      <c r="D137" s="41">
        <v>0</v>
      </c>
      <c r="E137" s="41">
        <v>0.1</v>
      </c>
      <c r="F137" s="41">
        <v>0.15</v>
      </c>
      <c r="G137" s="41">
        <v>0.2</v>
      </c>
      <c r="H137" s="41">
        <v>1</v>
      </c>
      <c r="I137" s="41"/>
      <c r="J137" s="39"/>
    </row>
    <row r="138" spans="1:12" hidden="1" x14ac:dyDescent="0.25">
      <c r="A138" s="1" t="s">
        <v>50</v>
      </c>
      <c r="B138" s="41">
        <v>0</v>
      </c>
      <c r="C138" s="41">
        <v>0</v>
      </c>
      <c r="D138" s="41">
        <v>0</v>
      </c>
      <c r="E138" s="41">
        <v>0.1</v>
      </c>
      <c r="F138" s="41">
        <v>0.15</v>
      </c>
      <c r="G138" s="41">
        <v>0.2</v>
      </c>
      <c r="H138" s="41">
        <v>1</v>
      </c>
      <c r="I138" s="41"/>
      <c r="J138" s="39"/>
    </row>
    <row r="139" spans="1:12" hidden="1" x14ac:dyDescent="0.25">
      <c r="A139" s="1" t="s">
        <v>89</v>
      </c>
      <c r="B139" s="41">
        <v>0</v>
      </c>
      <c r="C139" s="41">
        <v>0</v>
      </c>
      <c r="D139" s="41">
        <v>0</v>
      </c>
      <c r="E139" s="41">
        <v>0.1</v>
      </c>
      <c r="F139" s="41">
        <v>0.15</v>
      </c>
      <c r="G139" s="41">
        <v>0.2</v>
      </c>
      <c r="H139" s="41">
        <v>1</v>
      </c>
      <c r="I139" s="41"/>
      <c r="J139" s="39"/>
    </row>
    <row r="140" spans="1:12" hidden="1" x14ac:dyDescent="0.25">
      <c r="A140" s="1" t="s">
        <v>5</v>
      </c>
      <c r="B140" s="41">
        <v>0</v>
      </c>
      <c r="C140" s="41">
        <v>0</v>
      </c>
      <c r="D140" s="41">
        <v>0</v>
      </c>
      <c r="E140" s="41">
        <v>0.1</v>
      </c>
      <c r="F140" s="41">
        <v>0.15</v>
      </c>
      <c r="G140" s="41">
        <v>0.2</v>
      </c>
      <c r="H140" s="41">
        <v>1</v>
      </c>
      <c r="I140" s="41"/>
      <c r="J140" s="39"/>
    </row>
    <row r="141" spans="1:12" hidden="1" x14ac:dyDescent="0.25">
      <c r="A141" s="1" t="s">
        <v>84</v>
      </c>
      <c r="B141" s="41">
        <v>0</v>
      </c>
      <c r="C141" s="41">
        <v>0</v>
      </c>
      <c r="D141" s="41">
        <v>0</v>
      </c>
      <c r="E141" s="41">
        <v>0.1</v>
      </c>
      <c r="F141" s="41">
        <v>0.15</v>
      </c>
      <c r="G141" s="41">
        <v>0.2</v>
      </c>
      <c r="H141" s="41">
        <v>1</v>
      </c>
      <c r="I141" s="41"/>
      <c r="J141" s="39"/>
    </row>
    <row r="142" spans="1:12" hidden="1" x14ac:dyDescent="0.25">
      <c r="A142" s="1" t="s">
        <v>4</v>
      </c>
      <c r="B142" s="41">
        <v>0</v>
      </c>
      <c r="C142" s="41">
        <v>0</v>
      </c>
      <c r="D142" s="41">
        <v>0</v>
      </c>
      <c r="E142" s="41">
        <v>0.1</v>
      </c>
      <c r="F142" s="41">
        <v>0.15</v>
      </c>
      <c r="G142" s="41">
        <v>0.2</v>
      </c>
      <c r="H142" s="41">
        <v>1</v>
      </c>
      <c r="I142" s="41"/>
      <c r="J142" s="39"/>
    </row>
    <row r="143" spans="1:12" hidden="1" x14ac:dyDescent="0.25">
      <c r="A143" s="1" t="s">
        <v>51</v>
      </c>
      <c r="B143" s="41">
        <v>0</v>
      </c>
      <c r="C143" s="41">
        <v>0</v>
      </c>
      <c r="D143" s="41">
        <v>0</v>
      </c>
      <c r="E143" s="41">
        <v>0.1</v>
      </c>
      <c r="F143" s="41">
        <v>0.15</v>
      </c>
      <c r="G143" s="41">
        <v>0.2</v>
      </c>
      <c r="H143" s="41">
        <v>1</v>
      </c>
      <c r="I143" s="41"/>
      <c r="J143" s="39"/>
    </row>
    <row r="144" spans="1:12" hidden="1" x14ac:dyDescent="0.25">
      <c r="A144" s="1" t="s">
        <v>85</v>
      </c>
      <c r="B144" s="41">
        <v>0</v>
      </c>
      <c r="C144" s="41">
        <v>0</v>
      </c>
      <c r="D144" s="41">
        <v>0</v>
      </c>
      <c r="E144" s="41">
        <v>0.1</v>
      </c>
      <c r="F144" s="41">
        <v>0.15</v>
      </c>
      <c r="G144" s="41">
        <v>0.2</v>
      </c>
      <c r="H144" s="41">
        <v>1</v>
      </c>
      <c r="I144" s="41"/>
      <c r="J144" s="39"/>
    </row>
    <row r="145" spans="1:10" hidden="1" x14ac:dyDescent="0.25">
      <c r="A145" s="1" t="s">
        <v>2</v>
      </c>
      <c r="B145" s="41">
        <v>0</v>
      </c>
      <c r="C145" s="41">
        <v>0</v>
      </c>
      <c r="D145" s="41">
        <v>0.1</v>
      </c>
      <c r="E145" s="41">
        <v>0.5</v>
      </c>
      <c r="F145" s="41">
        <v>1</v>
      </c>
      <c r="G145" s="41">
        <v>1</v>
      </c>
      <c r="H145" s="41">
        <v>1</v>
      </c>
      <c r="I145" s="41"/>
      <c r="J145" s="39"/>
    </row>
    <row r="146" spans="1:10" hidden="1" x14ac:dyDescent="0.25">
      <c r="A146" s="1" t="s">
        <v>86</v>
      </c>
      <c r="B146" s="41">
        <v>0</v>
      </c>
      <c r="C146" s="41">
        <v>0</v>
      </c>
      <c r="D146" s="41">
        <v>0</v>
      </c>
      <c r="E146" s="41">
        <v>0.1</v>
      </c>
      <c r="F146" s="41">
        <v>0.15</v>
      </c>
      <c r="G146" s="41">
        <v>0.2</v>
      </c>
      <c r="H146" s="41">
        <v>1</v>
      </c>
      <c r="I146" s="41"/>
      <c r="J146" s="39"/>
    </row>
    <row r="147" spans="1:10" hidden="1" x14ac:dyDescent="0.25">
      <c r="A147" s="1" t="s">
        <v>29</v>
      </c>
      <c r="B147" s="41">
        <v>0</v>
      </c>
      <c r="C147" s="41">
        <v>0</v>
      </c>
      <c r="D147" s="41">
        <v>0</v>
      </c>
      <c r="E147" s="41">
        <v>0.1</v>
      </c>
      <c r="F147" s="41">
        <v>0.15</v>
      </c>
      <c r="G147" s="41">
        <v>0.2</v>
      </c>
      <c r="H147" s="41">
        <v>1</v>
      </c>
      <c r="I147" s="41"/>
      <c r="J147" s="39"/>
    </row>
    <row r="148" spans="1:10" hidden="1" x14ac:dyDescent="0.25">
      <c r="A148" s="1" t="s">
        <v>52</v>
      </c>
      <c r="B148" s="41">
        <v>0</v>
      </c>
      <c r="C148" s="41">
        <v>0</v>
      </c>
      <c r="D148" s="41">
        <v>0</v>
      </c>
      <c r="E148" s="41">
        <v>0.1</v>
      </c>
      <c r="F148" s="41">
        <v>0.15</v>
      </c>
      <c r="G148" s="41">
        <v>0.2</v>
      </c>
      <c r="H148" s="41">
        <v>1</v>
      </c>
      <c r="I148" s="41"/>
      <c r="J148" s="39"/>
    </row>
    <row r="149" spans="1:10" hidden="1" x14ac:dyDescent="0.25">
      <c r="A149" s="1" t="s">
        <v>1</v>
      </c>
      <c r="B149" s="41">
        <v>0</v>
      </c>
      <c r="C149" s="41">
        <v>0</v>
      </c>
      <c r="D149" s="41">
        <v>0</v>
      </c>
      <c r="E149" s="41">
        <v>0.1</v>
      </c>
      <c r="F149" s="41">
        <v>0.15</v>
      </c>
      <c r="G149" s="41">
        <v>0.2</v>
      </c>
      <c r="H149" s="41">
        <v>1</v>
      </c>
      <c r="I149" s="41"/>
      <c r="J149" s="39"/>
    </row>
    <row r="150" spans="1:10" ht="15.75" thickBot="1" x14ac:dyDescent="0.3">
      <c r="A150" s="4"/>
      <c r="B150" s="39"/>
      <c r="C150" s="39"/>
      <c r="D150" s="39"/>
      <c r="E150" s="39"/>
      <c r="F150" s="39"/>
      <c r="G150" s="39"/>
      <c r="H150" s="39"/>
      <c r="I150" s="39"/>
      <c r="J150" s="39"/>
    </row>
    <row r="151" spans="1:10" ht="15.75" thickBot="1" x14ac:dyDescent="0.3">
      <c r="A151" s="150" t="s">
        <v>60</v>
      </c>
      <c r="B151" s="151"/>
      <c r="C151" s="151"/>
      <c r="D151" s="151"/>
      <c r="E151" s="151"/>
      <c r="F151" s="151"/>
      <c r="G151" s="151"/>
      <c r="H151" s="151"/>
      <c r="I151" s="151"/>
      <c r="J151" s="152"/>
    </row>
    <row r="152" spans="1:10" x14ac:dyDescent="0.25">
      <c r="A152" s="4" t="s">
        <v>16</v>
      </c>
      <c r="B152" s="5" t="s">
        <v>15</v>
      </c>
      <c r="C152" s="5" t="s">
        <v>14</v>
      </c>
      <c r="D152" s="5" t="s">
        <v>13</v>
      </c>
      <c r="E152" s="5" t="s">
        <v>12</v>
      </c>
      <c r="F152" s="5" t="s">
        <v>94</v>
      </c>
      <c r="G152" s="5" t="s">
        <v>95</v>
      </c>
      <c r="H152" s="5" t="s">
        <v>38</v>
      </c>
      <c r="I152" s="5" t="s">
        <v>9</v>
      </c>
      <c r="J152" s="5" t="s">
        <v>0</v>
      </c>
    </row>
    <row r="153" spans="1:10" x14ac:dyDescent="0.25">
      <c r="A153" s="1" t="s">
        <v>49</v>
      </c>
      <c r="B153" s="66">
        <f>'Creve Coeur'!D152+CWE!D152+'Clinic 3'!B111+'Clinic 4'!B111+'Clinic 5'!B111+'Clinic 6'!B111+'Clinic 7'!B111+'Clinic 8'!B111+'Clinic 9'!B111+'Clinic 10'!B111+'Clinic 11'!B111+'Clinic 12'!B111+'Clinic 13'!B111+'Clinic 14'!B111+'Clinic 15'!B111</f>
        <v>0</v>
      </c>
      <c r="C153" s="66">
        <f>'Creve Coeur'!E152+CWE!E152+'Clinic 3'!C111+'Clinic 4'!C111+'Clinic 5'!C111+'Clinic 6'!C111+'Clinic 7'!C111+'Clinic 8'!C111+'Clinic 9'!C111+'Clinic 10'!C111+'Clinic 11'!C111+'Clinic 12'!C111+'Clinic 13'!C111+'Clinic 14'!C111+'Clinic 15'!C111</f>
        <v>0</v>
      </c>
      <c r="D153" s="66">
        <f>'Creve Coeur'!F152+CWE!F152+'Clinic 3'!D111+'Clinic 4'!D111+'Clinic 5'!D111+'Clinic 6'!D111+'Clinic 7'!D111+'Clinic 8'!D111+'Clinic 9'!D111+'Clinic 10'!D111+'Clinic 11'!D111+'Clinic 12'!D111+'Clinic 13'!D111+'Clinic 14'!D111+'Clinic 15'!D111</f>
        <v>0</v>
      </c>
      <c r="E153" s="66">
        <f>'Creve Coeur'!G152+CWE!G152+'Clinic 3'!E111+'Clinic 4'!E111+'Clinic 5'!E111+'Clinic 6'!E111+'Clinic 7'!E111+'Clinic 8'!E111+'Clinic 9'!E111+'Clinic 10'!E111+'Clinic 11'!E111+'Clinic 12'!E111+'Clinic 13'!E111+'Clinic 14'!E111+'Clinic 15'!E111</f>
        <v>0</v>
      </c>
      <c r="F153" s="66">
        <f>'Creve Coeur'!H152+CWE!H152+'Clinic 3'!F111+'Clinic 4'!F111+'Clinic 5'!F111+'Clinic 6'!F111+'Clinic 7'!F111+'Clinic 8'!F111+'Clinic 9'!F111+'Clinic 10'!F111+'Clinic 11'!F111+'Clinic 12'!F111+'Clinic 13'!F111+'Clinic 14'!F111+'Clinic 15'!F111</f>
        <v>0</v>
      </c>
      <c r="G153" s="66">
        <f>'Creve Coeur'!I152+CWE!I152+'Clinic 3'!G111+'Clinic 4'!G111+'Clinic 5'!G111+'Clinic 6'!G111+'Clinic 7'!G111+'Clinic 8'!G111+'Clinic 9'!G111+'Clinic 10'!G111+'Clinic 11'!G111+'Clinic 12'!G111+'Clinic 13'!G111+'Clinic 14'!G111+'Clinic 15'!G111</f>
        <v>0</v>
      </c>
      <c r="H153" s="66">
        <f>'Creve Coeur'!J152+CWE!J152+'Clinic 3'!H111+'Clinic 4'!H111+'Clinic 5'!H111+'Clinic 6'!H111+'Clinic 7'!H111+'Clinic 8'!H111+'Clinic 9'!H111+'Clinic 10'!H111+'Clinic 11'!H111+'Clinic 12'!H111+'Clinic 13'!H111+'Clinic 14'!H111+'Clinic 15'!H111</f>
        <v>0</v>
      </c>
      <c r="I153" s="66">
        <f>'Creve Coeur'!K152+CWE!K152+'Clinic 3'!I111+'Clinic 4'!I111+'Clinic 5'!I111+'Clinic 6'!I111+'Clinic 7'!I111+'Clinic 8'!I111+'Clinic 9'!I111+'Clinic 10'!I111+'Clinic 11'!I111+'Clinic 12'!I111+'Clinic 13'!I111+'Clinic 14'!I111+'Clinic 15'!I111</f>
        <v>0</v>
      </c>
      <c r="J153" s="66">
        <f>SUM(B153:I153)</f>
        <v>0</v>
      </c>
    </row>
    <row r="154" spans="1:10" x14ac:dyDescent="0.25">
      <c r="A154" s="1" t="s">
        <v>8</v>
      </c>
      <c r="B154" s="39">
        <f>'Creve Coeur'!D153+CWE!D153+'Clinic 3'!B112+'Clinic 4'!B112+'Clinic 5'!B112+'Clinic 6'!B112+'Clinic 7'!B112+'Clinic 8'!B112+'Clinic 9'!B112+'Clinic 10'!B112+'Clinic 11'!B112+'Clinic 12'!B112+'Clinic 13'!B112+'Clinic 14'!B112+'Clinic 15'!B112</f>
        <v>0</v>
      </c>
      <c r="C154" s="39">
        <f>'Creve Coeur'!E153+CWE!E153+'Clinic 3'!C112+'Clinic 4'!C112+'Clinic 5'!C112+'Clinic 6'!C112+'Clinic 7'!C112+'Clinic 8'!C112+'Clinic 9'!C112+'Clinic 10'!C112+'Clinic 11'!C112+'Clinic 12'!C112+'Clinic 13'!C112+'Clinic 14'!C112+'Clinic 15'!C112</f>
        <v>0</v>
      </c>
      <c r="D154" s="39">
        <f>'Creve Coeur'!F153+CWE!F153+'Clinic 3'!D112+'Clinic 4'!D112+'Clinic 5'!D112+'Clinic 6'!D112+'Clinic 7'!D112+'Clinic 8'!D112+'Clinic 9'!D112+'Clinic 10'!D112+'Clinic 11'!D112+'Clinic 12'!D112+'Clinic 13'!D112+'Clinic 14'!D112+'Clinic 15'!D112</f>
        <v>0</v>
      </c>
      <c r="E154" s="39">
        <f>'Creve Coeur'!G153+CWE!G153+'Clinic 3'!E112+'Clinic 4'!E112+'Clinic 5'!E112+'Clinic 6'!E112+'Clinic 7'!E112+'Clinic 8'!E112+'Clinic 9'!E112+'Clinic 10'!E112+'Clinic 11'!E112+'Clinic 12'!E112+'Clinic 13'!E112+'Clinic 14'!E112+'Clinic 15'!E112</f>
        <v>0</v>
      </c>
      <c r="F154" s="39">
        <f>'Creve Coeur'!H153+CWE!H153+'Clinic 3'!F112+'Clinic 4'!F112+'Clinic 5'!F112+'Clinic 6'!F112+'Clinic 7'!F112+'Clinic 8'!F112+'Clinic 9'!F112+'Clinic 10'!F112+'Clinic 11'!F112+'Clinic 12'!F112+'Clinic 13'!F112+'Clinic 14'!F112+'Clinic 15'!F112</f>
        <v>0</v>
      </c>
      <c r="G154" s="39">
        <f>'Creve Coeur'!I153+CWE!I153+'Clinic 3'!G112+'Clinic 4'!G112+'Clinic 5'!G112+'Clinic 6'!G112+'Clinic 7'!G112+'Clinic 8'!G112+'Clinic 9'!G112+'Clinic 10'!G112+'Clinic 11'!G112+'Clinic 12'!G112+'Clinic 13'!G112+'Clinic 14'!G112+'Clinic 15'!G112</f>
        <v>0</v>
      </c>
      <c r="H154" s="39">
        <f>'Creve Coeur'!J153+CWE!J153+'Clinic 3'!H112+'Clinic 4'!H112+'Clinic 5'!H112+'Clinic 6'!H112+'Clinic 7'!H112+'Clinic 8'!H112+'Clinic 9'!H112+'Clinic 10'!H112+'Clinic 11'!H112+'Clinic 12'!H112+'Clinic 13'!H112+'Clinic 14'!H112+'Clinic 15'!H112</f>
        <v>0</v>
      </c>
      <c r="I154" s="39">
        <f>'Creve Coeur'!K153+CWE!K153+'Clinic 3'!I112+'Clinic 4'!I112+'Clinic 5'!I112+'Clinic 6'!I112+'Clinic 7'!I112+'Clinic 8'!I112+'Clinic 9'!I112+'Clinic 10'!I112+'Clinic 11'!I112+'Clinic 12'!I112+'Clinic 13'!I112+'Clinic 14'!I112+'Clinic 15'!I112</f>
        <v>115</v>
      </c>
      <c r="J154" s="39">
        <f t="shared" ref="J154:J169" si="46">SUM(B154:I154)</f>
        <v>115</v>
      </c>
    </row>
    <row r="155" spans="1:10" x14ac:dyDescent="0.25">
      <c r="A155" s="1" t="s">
        <v>7</v>
      </c>
      <c r="B155" s="39">
        <f>'Creve Coeur'!D154+CWE!D154+'Clinic 3'!B113+'Clinic 4'!B113+'Clinic 5'!B113+'Clinic 6'!B113+'Clinic 7'!B113+'Clinic 8'!B113+'Clinic 9'!B113+'Clinic 10'!B113+'Clinic 11'!B113+'Clinic 12'!B113+'Clinic 13'!B113+'Clinic 14'!B113+'Clinic 15'!B113</f>
        <v>0</v>
      </c>
      <c r="C155" s="39">
        <f>'Creve Coeur'!E154+CWE!E154+'Clinic 3'!C113+'Clinic 4'!C113+'Clinic 5'!C113+'Clinic 6'!C113+'Clinic 7'!C113+'Clinic 8'!C113+'Clinic 9'!C113+'Clinic 10'!C113+'Clinic 11'!C113+'Clinic 12'!C113+'Clinic 13'!C113+'Clinic 14'!C113+'Clinic 15'!C113</f>
        <v>0</v>
      </c>
      <c r="D155" s="39">
        <f>'Creve Coeur'!F154+CWE!F154+'Clinic 3'!D113+'Clinic 4'!D113+'Clinic 5'!D113+'Clinic 6'!D113+'Clinic 7'!D113+'Clinic 8'!D113+'Clinic 9'!D113+'Clinic 10'!D113+'Clinic 11'!D113+'Clinic 12'!D113+'Clinic 13'!D113+'Clinic 14'!D113+'Clinic 15'!D113</f>
        <v>0</v>
      </c>
      <c r="E155" s="39">
        <f>'Creve Coeur'!G154+CWE!G154+'Clinic 3'!E113+'Clinic 4'!E113+'Clinic 5'!E113+'Clinic 6'!E113+'Clinic 7'!E113+'Clinic 8'!E113+'Clinic 9'!E113+'Clinic 10'!E113+'Clinic 11'!E113+'Clinic 12'!E113+'Clinic 13'!E113+'Clinic 14'!E113+'Clinic 15'!E113</f>
        <v>0</v>
      </c>
      <c r="F155" s="39">
        <f>'Creve Coeur'!H154+CWE!H154+'Clinic 3'!F113+'Clinic 4'!F113+'Clinic 5'!F113+'Clinic 6'!F113+'Clinic 7'!F113+'Clinic 8'!F113+'Clinic 9'!F113+'Clinic 10'!F113+'Clinic 11'!F113+'Clinic 12'!F113+'Clinic 13'!F113+'Clinic 14'!F113+'Clinic 15'!F113</f>
        <v>0</v>
      </c>
      <c r="G155" s="39">
        <f>'Creve Coeur'!I154+CWE!I154+'Clinic 3'!G113+'Clinic 4'!G113+'Clinic 5'!G113+'Clinic 6'!G113+'Clinic 7'!G113+'Clinic 8'!G113+'Clinic 9'!G113+'Clinic 10'!G113+'Clinic 11'!G113+'Clinic 12'!G113+'Clinic 13'!G113+'Clinic 14'!G113+'Clinic 15'!G113</f>
        <v>0</v>
      </c>
      <c r="H155" s="39">
        <f>'Creve Coeur'!J154+CWE!J154+'Clinic 3'!H113+'Clinic 4'!H113+'Clinic 5'!H113+'Clinic 6'!H113+'Clinic 7'!H113+'Clinic 8'!H113+'Clinic 9'!H113+'Clinic 10'!H113+'Clinic 11'!H113+'Clinic 12'!H113+'Clinic 13'!H113+'Clinic 14'!H113+'Clinic 15'!H113</f>
        <v>0</v>
      </c>
      <c r="I155" s="39">
        <f>'Creve Coeur'!K154+CWE!K154+'Clinic 3'!I113+'Clinic 4'!I113+'Clinic 5'!I113+'Clinic 6'!I113+'Clinic 7'!I113+'Clinic 8'!I113+'Clinic 9'!I113+'Clinic 10'!I113+'Clinic 11'!I113+'Clinic 12'!I113+'Clinic 13'!I113+'Clinic 14'!I113+'Clinic 15'!I113</f>
        <v>0</v>
      </c>
      <c r="J155" s="39">
        <f t="shared" si="46"/>
        <v>0</v>
      </c>
    </row>
    <row r="156" spans="1:10" x14ac:dyDescent="0.25">
      <c r="A156" s="1" t="s">
        <v>42</v>
      </c>
      <c r="B156" s="39">
        <f>'Creve Coeur'!D155+CWE!D155+'Clinic 3'!B114+'Clinic 4'!B114+'Clinic 5'!B114+'Clinic 6'!B114+'Clinic 7'!B114+'Clinic 8'!B114+'Clinic 9'!B114+'Clinic 10'!B114+'Clinic 11'!B114+'Clinic 12'!B114+'Clinic 13'!B114+'Clinic 14'!B114+'Clinic 15'!B114</f>
        <v>0</v>
      </c>
      <c r="C156" s="39">
        <f>'Creve Coeur'!E155+CWE!E155+'Clinic 3'!C114+'Clinic 4'!C114+'Clinic 5'!C114+'Clinic 6'!C114+'Clinic 7'!C114+'Clinic 8'!C114+'Clinic 9'!C114+'Clinic 10'!C114+'Clinic 11'!C114+'Clinic 12'!C114+'Clinic 13'!C114+'Clinic 14'!C114+'Clinic 15'!C114</f>
        <v>0</v>
      </c>
      <c r="D156" s="39">
        <f>'Creve Coeur'!F155+CWE!F155+'Clinic 3'!D114+'Clinic 4'!D114+'Clinic 5'!D114+'Clinic 6'!D114+'Clinic 7'!D114+'Clinic 8'!D114+'Clinic 9'!D114+'Clinic 10'!D114+'Clinic 11'!D114+'Clinic 12'!D114+'Clinic 13'!D114+'Clinic 14'!D114+'Clinic 15'!D114</f>
        <v>0</v>
      </c>
      <c r="E156" s="39">
        <f>'Creve Coeur'!G155+CWE!G155+'Clinic 3'!E114+'Clinic 4'!E114+'Clinic 5'!E114+'Clinic 6'!E114+'Clinic 7'!E114+'Clinic 8'!E114+'Clinic 9'!E114+'Clinic 10'!E114+'Clinic 11'!E114+'Clinic 12'!E114+'Clinic 13'!E114+'Clinic 14'!E114+'Clinic 15'!E114</f>
        <v>0</v>
      </c>
      <c r="F156" s="39">
        <f>'Creve Coeur'!H155+CWE!H155+'Clinic 3'!F114+'Clinic 4'!F114+'Clinic 5'!F114+'Clinic 6'!F114+'Clinic 7'!F114+'Clinic 8'!F114+'Clinic 9'!F114+'Clinic 10'!F114+'Clinic 11'!F114+'Clinic 12'!F114+'Clinic 13'!F114+'Clinic 14'!F114+'Clinic 15'!F114</f>
        <v>0</v>
      </c>
      <c r="G156" s="39">
        <f>'Creve Coeur'!I155+CWE!I155+'Clinic 3'!G114+'Clinic 4'!G114+'Clinic 5'!G114+'Clinic 6'!G114+'Clinic 7'!G114+'Clinic 8'!G114+'Clinic 9'!G114+'Clinic 10'!G114+'Clinic 11'!G114+'Clinic 12'!G114+'Clinic 13'!G114+'Clinic 14'!G114+'Clinic 15'!G114</f>
        <v>0</v>
      </c>
      <c r="H156" s="39">
        <f>'Creve Coeur'!J155+CWE!J155+'Clinic 3'!H114+'Clinic 4'!H114+'Clinic 5'!H114+'Clinic 6'!H114+'Clinic 7'!H114+'Clinic 8'!H114+'Clinic 9'!H114+'Clinic 10'!H114+'Clinic 11'!H114+'Clinic 12'!H114+'Clinic 13'!H114+'Clinic 14'!H114+'Clinic 15'!H114</f>
        <v>0</v>
      </c>
      <c r="I156" s="39">
        <f>'Creve Coeur'!K155+CWE!K155+'Clinic 3'!I114+'Clinic 4'!I114+'Clinic 5'!I114+'Clinic 6'!I114+'Clinic 7'!I114+'Clinic 8'!I114+'Clinic 9'!I114+'Clinic 10'!I114+'Clinic 11'!I114+'Clinic 12'!I114+'Clinic 13'!I114+'Clinic 14'!I114+'Clinic 15'!I114</f>
        <v>0</v>
      </c>
      <c r="J156" s="39">
        <f t="shared" si="46"/>
        <v>0</v>
      </c>
    </row>
    <row r="157" spans="1:10" x14ac:dyDescent="0.25">
      <c r="A157" s="1" t="s">
        <v>6</v>
      </c>
      <c r="B157" s="39">
        <f>'Creve Coeur'!D156+CWE!D156+'Clinic 3'!B115+'Clinic 4'!B115+'Clinic 5'!B115+'Clinic 6'!B115+'Clinic 7'!B115+'Clinic 8'!B115+'Clinic 9'!B115+'Clinic 10'!B115+'Clinic 11'!B115+'Clinic 12'!B115+'Clinic 13'!B115+'Clinic 14'!B115+'Clinic 15'!B115</f>
        <v>0</v>
      </c>
      <c r="C157" s="39">
        <f>'Creve Coeur'!E156+CWE!E156+'Clinic 3'!C115+'Clinic 4'!C115+'Clinic 5'!C115+'Clinic 6'!C115+'Clinic 7'!C115+'Clinic 8'!C115+'Clinic 9'!C115+'Clinic 10'!C115+'Clinic 11'!C115+'Clinic 12'!C115+'Clinic 13'!C115+'Clinic 14'!C115+'Clinic 15'!C115</f>
        <v>0</v>
      </c>
      <c r="D157" s="39">
        <f>'Creve Coeur'!F156+CWE!F156+'Clinic 3'!D115+'Clinic 4'!D115+'Clinic 5'!D115+'Clinic 6'!D115+'Clinic 7'!D115+'Clinic 8'!D115+'Clinic 9'!D115+'Clinic 10'!D115+'Clinic 11'!D115+'Clinic 12'!D115+'Clinic 13'!D115+'Clinic 14'!D115+'Clinic 15'!D115</f>
        <v>0</v>
      </c>
      <c r="E157" s="39">
        <f>'Creve Coeur'!G156+CWE!G156+'Clinic 3'!E115+'Clinic 4'!E115+'Clinic 5'!E115+'Clinic 6'!E115+'Clinic 7'!E115+'Clinic 8'!E115+'Clinic 9'!E115+'Clinic 10'!E115+'Clinic 11'!E115+'Clinic 12'!E115+'Clinic 13'!E115+'Clinic 14'!E115+'Clinic 15'!E115</f>
        <v>0</v>
      </c>
      <c r="F157" s="39">
        <f>'Creve Coeur'!H156+CWE!H156+'Clinic 3'!F115+'Clinic 4'!F115+'Clinic 5'!F115+'Clinic 6'!F115+'Clinic 7'!F115+'Clinic 8'!F115+'Clinic 9'!F115+'Clinic 10'!F115+'Clinic 11'!F115+'Clinic 12'!F115+'Clinic 13'!F115+'Clinic 14'!F115+'Clinic 15'!F115</f>
        <v>0</v>
      </c>
      <c r="G157" s="39">
        <f>'Creve Coeur'!I156+CWE!I156+'Clinic 3'!G115+'Clinic 4'!G115+'Clinic 5'!G115+'Clinic 6'!G115+'Clinic 7'!G115+'Clinic 8'!G115+'Clinic 9'!G115+'Clinic 10'!G115+'Clinic 11'!G115+'Clinic 12'!G115+'Clinic 13'!G115+'Clinic 14'!G115+'Clinic 15'!G115</f>
        <v>0</v>
      </c>
      <c r="H157" s="39">
        <f>'Creve Coeur'!J156+CWE!J156+'Clinic 3'!H115+'Clinic 4'!H115+'Clinic 5'!H115+'Clinic 6'!H115+'Clinic 7'!H115+'Clinic 8'!H115+'Clinic 9'!H115+'Clinic 10'!H115+'Clinic 11'!H115+'Clinic 12'!H115+'Clinic 13'!H115+'Clinic 14'!H115+'Clinic 15'!H115</f>
        <v>0</v>
      </c>
      <c r="I157" s="39">
        <f>'Creve Coeur'!K156+CWE!K156+'Clinic 3'!I115+'Clinic 4'!I115+'Clinic 5'!I115+'Clinic 6'!I115+'Clinic 7'!I115+'Clinic 8'!I115+'Clinic 9'!I115+'Clinic 10'!I115+'Clinic 11'!I115+'Clinic 12'!I115+'Clinic 13'!I115+'Clinic 14'!I115+'Clinic 15'!I115</f>
        <v>0</v>
      </c>
      <c r="J157" s="39">
        <f t="shared" si="46"/>
        <v>0</v>
      </c>
    </row>
    <row r="158" spans="1:10" x14ac:dyDescent="0.25">
      <c r="A158" s="1" t="s">
        <v>50</v>
      </c>
      <c r="B158" s="39">
        <f>'Creve Coeur'!D157+CWE!D157+'Clinic 3'!B116+'Clinic 4'!B116+'Clinic 5'!B116+'Clinic 6'!B116+'Clinic 7'!B116+'Clinic 8'!B116+'Clinic 9'!B116+'Clinic 10'!B116+'Clinic 11'!B116+'Clinic 12'!B116+'Clinic 13'!B116+'Clinic 14'!B116+'Clinic 15'!B116</f>
        <v>0</v>
      </c>
      <c r="C158" s="39">
        <f>'Creve Coeur'!E157+CWE!E157+'Clinic 3'!C116+'Clinic 4'!C116+'Clinic 5'!C116+'Clinic 6'!C116+'Clinic 7'!C116+'Clinic 8'!C116+'Clinic 9'!C116+'Clinic 10'!C116+'Clinic 11'!C116+'Clinic 12'!C116+'Clinic 13'!C116+'Clinic 14'!C116+'Clinic 15'!C116</f>
        <v>0</v>
      </c>
      <c r="D158" s="39">
        <f>'Creve Coeur'!F157+CWE!F157+'Clinic 3'!D116+'Clinic 4'!D116+'Clinic 5'!D116+'Clinic 6'!D116+'Clinic 7'!D116+'Clinic 8'!D116+'Clinic 9'!D116+'Clinic 10'!D116+'Clinic 11'!D116+'Clinic 12'!D116+'Clinic 13'!D116+'Clinic 14'!D116+'Clinic 15'!D116</f>
        <v>0</v>
      </c>
      <c r="E158" s="39">
        <f>'Creve Coeur'!G157+CWE!G157+'Clinic 3'!E116+'Clinic 4'!E116+'Clinic 5'!E116+'Clinic 6'!E116+'Clinic 7'!E116+'Clinic 8'!E116+'Clinic 9'!E116+'Clinic 10'!E116+'Clinic 11'!E116+'Clinic 12'!E116+'Clinic 13'!E116+'Clinic 14'!E116+'Clinic 15'!E116</f>
        <v>0</v>
      </c>
      <c r="F158" s="39">
        <f>'Creve Coeur'!H157+CWE!H157+'Clinic 3'!F116+'Clinic 4'!F116+'Clinic 5'!F116+'Clinic 6'!F116+'Clinic 7'!F116+'Clinic 8'!F116+'Clinic 9'!F116+'Clinic 10'!F116+'Clinic 11'!F116+'Clinic 12'!F116+'Clinic 13'!F116+'Clinic 14'!F116+'Clinic 15'!F116</f>
        <v>0</v>
      </c>
      <c r="G158" s="39">
        <f>'Creve Coeur'!I157+CWE!I157+'Clinic 3'!G116+'Clinic 4'!G116+'Clinic 5'!G116+'Clinic 6'!G116+'Clinic 7'!G116+'Clinic 8'!G116+'Clinic 9'!G116+'Clinic 10'!G116+'Clinic 11'!G116+'Clinic 12'!G116+'Clinic 13'!G116+'Clinic 14'!G116+'Clinic 15'!G116</f>
        <v>0</v>
      </c>
      <c r="H158" s="39">
        <f>'Creve Coeur'!J157+CWE!J157+'Clinic 3'!H116+'Clinic 4'!H116+'Clinic 5'!H116+'Clinic 6'!H116+'Clinic 7'!H116+'Clinic 8'!H116+'Clinic 9'!H116+'Clinic 10'!H116+'Clinic 11'!H116+'Clinic 12'!H116+'Clinic 13'!H116+'Clinic 14'!H116+'Clinic 15'!H116</f>
        <v>0</v>
      </c>
      <c r="I158" s="39">
        <f>'Creve Coeur'!K157+CWE!K157+'Clinic 3'!I116+'Clinic 4'!I116+'Clinic 5'!I116+'Clinic 6'!I116+'Clinic 7'!I116+'Clinic 8'!I116+'Clinic 9'!I116+'Clinic 10'!I116+'Clinic 11'!I116+'Clinic 12'!I116+'Clinic 13'!I116+'Clinic 14'!I116+'Clinic 15'!I116</f>
        <v>0</v>
      </c>
      <c r="J158" s="39">
        <f t="shared" si="46"/>
        <v>0</v>
      </c>
    </row>
    <row r="159" spans="1:10" x14ac:dyDescent="0.25">
      <c r="A159" s="1" t="s">
        <v>89</v>
      </c>
      <c r="B159" s="39">
        <f>'Creve Coeur'!D158+CWE!D158+'Clinic 3'!B117+'Clinic 4'!B117+'Clinic 5'!B117+'Clinic 6'!B117+'Clinic 7'!B117+'Clinic 8'!B117+'Clinic 9'!B117+'Clinic 10'!B117+'Clinic 11'!B117+'Clinic 12'!B117+'Clinic 13'!B117+'Clinic 14'!B117+'Clinic 15'!B117</f>
        <v>0</v>
      </c>
      <c r="C159" s="39">
        <f>'Creve Coeur'!E158+CWE!E158+'Clinic 3'!C117+'Clinic 4'!C117+'Clinic 5'!C117+'Clinic 6'!C117+'Clinic 7'!C117+'Clinic 8'!C117+'Clinic 9'!C117+'Clinic 10'!C117+'Clinic 11'!C117+'Clinic 12'!C117+'Clinic 13'!C117+'Clinic 14'!C117+'Clinic 15'!C117</f>
        <v>0</v>
      </c>
      <c r="D159" s="39">
        <f>'Creve Coeur'!F158+CWE!F158+'Clinic 3'!D117+'Clinic 4'!D117+'Clinic 5'!D117+'Clinic 6'!D117+'Clinic 7'!D117+'Clinic 8'!D117+'Clinic 9'!D117+'Clinic 10'!D117+'Clinic 11'!D117+'Clinic 12'!D117+'Clinic 13'!D117+'Clinic 14'!D117+'Clinic 15'!D117</f>
        <v>0</v>
      </c>
      <c r="E159" s="39">
        <f>'Creve Coeur'!G158+CWE!G158+'Clinic 3'!E117+'Clinic 4'!E117+'Clinic 5'!E117+'Clinic 6'!E117+'Clinic 7'!E117+'Clinic 8'!E117+'Clinic 9'!E117+'Clinic 10'!E117+'Clinic 11'!E117+'Clinic 12'!E117+'Clinic 13'!E117+'Clinic 14'!E117+'Clinic 15'!E117</f>
        <v>0</v>
      </c>
      <c r="F159" s="39">
        <f>'Creve Coeur'!H158+CWE!H158+'Clinic 3'!F117+'Clinic 4'!F117+'Clinic 5'!F117+'Clinic 6'!F117+'Clinic 7'!F117+'Clinic 8'!F117+'Clinic 9'!F117+'Clinic 10'!F117+'Clinic 11'!F117+'Clinic 12'!F117+'Clinic 13'!F117+'Clinic 14'!F117+'Clinic 15'!F117</f>
        <v>0</v>
      </c>
      <c r="G159" s="39">
        <f>'Creve Coeur'!I158+CWE!I158+'Clinic 3'!G117+'Clinic 4'!G117+'Clinic 5'!G117+'Clinic 6'!G117+'Clinic 7'!G117+'Clinic 8'!G117+'Clinic 9'!G117+'Clinic 10'!G117+'Clinic 11'!G117+'Clinic 12'!G117+'Clinic 13'!G117+'Clinic 14'!G117+'Clinic 15'!G117</f>
        <v>0</v>
      </c>
      <c r="H159" s="39">
        <f>'Creve Coeur'!J158+CWE!J158+'Clinic 3'!H117+'Clinic 4'!H117+'Clinic 5'!H117+'Clinic 6'!H117+'Clinic 7'!H117+'Clinic 8'!H117+'Clinic 9'!H117+'Clinic 10'!H117+'Clinic 11'!H117+'Clinic 12'!H117+'Clinic 13'!H117+'Clinic 14'!H117+'Clinic 15'!H117</f>
        <v>0</v>
      </c>
      <c r="I159" s="39">
        <f>'Creve Coeur'!K158+CWE!K158+'Clinic 3'!I117+'Clinic 4'!I117+'Clinic 5'!I117+'Clinic 6'!I117+'Clinic 7'!I117+'Clinic 8'!I117+'Clinic 9'!I117+'Clinic 10'!I117+'Clinic 11'!I117+'Clinic 12'!I117+'Clinic 13'!I117+'Clinic 14'!I117+'Clinic 15'!I117</f>
        <v>0</v>
      </c>
      <c r="J159" s="39">
        <f t="shared" si="46"/>
        <v>0</v>
      </c>
    </row>
    <row r="160" spans="1:10" x14ac:dyDescent="0.25">
      <c r="A160" s="1" t="s">
        <v>5</v>
      </c>
      <c r="B160" s="39">
        <f>'Creve Coeur'!D159+CWE!D159+'Clinic 3'!B118+'Clinic 4'!B118+'Clinic 5'!B118+'Clinic 6'!B118+'Clinic 7'!B118+'Clinic 8'!B118+'Clinic 9'!B118+'Clinic 10'!B118+'Clinic 11'!B118+'Clinic 12'!B118+'Clinic 13'!B118+'Clinic 14'!B118+'Clinic 15'!B118</f>
        <v>0</v>
      </c>
      <c r="C160" s="39">
        <f>'Creve Coeur'!E159+CWE!E159+'Clinic 3'!C118+'Clinic 4'!C118+'Clinic 5'!C118+'Clinic 6'!C118+'Clinic 7'!C118+'Clinic 8'!C118+'Clinic 9'!C118+'Clinic 10'!C118+'Clinic 11'!C118+'Clinic 12'!C118+'Clinic 13'!C118+'Clinic 14'!C118+'Clinic 15'!C118</f>
        <v>0</v>
      </c>
      <c r="D160" s="39">
        <f>'Creve Coeur'!F159+CWE!F159+'Clinic 3'!D118+'Clinic 4'!D118+'Clinic 5'!D118+'Clinic 6'!D118+'Clinic 7'!D118+'Clinic 8'!D118+'Clinic 9'!D118+'Clinic 10'!D118+'Clinic 11'!D118+'Clinic 12'!D118+'Clinic 13'!D118+'Clinic 14'!D118+'Clinic 15'!D118</f>
        <v>0</v>
      </c>
      <c r="E160" s="39">
        <f>'Creve Coeur'!G159+CWE!G159+'Clinic 3'!E118+'Clinic 4'!E118+'Clinic 5'!E118+'Clinic 6'!E118+'Clinic 7'!E118+'Clinic 8'!E118+'Clinic 9'!E118+'Clinic 10'!E118+'Clinic 11'!E118+'Clinic 12'!E118+'Clinic 13'!E118+'Clinic 14'!E118+'Clinic 15'!E118</f>
        <v>0</v>
      </c>
      <c r="F160" s="39">
        <f>'Creve Coeur'!H159+CWE!H159+'Clinic 3'!F118+'Clinic 4'!F118+'Clinic 5'!F118+'Clinic 6'!F118+'Clinic 7'!F118+'Clinic 8'!F118+'Clinic 9'!F118+'Clinic 10'!F118+'Clinic 11'!F118+'Clinic 12'!F118+'Clinic 13'!F118+'Clinic 14'!F118+'Clinic 15'!F118</f>
        <v>0</v>
      </c>
      <c r="G160" s="39">
        <f>'Creve Coeur'!I159+CWE!I159+'Clinic 3'!G118+'Clinic 4'!G118+'Clinic 5'!G118+'Clinic 6'!G118+'Clinic 7'!G118+'Clinic 8'!G118+'Clinic 9'!G118+'Clinic 10'!G118+'Clinic 11'!G118+'Clinic 12'!G118+'Clinic 13'!G118+'Clinic 14'!G118+'Clinic 15'!G118</f>
        <v>0</v>
      </c>
      <c r="H160" s="39">
        <f>'Creve Coeur'!J159+CWE!J159+'Clinic 3'!H118+'Clinic 4'!H118+'Clinic 5'!H118+'Clinic 6'!H118+'Clinic 7'!H118+'Clinic 8'!H118+'Clinic 9'!H118+'Clinic 10'!H118+'Clinic 11'!H118+'Clinic 12'!H118+'Clinic 13'!H118+'Clinic 14'!H118+'Clinic 15'!H118</f>
        <v>0</v>
      </c>
      <c r="I160" s="39">
        <f>'Creve Coeur'!K159+CWE!K159+'Clinic 3'!I118+'Clinic 4'!I118+'Clinic 5'!I118+'Clinic 6'!I118+'Clinic 7'!I118+'Clinic 8'!I118+'Clinic 9'!I118+'Clinic 10'!I118+'Clinic 11'!I118+'Clinic 12'!I118+'Clinic 13'!I118+'Clinic 14'!I118+'Clinic 15'!I118</f>
        <v>0</v>
      </c>
      <c r="J160" s="39">
        <f t="shared" si="46"/>
        <v>0</v>
      </c>
    </row>
    <row r="161" spans="1:12" x14ac:dyDescent="0.25">
      <c r="A161" s="1" t="s">
        <v>84</v>
      </c>
      <c r="B161" s="39">
        <f>'Creve Coeur'!D160+CWE!D160+'Clinic 3'!B119+'Clinic 4'!B119+'Clinic 5'!B119+'Clinic 6'!B119+'Clinic 7'!B119+'Clinic 8'!B119+'Clinic 9'!B119+'Clinic 10'!B119+'Clinic 11'!B119+'Clinic 12'!B119+'Clinic 13'!B119+'Clinic 14'!B119+'Clinic 15'!B119</f>
        <v>0</v>
      </c>
      <c r="C161" s="39">
        <f>'Creve Coeur'!E160+CWE!E160+'Clinic 3'!C119+'Clinic 4'!C119+'Clinic 5'!C119+'Clinic 6'!C119+'Clinic 7'!C119+'Clinic 8'!C119+'Clinic 9'!C119+'Clinic 10'!C119+'Clinic 11'!C119+'Clinic 12'!C119+'Clinic 13'!C119+'Clinic 14'!C119+'Clinic 15'!C119</f>
        <v>0</v>
      </c>
      <c r="D161" s="39">
        <f>'Creve Coeur'!F160+CWE!F160+'Clinic 3'!D119+'Clinic 4'!D119+'Clinic 5'!D119+'Clinic 6'!D119+'Clinic 7'!D119+'Clinic 8'!D119+'Clinic 9'!D119+'Clinic 10'!D119+'Clinic 11'!D119+'Clinic 12'!D119+'Clinic 13'!D119+'Clinic 14'!D119+'Clinic 15'!D119</f>
        <v>0</v>
      </c>
      <c r="E161" s="39">
        <f>'Creve Coeur'!G160+CWE!G160+'Clinic 3'!E119+'Clinic 4'!E119+'Clinic 5'!E119+'Clinic 6'!E119+'Clinic 7'!E119+'Clinic 8'!E119+'Clinic 9'!E119+'Clinic 10'!E119+'Clinic 11'!E119+'Clinic 12'!E119+'Clinic 13'!E119+'Clinic 14'!E119+'Clinic 15'!E119</f>
        <v>0</v>
      </c>
      <c r="F161" s="39">
        <f>'Creve Coeur'!H160+CWE!H160+'Clinic 3'!F119+'Clinic 4'!F119+'Clinic 5'!F119+'Clinic 6'!F119+'Clinic 7'!F119+'Clinic 8'!F119+'Clinic 9'!F119+'Clinic 10'!F119+'Clinic 11'!F119+'Clinic 12'!F119+'Clinic 13'!F119+'Clinic 14'!F119+'Clinic 15'!F119</f>
        <v>0</v>
      </c>
      <c r="G161" s="39">
        <f>'Creve Coeur'!I160+CWE!I160+'Clinic 3'!G119+'Clinic 4'!G119+'Clinic 5'!G119+'Clinic 6'!G119+'Clinic 7'!G119+'Clinic 8'!G119+'Clinic 9'!G119+'Clinic 10'!G119+'Clinic 11'!G119+'Clinic 12'!G119+'Clinic 13'!G119+'Clinic 14'!G119+'Clinic 15'!G119</f>
        <v>0</v>
      </c>
      <c r="H161" s="39">
        <f>'Creve Coeur'!J160+CWE!J160+'Clinic 3'!H119+'Clinic 4'!H119+'Clinic 5'!H119+'Clinic 6'!H119+'Clinic 7'!H119+'Clinic 8'!H119+'Clinic 9'!H119+'Clinic 10'!H119+'Clinic 11'!H119+'Clinic 12'!H119+'Clinic 13'!H119+'Clinic 14'!H119+'Clinic 15'!H119</f>
        <v>0</v>
      </c>
      <c r="I161" s="39">
        <f>'Creve Coeur'!K160+CWE!K160+'Clinic 3'!I119+'Clinic 4'!I119+'Clinic 5'!I119+'Clinic 6'!I119+'Clinic 7'!I119+'Clinic 8'!I119+'Clinic 9'!I119+'Clinic 10'!I119+'Clinic 11'!I119+'Clinic 12'!I119+'Clinic 13'!I119+'Clinic 14'!I119+'Clinic 15'!I119</f>
        <v>0</v>
      </c>
      <c r="J161" s="39">
        <f t="shared" si="46"/>
        <v>0</v>
      </c>
    </row>
    <row r="162" spans="1:12" x14ac:dyDescent="0.25">
      <c r="A162" s="1" t="s">
        <v>4</v>
      </c>
      <c r="B162" s="39">
        <f>'Creve Coeur'!D161+CWE!D161+'Clinic 3'!B120+'Clinic 4'!B120+'Clinic 5'!B120+'Clinic 6'!B120+'Clinic 7'!B120+'Clinic 8'!B120+'Clinic 9'!B120+'Clinic 10'!B120+'Clinic 11'!B120+'Clinic 12'!B120+'Clinic 13'!B120+'Clinic 14'!B120+'Clinic 15'!B120</f>
        <v>0</v>
      </c>
      <c r="C162" s="39">
        <f>'Creve Coeur'!E161+CWE!E161+'Clinic 3'!C120+'Clinic 4'!C120+'Clinic 5'!C120+'Clinic 6'!C120+'Clinic 7'!C120+'Clinic 8'!C120+'Clinic 9'!C120+'Clinic 10'!C120+'Clinic 11'!C120+'Clinic 12'!C120+'Clinic 13'!C120+'Clinic 14'!C120+'Clinic 15'!C120</f>
        <v>0</v>
      </c>
      <c r="D162" s="39">
        <f>'Creve Coeur'!F161+CWE!F161+'Clinic 3'!D120+'Clinic 4'!D120+'Clinic 5'!D120+'Clinic 6'!D120+'Clinic 7'!D120+'Clinic 8'!D120+'Clinic 9'!D120+'Clinic 10'!D120+'Clinic 11'!D120+'Clinic 12'!D120+'Clinic 13'!D120+'Clinic 14'!D120+'Clinic 15'!D120</f>
        <v>0</v>
      </c>
      <c r="E162" s="39">
        <f>'Creve Coeur'!G161+CWE!G161+'Clinic 3'!E120+'Clinic 4'!E120+'Clinic 5'!E120+'Clinic 6'!E120+'Clinic 7'!E120+'Clinic 8'!E120+'Clinic 9'!E120+'Clinic 10'!E120+'Clinic 11'!E120+'Clinic 12'!E120+'Clinic 13'!E120+'Clinic 14'!E120+'Clinic 15'!E120</f>
        <v>0</v>
      </c>
      <c r="F162" s="39">
        <f>'Creve Coeur'!H161+CWE!H161+'Clinic 3'!F120+'Clinic 4'!F120+'Clinic 5'!F120+'Clinic 6'!F120+'Clinic 7'!F120+'Clinic 8'!F120+'Clinic 9'!F120+'Clinic 10'!F120+'Clinic 11'!F120+'Clinic 12'!F120+'Clinic 13'!F120+'Clinic 14'!F120+'Clinic 15'!F120</f>
        <v>0</v>
      </c>
      <c r="G162" s="39">
        <f>'Creve Coeur'!I161+CWE!I161+'Clinic 3'!G120+'Clinic 4'!G120+'Clinic 5'!G120+'Clinic 6'!G120+'Clinic 7'!G120+'Clinic 8'!G120+'Clinic 9'!G120+'Clinic 10'!G120+'Clinic 11'!G120+'Clinic 12'!G120+'Clinic 13'!G120+'Clinic 14'!G120+'Clinic 15'!G120</f>
        <v>0</v>
      </c>
      <c r="H162" s="39">
        <f>'Creve Coeur'!J161+CWE!J161+'Clinic 3'!H120+'Clinic 4'!H120+'Clinic 5'!H120+'Clinic 6'!H120+'Clinic 7'!H120+'Clinic 8'!H120+'Clinic 9'!H120+'Clinic 10'!H120+'Clinic 11'!H120+'Clinic 12'!H120+'Clinic 13'!H120+'Clinic 14'!H120+'Clinic 15'!H120</f>
        <v>0</v>
      </c>
      <c r="I162" s="39">
        <f>'Creve Coeur'!K161+CWE!K161+'Clinic 3'!I120+'Clinic 4'!I120+'Clinic 5'!I120+'Clinic 6'!I120+'Clinic 7'!I120+'Clinic 8'!I120+'Clinic 9'!I120+'Clinic 10'!I120+'Clinic 11'!I120+'Clinic 12'!I120+'Clinic 13'!I120+'Clinic 14'!I120+'Clinic 15'!I120</f>
        <v>0</v>
      </c>
      <c r="J162" s="39">
        <f t="shared" si="46"/>
        <v>0</v>
      </c>
    </row>
    <row r="163" spans="1:12" x14ac:dyDescent="0.25">
      <c r="A163" s="1" t="s">
        <v>51</v>
      </c>
      <c r="B163" s="39">
        <f>'Creve Coeur'!D162+CWE!D162+'Clinic 3'!B121+'Clinic 4'!B121+'Clinic 5'!B121+'Clinic 6'!B121+'Clinic 7'!B121+'Clinic 8'!B121+'Clinic 9'!B121+'Clinic 10'!B121+'Clinic 11'!B121+'Clinic 12'!B121+'Clinic 13'!B121+'Clinic 14'!B121+'Clinic 15'!B121</f>
        <v>0</v>
      </c>
      <c r="C163" s="39">
        <f>'Creve Coeur'!E162+CWE!E162+'Clinic 3'!C121+'Clinic 4'!C121+'Clinic 5'!C121+'Clinic 6'!C121+'Clinic 7'!C121+'Clinic 8'!C121+'Clinic 9'!C121+'Clinic 10'!C121+'Clinic 11'!C121+'Clinic 12'!C121+'Clinic 13'!C121+'Clinic 14'!C121+'Clinic 15'!C121</f>
        <v>0</v>
      </c>
      <c r="D163" s="39">
        <f>'Creve Coeur'!F162+CWE!F162+'Clinic 3'!D121+'Clinic 4'!D121+'Clinic 5'!D121+'Clinic 6'!D121+'Clinic 7'!D121+'Clinic 8'!D121+'Clinic 9'!D121+'Clinic 10'!D121+'Clinic 11'!D121+'Clinic 12'!D121+'Clinic 13'!D121+'Clinic 14'!D121+'Clinic 15'!D121</f>
        <v>0</v>
      </c>
      <c r="E163" s="39">
        <f>'Creve Coeur'!G162+CWE!G162+'Clinic 3'!E121+'Clinic 4'!E121+'Clinic 5'!E121+'Clinic 6'!E121+'Clinic 7'!E121+'Clinic 8'!E121+'Clinic 9'!E121+'Clinic 10'!E121+'Clinic 11'!E121+'Clinic 12'!E121+'Clinic 13'!E121+'Clinic 14'!E121+'Clinic 15'!E121</f>
        <v>0</v>
      </c>
      <c r="F163" s="39">
        <f>'Creve Coeur'!H162+CWE!H162+'Clinic 3'!F121+'Clinic 4'!F121+'Clinic 5'!F121+'Clinic 6'!F121+'Clinic 7'!F121+'Clinic 8'!F121+'Clinic 9'!F121+'Clinic 10'!F121+'Clinic 11'!F121+'Clinic 12'!F121+'Clinic 13'!F121+'Clinic 14'!F121+'Clinic 15'!F121</f>
        <v>0</v>
      </c>
      <c r="G163" s="39">
        <f>'Creve Coeur'!I162+CWE!I162+'Clinic 3'!G121+'Clinic 4'!G121+'Clinic 5'!G121+'Clinic 6'!G121+'Clinic 7'!G121+'Clinic 8'!G121+'Clinic 9'!G121+'Clinic 10'!G121+'Clinic 11'!G121+'Clinic 12'!G121+'Clinic 13'!G121+'Clinic 14'!G121+'Clinic 15'!G121</f>
        <v>0</v>
      </c>
      <c r="H163" s="39">
        <f>'Creve Coeur'!J162+CWE!J162+'Clinic 3'!H121+'Clinic 4'!H121+'Clinic 5'!H121+'Clinic 6'!H121+'Clinic 7'!H121+'Clinic 8'!H121+'Clinic 9'!H121+'Clinic 10'!H121+'Clinic 11'!H121+'Clinic 12'!H121+'Clinic 13'!H121+'Clinic 14'!H121+'Clinic 15'!H121</f>
        <v>0</v>
      </c>
      <c r="I163" s="39">
        <f>'Creve Coeur'!K162+CWE!K162+'Clinic 3'!I121+'Clinic 4'!I121+'Clinic 5'!I121+'Clinic 6'!I121+'Clinic 7'!I121+'Clinic 8'!I121+'Clinic 9'!I121+'Clinic 10'!I121+'Clinic 11'!I121+'Clinic 12'!I121+'Clinic 13'!I121+'Clinic 14'!I121+'Clinic 15'!I121</f>
        <v>0</v>
      </c>
      <c r="J163" s="39">
        <f t="shared" si="46"/>
        <v>0</v>
      </c>
    </row>
    <row r="164" spans="1:12" x14ac:dyDescent="0.25">
      <c r="A164" s="1" t="s">
        <v>85</v>
      </c>
      <c r="B164" s="39">
        <f>'Creve Coeur'!D163+CWE!D163+'Clinic 3'!B122+'Clinic 4'!B122+'Clinic 5'!B122+'Clinic 6'!B122+'Clinic 7'!B122+'Clinic 8'!B122+'Clinic 9'!B122+'Clinic 10'!B122+'Clinic 11'!B122+'Clinic 12'!B122+'Clinic 13'!B122+'Clinic 14'!B122+'Clinic 15'!B122</f>
        <v>0</v>
      </c>
      <c r="C164" s="39">
        <f>'Creve Coeur'!E163+CWE!E163+'Clinic 3'!C122+'Clinic 4'!C122+'Clinic 5'!C122+'Clinic 6'!C122+'Clinic 7'!C122+'Clinic 8'!C122+'Clinic 9'!C122+'Clinic 10'!C122+'Clinic 11'!C122+'Clinic 12'!C122+'Clinic 13'!C122+'Clinic 14'!C122+'Clinic 15'!C122</f>
        <v>0</v>
      </c>
      <c r="D164" s="39">
        <f>'Creve Coeur'!F163+CWE!F163+'Clinic 3'!D122+'Clinic 4'!D122+'Clinic 5'!D122+'Clinic 6'!D122+'Clinic 7'!D122+'Clinic 8'!D122+'Clinic 9'!D122+'Clinic 10'!D122+'Clinic 11'!D122+'Clinic 12'!D122+'Clinic 13'!D122+'Clinic 14'!D122+'Clinic 15'!D122</f>
        <v>0</v>
      </c>
      <c r="E164" s="39">
        <f>'Creve Coeur'!G163+CWE!G163+'Clinic 3'!E122+'Clinic 4'!E122+'Clinic 5'!E122+'Clinic 6'!E122+'Clinic 7'!E122+'Clinic 8'!E122+'Clinic 9'!E122+'Clinic 10'!E122+'Clinic 11'!E122+'Clinic 12'!E122+'Clinic 13'!E122+'Clinic 14'!E122+'Clinic 15'!E122</f>
        <v>0</v>
      </c>
      <c r="F164" s="39">
        <f>'Creve Coeur'!H163+CWE!H163+'Clinic 3'!F122+'Clinic 4'!F122+'Clinic 5'!F122+'Clinic 6'!F122+'Clinic 7'!F122+'Clinic 8'!F122+'Clinic 9'!F122+'Clinic 10'!F122+'Clinic 11'!F122+'Clinic 12'!F122+'Clinic 13'!F122+'Clinic 14'!F122+'Clinic 15'!F122</f>
        <v>0</v>
      </c>
      <c r="G164" s="39">
        <f>'Creve Coeur'!I163+CWE!I163+'Clinic 3'!G122+'Clinic 4'!G122+'Clinic 5'!G122+'Clinic 6'!G122+'Clinic 7'!G122+'Clinic 8'!G122+'Clinic 9'!G122+'Clinic 10'!G122+'Clinic 11'!G122+'Clinic 12'!G122+'Clinic 13'!G122+'Clinic 14'!G122+'Clinic 15'!G122</f>
        <v>0</v>
      </c>
      <c r="H164" s="39">
        <f>'Creve Coeur'!J163+CWE!J163+'Clinic 3'!H122+'Clinic 4'!H122+'Clinic 5'!H122+'Clinic 6'!H122+'Clinic 7'!H122+'Clinic 8'!H122+'Clinic 9'!H122+'Clinic 10'!H122+'Clinic 11'!H122+'Clinic 12'!H122+'Clinic 13'!H122+'Clinic 14'!H122+'Clinic 15'!H122</f>
        <v>0</v>
      </c>
      <c r="I164" s="39">
        <f>'Creve Coeur'!K163+CWE!K163+'Clinic 3'!I122+'Clinic 4'!I122+'Clinic 5'!I122+'Clinic 6'!I122+'Clinic 7'!I122+'Clinic 8'!I122+'Clinic 9'!I122+'Clinic 10'!I122+'Clinic 11'!I122+'Clinic 12'!I122+'Clinic 13'!I122+'Clinic 14'!I122+'Clinic 15'!I122</f>
        <v>0</v>
      </c>
      <c r="J164" s="39">
        <f t="shared" si="46"/>
        <v>0</v>
      </c>
    </row>
    <row r="165" spans="1:12" x14ac:dyDescent="0.25">
      <c r="A165" s="1" t="s">
        <v>2</v>
      </c>
      <c r="B165" s="39">
        <f>'Creve Coeur'!D164+CWE!D164+'Clinic 3'!B123+'Clinic 4'!B123+'Clinic 5'!B123+'Clinic 6'!B123+'Clinic 7'!B123+'Clinic 8'!B123+'Clinic 9'!B123+'Clinic 10'!B123+'Clinic 11'!B123+'Clinic 12'!B123+'Clinic 13'!B123+'Clinic 14'!B123+'Clinic 15'!B123</f>
        <v>0</v>
      </c>
      <c r="C165" s="39">
        <f>'Creve Coeur'!E164+CWE!E164+'Clinic 3'!C123+'Clinic 4'!C123+'Clinic 5'!C123+'Clinic 6'!C123+'Clinic 7'!C123+'Clinic 8'!C123+'Clinic 9'!C123+'Clinic 10'!C123+'Clinic 11'!C123+'Clinic 12'!C123+'Clinic 13'!C123+'Clinic 14'!C123+'Clinic 15'!C123</f>
        <v>0</v>
      </c>
      <c r="D165" s="39">
        <f>'Creve Coeur'!F164+CWE!F164+'Clinic 3'!D123+'Clinic 4'!D123+'Clinic 5'!D123+'Clinic 6'!D123+'Clinic 7'!D123+'Clinic 8'!D123+'Clinic 9'!D123+'Clinic 10'!D123+'Clinic 11'!D123+'Clinic 12'!D123+'Clinic 13'!D123+'Clinic 14'!D123+'Clinic 15'!D123</f>
        <v>0</v>
      </c>
      <c r="E165" s="39">
        <f>'Creve Coeur'!G164+CWE!G164+'Clinic 3'!E123+'Clinic 4'!E123+'Clinic 5'!E123+'Clinic 6'!E123+'Clinic 7'!E123+'Clinic 8'!E123+'Clinic 9'!E123+'Clinic 10'!E123+'Clinic 11'!E123+'Clinic 12'!E123+'Clinic 13'!E123+'Clinic 14'!E123+'Clinic 15'!E123</f>
        <v>0</v>
      </c>
      <c r="F165" s="39">
        <f>'Creve Coeur'!H164+CWE!H164+'Clinic 3'!F123+'Clinic 4'!F123+'Clinic 5'!F123+'Clinic 6'!F123+'Clinic 7'!F123+'Clinic 8'!F123+'Clinic 9'!F123+'Clinic 10'!F123+'Clinic 11'!F123+'Clinic 12'!F123+'Clinic 13'!F123+'Clinic 14'!F123+'Clinic 15'!F123</f>
        <v>0</v>
      </c>
      <c r="G165" s="39">
        <f>'Creve Coeur'!I164+CWE!I164+'Clinic 3'!G123+'Clinic 4'!G123+'Clinic 5'!G123+'Clinic 6'!G123+'Clinic 7'!G123+'Clinic 8'!G123+'Clinic 9'!G123+'Clinic 10'!G123+'Clinic 11'!G123+'Clinic 12'!G123+'Clinic 13'!G123+'Clinic 14'!G123+'Clinic 15'!G123</f>
        <v>0</v>
      </c>
      <c r="H165" s="39">
        <f>'Creve Coeur'!J164+CWE!J164+'Clinic 3'!H123+'Clinic 4'!H123+'Clinic 5'!H123+'Clinic 6'!H123+'Clinic 7'!H123+'Clinic 8'!H123+'Clinic 9'!H123+'Clinic 10'!H123+'Clinic 11'!H123+'Clinic 12'!H123+'Clinic 13'!H123+'Clinic 14'!H123+'Clinic 15'!H123</f>
        <v>0</v>
      </c>
      <c r="I165" s="39">
        <f>'Creve Coeur'!K164+CWE!K164+'Clinic 3'!I123+'Clinic 4'!I123+'Clinic 5'!I123+'Clinic 6'!I123+'Clinic 7'!I123+'Clinic 8'!I123+'Clinic 9'!I123+'Clinic 10'!I123+'Clinic 11'!I123+'Clinic 12'!I123+'Clinic 13'!I123+'Clinic 14'!I123+'Clinic 15'!I123</f>
        <v>-251.48999999999998</v>
      </c>
      <c r="J165" s="39">
        <f t="shared" si="46"/>
        <v>-251.48999999999998</v>
      </c>
    </row>
    <row r="166" spans="1:12" x14ac:dyDescent="0.25">
      <c r="A166" s="1" t="s">
        <v>86</v>
      </c>
      <c r="B166" s="39">
        <f>'Creve Coeur'!D165+CWE!D165+'Clinic 3'!B124+'Clinic 4'!B124+'Clinic 5'!B124+'Clinic 6'!B124+'Clinic 7'!B124+'Clinic 8'!B124+'Clinic 9'!B124+'Clinic 10'!B124+'Clinic 11'!B124+'Clinic 12'!B124+'Clinic 13'!B124+'Clinic 14'!B124+'Clinic 15'!B124</f>
        <v>0</v>
      </c>
      <c r="C166" s="39">
        <f>'Creve Coeur'!E165+CWE!E165+'Clinic 3'!C124+'Clinic 4'!C124+'Clinic 5'!C124+'Clinic 6'!C124+'Clinic 7'!C124+'Clinic 8'!C124+'Clinic 9'!C124+'Clinic 10'!C124+'Clinic 11'!C124+'Clinic 12'!C124+'Clinic 13'!C124+'Clinic 14'!C124+'Clinic 15'!C124</f>
        <v>0</v>
      </c>
      <c r="D166" s="39">
        <f>'Creve Coeur'!F165+CWE!F165+'Clinic 3'!D124+'Clinic 4'!D124+'Clinic 5'!D124+'Clinic 6'!D124+'Clinic 7'!D124+'Clinic 8'!D124+'Clinic 9'!D124+'Clinic 10'!D124+'Clinic 11'!D124+'Clinic 12'!D124+'Clinic 13'!D124+'Clinic 14'!D124+'Clinic 15'!D124</f>
        <v>0</v>
      </c>
      <c r="E166" s="39">
        <f>'Creve Coeur'!G165+CWE!G165+'Clinic 3'!E124+'Clinic 4'!E124+'Clinic 5'!E124+'Clinic 6'!E124+'Clinic 7'!E124+'Clinic 8'!E124+'Clinic 9'!E124+'Clinic 10'!E124+'Clinic 11'!E124+'Clinic 12'!E124+'Clinic 13'!E124+'Clinic 14'!E124+'Clinic 15'!E124</f>
        <v>0</v>
      </c>
      <c r="F166" s="39">
        <f>'Creve Coeur'!H165+CWE!H165+'Clinic 3'!F124+'Clinic 4'!F124+'Clinic 5'!F124+'Clinic 6'!F124+'Clinic 7'!F124+'Clinic 8'!F124+'Clinic 9'!F124+'Clinic 10'!F124+'Clinic 11'!F124+'Clinic 12'!F124+'Clinic 13'!F124+'Clinic 14'!F124+'Clinic 15'!F124</f>
        <v>0</v>
      </c>
      <c r="G166" s="39">
        <f>'Creve Coeur'!I165+CWE!I165+'Clinic 3'!G124+'Clinic 4'!G124+'Clinic 5'!G124+'Clinic 6'!G124+'Clinic 7'!G124+'Clinic 8'!G124+'Clinic 9'!G124+'Clinic 10'!G124+'Clinic 11'!G124+'Clinic 12'!G124+'Clinic 13'!G124+'Clinic 14'!G124+'Clinic 15'!G124</f>
        <v>0</v>
      </c>
      <c r="H166" s="39">
        <f>'Creve Coeur'!J165+CWE!J165+'Clinic 3'!H124+'Clinic 4'!H124+'Clinic 5'!H124+'Clinic 6'!H124+'Clinic 7'!H124+'Clinic 8'!H124+'Clinic 9'!H124+'Clinic 10'!H124+'Clinic 11'!H124+'Clinic 12'!H124+'Clinic 13'!H124+'Clinic 14'!H124+'Clinic 15'!H124</f>
        <v>0</v>
      </c>
      <c r="I166" s="39">
        <f>'Creve Coeur'!K165+CWE!K165+'Clinic 3'!I124+'Clinic 4'!I124+'Clinic 5'!I124+'Clinic 6'!I124+'Clinic 7'!I124+'Clinic 8'!I124+'Clinic 9'!I124+'Clinic 10'!I124+'Clinic 11'!I124+'Clinic 12'!I124+'Clinic 13'!I124+'Clinic 14'!I124+'Clinic 15'!I124</f>
        <v>0</v>
      </c>
      <c r="J166" s="39">
        <f t="shared" si="46"/>
        <v>0</v>
      </c>
    </row>
    <row r="167" spans="1:12" x14ac:dyDescent="0.25">
      <c r="A167" s="1" t="s">
        <v>29</v>
      </c>
      <c r="B167" s="39">
        <f>'Creve Coeur'!D166+CWE!D166+'Clinic 3'!B125+'Clinic 4'!B125+'Clinic 5'!B125+'Clinic 6'!B125+'Clinic 7'!B125+'Clinic 8'!B125+'Clinic 9'!B125+'Clinic 10'!B125+'Clinic 11'!B125+'Clinic 12'!B125+'Clinic 13'!B125+'Clinic 14'!B125+'Clinic 15'!B125</f>
        <v>0</v>
      </c>
      <c r="C167" s="39">
        <f>'Creve Coeur'!E166+CWE!E166+'Clinic 3'!C125+'Clinic 4'!C125+'Clinic 5'!C125+'Clinic 6'!C125+'Clinic 7'!C125+'Clinic 8'!C125+'Clinic 9'!C125+'Clinic 10'!C125+'Clinic 11'!C125+'Clinic 12'!C125+'Clinic 13'!C125+'Clinic 14'!C125+'Clinic 15'!C125</f>
        <v>0</v>
      </c>
      <c r="D167" s="39">
        <f>'Creve Coeur'!F166+CWE!F166+'Clinic 3'!D125+'Clinic 4'!D125+'Clinic 5'!D125+'Clinic 6'!D125+'Clinic 7'!D125+'Clinic 8'!D125+'Clinic 9'!D125+'Clinic 10'!D125+'Clinic 11'!D125+'Clinic 12'!D125+'Clinic 13'!D125+'Clinic 14'!D125+'Clinic 15'!D125</f>
        <v>0</v>
      </c>
      <c r="E167" s="39">
        <f>'Creve Coeur'!G166+CWE!G166+'Clinic 3'!E125+'Clinic 4'!E125+'Clinic 5'!E125+'Clinic 6'!E125+'Clinic 7'!E125+'Clinic 8'!E125+'Clinic 9'!E125+'Clinic 10'!E125+'Clinic 11'!E125+'Clinic 12'!E125+'Clinic 13'!E125+'Clinic 14'!E125+'Clinic 15'!E125</f>
        <v>0</v>
      </c>
      <c r="F167" s="39">
        <f>'Creve Coeur'!H166+CWE!H166+'Clinic 3'!F125+'Clinic 4'!F125+'Clinic 5'!F125+'Clinic 6'!F125+'Clinic 7'!F125+'Clinic 8'!F125+'Clinic 9'!F125+'Clinic 10'!F125+'Clinic 11'!F125+'Clinic 12'!F125+'Clinic 13'!F125+'Clinic 14'!F125+'Clinic 15'!F125</f>
        <v>0</v>
      </c>
      <c r="G167" s="39">
        <f>'Creve Coeur'!I166+CWE!I166+'Clinic 3'!G125+'Clinic 4'!G125+'Clinic 5'!G125+'Clinic 6'!G125+'Clinic 7'!G125+'Clinic 8'!G125+'Clinic 9'!G125+'Clinic 10'!G125+'Clinic 11'!G125+'Clinic 12'!G125+'Clinic 13'!G125+'Clinic 14'!G125+'Clinic 15'!G125</f>
        <v>0</v>
      </c>
      <c r="H167" s="39">
        <f>'Creve Coeur'!J166+CWE!J166+'Clinic 3'!H125+'Clinic 4'!H125+'Clinic 5'!H125+'Clinic 6'!H125+'Clinic 7'!H125+'Clinic 8'!H125+'Clinic 9'!H125+'Clinic 10'!H125+'Clinic 11'!H125+'Clinic 12'!H125+'Clinic 13'!H125+'Clinic 14'!H125+'Clinic 15'!H125</f>
        <v>0</v>
      </c>
      <c r="I167" s="39">
        <f>'Creve Coeur'!K166+CWE!K166+'Clinic 3'!I125+'Clinic 4'!I125+'Clinic 5'!I125+'Clinic 6'!I125+'Clinic 7'!I125+'Clinic 8'!I125+'Clinic 9'!I125+'Clinic 10'!I125+'Clinic 11'!I125+'Clinic 12'!I125+'Clinic 13'!I125+'Clinic 14'!I125+'Clinic 15'!I125</f>
        <v>0</v>
      </c>
      <c r="J167" s="39">
        <f t="shared" si="46"/>
        <v>0</v>
      </c>
    </row>
    <row r="168" spans="1:12" x14ac:dyDescent="0.25">
      <c r="A168" s="1" t="s">
        <v>52</v>
      </c>
      <c r="B168" s="39">
        <f>'Creve Coeur'!D167+CWE!D167+'Clinic 3'!B126+'Clinic 4'!B126+'Clinic 5'!B126+'Clinic 6'!B126+'Clinic 7'!B126+'Clinic 8'!B126+'Clinic 9'!B126+'Clinic 10'!B126+'Clinic 11'!B126+'Clinic 12'!B126+'Clinic 13'!B126+'Clinic 14'!B126+'Clinic 15'!B126</f>
        <v>0</v>
      </c>
      <c r="C168" s="39">
        <f>'Creve Coeur'!E167+CWE!E167+'Clinic 3'!C126+'Clinic 4'!C126+'Clinic 5'!C126+'Clinic 6'!C126+'Clinic 7'!C126+'Clinic 8'!C126+'Clinic 9'!C126+'Clinic 10'!C126+'Clinic 11'!C126+'Clinic 12'!C126+'Clinic 13'!C126+'Clinic 14'!C126+'Clinic 15'!C126</f>
        <v>0</v>
      </c>
      <c r="D168" s="39">
        <f>'Creve Coeur'!F167+CWE!F167+'Clinic 3'!D126+'Clinic 4'!D126+'Clinic 5'!D126+'Clinic 6'!D126+'Clinic 7'!D126+'Clinic 8'!D126+'Clinic 9'!D126+'Clinic 10'!D126+'Clinic 11'!D126+'Clinic 12'!D126+'Clinic 13'!D126+'Clinic 14'!D126+'Clinic 15'!D126</f>
        <v>0</v>
      </c>
      <c r="E168" s="39">
        <f>'Creve Coeur'!G167+CWE!G167+'Clinic 3'!E126+'Clinic 4'!E126+'Clinic 5'!E126+'Clinic 6'!E126+'Clinic 7'!E126+'Clinic 8'!E126+'Clinic 9'!E126+'Clinic 10'!E126+'Clinic 11'!E126+'Clinic 12'!E126+'Clinic 13'!E126+'Clinic 14'!E126+'Clinic 15'!E126</f>
        <v>0</v>
      </c>
      <c r="F168" s="39">
        <f>'Creve Coeur'!H167+CWE!H167+'Clinic 3'!F126+'Clinic 4'!F126+'Clinic 5'!F126+'Clinic 6'!F126+'Clinic 7'!F126+'Clinic 8'!F126+'Clinic 9'!F126+'Clinic 10'!F126+'Clinic 11'!F126+'Clinic 12'!F126+'Clinic 13'!F126+'Clinic 14'!F126+'Clinic 15'!F126</f>
        <v>0</v>
      </c>
      <c r="G168" s="39">
        <f>'Creve Coeur'!I167+CWE!I167+'Clinic 3'!G126+'Clinic 4'!G126+'Clinic 5'!G126+'Clinic 6'!G126+'Clinic 7'!G126+'Clinic 8'!G126+'Clinic 9'!G126+'Clinic 10'!G126+'Clinic 11'!G126+'Clinic 12'!G126+'Clinic 13'!G126+'Clinic 14'!G126+'Clinic 15'!G126</f>
        <v>0</v>
      </c>
      <c r="H168" s="39">
        <f>'Creve Coeur'!J167+CWE!J167+'Clinic 3'!H126+'Clinic 4'!H126+'Clinic 5'!H126+'Clinic 6'!H126+'Clinic 7'!H126+'Clinic 8'!H126+'Clinic 9'!H126+'Clinic 10'!H126+'Clinic 11'!H126+'Clinic 12'!H126+'Clinic 13'!H126+'Clinic 14'!H126+'Clinic 15'!H126</f>
        <v>0</v>
      </c>
      <c r="I168" s="39">
        <f>'Creve Coeur'!K167+CWE!K167+'Clinic 3'!I126+'Clinic 4'!I126+'Clinic 5'!I126+'Clinic 6'!I126+'Clinic 7'!I126+'Clinic 8'!I126+'Clinic 9'!I126+'Clinic 10'!I126+'Clinic 11'!I126+'Clinic 12'!I126+'Clinic 13'!I126+'Clinic 14'!I126+'Clinic 15'!I126</f>
        <v>0</v>
      </c>
      <c r="J168" s="39">
        <f t="shared" si="46"/>
        <v>0</v>
      </c>
    </row>
    <row r="169" spans="1:12" x14ac:dyDescent="0.25">
      <c r="A169" s="1" t="s">
        <v>1</v>
      </c>
      <c r="B169" s="40">
        <f>'Creve Coeur'!D168+CWE!D168+'Clinic 3'!B127+'Clinic 4'!B127+'Clinic 5'!B127+'Clinic 6'!B127+'Clinic 7'!B127+'Clinic 8'!B127+'Clinic 9'!B127+'Clinic 10'!B127+'Clinic 11'!B127+'Clinic 12'!B127+'Clinic 13'!B127+'Clinic 14'!B127+'Clinic 15'!B127</f>
        <v>0</v>
      </c>
      <c r="C169" s="40">
        <f>'Creve Coeur'!E168+CWE!E168+'Clinic 3'!C127+'Clinic 4'!C127+'Clinic 5'!C127+'Clinic 6'!C127+'Clinic 7'!C127+'Clinic 8'!C127+'Clinic 9'!C127+'Clinic 10'!C127+'Clinic 11'!C127+'Clinic 12'!C127+'Clinic 13'!C127+'Clinic 14'!C127+'Clinic 15'!C127</f>
        <v>0</v>
      </c>
      <c r="D169" s="40">
        <f>'Creve Coeur'!F168+CWE!F168+'Clinic 3'!D127+'Clinic 4'!D127+'Clinic 5'!D127+'Clinic 6'!D127+'Clinic 7'!D127+'Clinic 8'!D127+'Clinic 9'!D127+'Clinic 10'!D127+'Clinic 11'!D127+'Clinic 12'!D127+'Clinic 13'!D127+'Clinic 14'!D127+'Clinic 15'!D127</f>
        <v>0</v>
      </c>
      <c r="E169" s="40">
        <f>'Creve Coeur'!G168+CWE!G168+'Clinic 3'!E127+'Clinic 4'!E127+'Clinic 5'!E127+'Clinic 6'!E127+'Clinic 7'!E127+'Clinic 8'!E127+'Clinic 9'!E127+'Clinic 10'!E127+'Clinic 11'!E127+'Clinic 12'!E127+'Clinic 13'!E127+'Clinic 14'!E127+'Clinic 15'!E127</f>
        <v>0</v>
      </c>
      <c r="F169" s="40">
        <f>'Creve Coeur'!H168+CWE!H168+'Clinic 3'!F127+'Clinic 4'!F127+'Clinic 5'!F127+'Clinic 6'!F127+'Clinic 7'!F127+'Clinic 8'!F127+'Clinic 9'!F127+'Clinic 10'!F127+'Clinic 11'!F127+'Clinic 12'!F127+'Clinic 13'!F127+'Clinic 14'!F127+'Clinic 15'!F127</f>
        <v>0</v>
      </c>
      <c r="G169" s="40">
        <f>'Creve Coeur'!I168+CWE!I168+'Clinic 3'!G127+'Clinic 4'!G127+'Clinic 5'!G127+'Clinic 6'!G127+'Clinic 7'!G127+'Clinic 8'!G127+'Clinic 9'!G127+'Clinic 10'!G127+'Clinic 11'!G127+'Clinic 12'!G127+'Clinic 13'!G127+'Clinic 14'!G127+'Clinic 15'!G127</f>
        <v>0</v>
      </c>
      <c r="H169" s="40">
        <f>'Creve Coeur'!J168+CWE!J168+'Clinic 3'!H127+'Clinic 4'!H127+'Clinic 5'!H127+'Clinic 6'!H127+'Clinic 7'!H127+'Clinic 8'!H127+'Clinic 9'!H127+'Clinic 10'!H127+'Clinic 11'!H127+'Clinic 12'!H127+'Clinic 13'!H127+'Clinic 14'!H127+'Clinic 15'!H127</f>
        <v>0</v>
      </c>
      <c r="I169" s="40">
        <f>'Creve Coeur'!K168+CWE!K168+'Clinic 3'!I127+'Clinic 4'!I127+'Clinic 5'!I127+'Clinic 6'!I127+'Clinic 7'!I127+'Clinic 8'!I127+'Clinic 9'!I127+'Clinic 10'!I127+'Clinic 11'!I127+'Clinic 12'!I127+'Clinic 13'!I127+'Clinic 14'!I127+'Clinic 15'!I127</f>
        <v>0</v>
      </c>
      <c r="J169" s="40">
        <f t="shared" si="46"/>
        <v>0</v>
      </c>
    </row>
    <row r="170" spans="1:12" x14ac:dyDescent="0.25">
      <c r="A170" s="4"/>
      <c r="B170" s="39">
        <f>SUM(B153:B169)</f>
        <v>0</v>
      </c>
      <c r="C170" s="39">
        <f t="shared" ref="C170:J170" si="47">SUM(C153:C169)</f>
        <v>0</v>
      </c>
      <c r="D170" s="39">
        <f t="shared" si="47"/>
        <v>0</v>
      </c>
      <c r="E170" s="39">
        <f t="shared" si="47"/>
        <v>0</v>
      </c>
      <c r="F170" s="39">
        <f t="shared" si="47"/>
        <v>0</v>
      </c>
      <c r="G170" s="39">
        <f t="shared" si="47"/>
        <v>0</v>
      </c>
      <c r="H170" s="39">
        <f t="shared" si="47"/>
        <v>0</v>
      </c>
      <c r="I170" s="39">
        <f t="shared" si="47"/>
        <v>-136.48999999999998</v>
      </c>
      <c r="J170" s="39">
        <f t="shared" si="47"/>
        <v>-136.48999999999998</v>
      </c>
      <c r="K170" s="106">
        <v>29899.1</v>
      </c>
      <c r="L170" s="110"/>
    </row>
    <row r="171" spans="1:12" ht="15.75" thickBot="1" x14ac:dyDescent="0.3">
      <c r="A171" s="4"/>
      <c r="B171" s="39"/>
      <c r="C171" s="39"/>
      <c r="D171" s="39"/>
      <c r="E171" s="39"/>
      <c r="F171" s="39"/>
      <c r="G171" s="39"/>
      <c r="H171" s="39"/>
      <c r="I171" s="39"/>
      <c r="J171" s="39"/>
    </row>
    <row r="172" spans="1:12" ht="15.75" thickBot="1" x14ac:dyDescent="0.3">
      <c r="A172" s="150" t="s">
        <v>30</v>
      </c>
      <c r="B172" s="151"/>
      <c r="C172" s="151"/>
      <c r="D172" s="151"/>
      <c r="E172" s="151"/>
      <c r="F172" s="151"/>
      <c r="G172" s="151"/>
      <c r="H172" s="151"/>
      <c r="I172" s="151"/>
      <c r="J172" s="152"/>
    </row>
    <row r="173" spans="1:12" x14ac:dyDescent="0.25">
      <c r="A173" s="4" t="s">
        <v>16</v>
      </c>
      <c r="B173" s="5" t="s">
        <v>15</v>
      </c>
      <c r="C173" s="5" t="s">
        <v>14</v>
      </c>
      <c r="D173" s="5" t="s">
        <v>13</v>
      </c>
      <c r="E173" s="5" t="s">
        <v>12</v>
      </c>
      <c r="F173" s="5" t="s">
        <v>94</v>
      </c>
      <c r="G173" s="5" t="s">
        <v>95</v>
      </c>
      <c r="H173" s="5" t="s">
        <v>38</v>
      </c>
      <c r="I173" s="5" t="s">
        <v>9</v>
      </c>
      <c r="J173" s="5" t="s">
        <v>0</v>
      </c>
    </row>
    <row r="174" spans="1:12" x14ac:dyDescent="0.25">
      <c r="A174" s="1" t="s">
        <v>49</v>
      </c>
      <c r="B174" s="39">
        <f>B112-B153</f>
        <v>0</v>
      </c>
      <c r="C174" s="39">
        <f t="shared" ref="C174:I174" si="48">C112-C153</f>
        <v>0</v>
      </c>
      <c r="D174" s="39">
        <f t="shared" si="48"/>
        <v>0</v>
      </c>
      <c r="E174" s="39">
        <f t="shared" si="48"/>
        <v>0</v>
      </c>
      <c r="F174" s="39">
        <f t="shared" si="48"/>
        <v>0</v>
      </c>
      <c r="G174" s="39">
        <f t="shared" si="48"/>
        <v>0</v>
      </c>
      <c r="H174" s="39">
        <f t="shared" si="48"/>
        <v>0</v>
      </c>
      <c r="I174" s="39">
        <f t="shared" si="48"/>
        <v>0</v>
      </c>
      <c r="J174" s="66">
        <f>SUM(B174:I174)</f>
        <v>0</v>
      </c>
    </row>
    <row r="175" spans="1:12" x14ac:dyDescent="0.25">
      <c r="A175" s="1" t="s">
        <v>8</v>
      </c>
      <c r="B175" s="39">
        <f t="shared" ref="B175:I175" si="49">B113-B154</f>
        <v>0</v>
      </c>
      <c r="C175" s="39">
        <f t="shared" si="49"/>
        <v>0</v>
      </c>
      <c r="D175" s="39">
        <f t="shared" si="49"/>
        <v>0</v>
      </c>
      <c r="E175" s="39">
        <f t="shared" si="49"/>
        <v>0</v>
      </c>
      <c r="F175" s="39">
        <f t="shared" si="49"/>
        <v>0</v>
      </c>
      <c r="G175" s="39">
        <f t="shared" si="49"/>
        <v>0</v>
      </c>
      <c r="H175" s="39">
        <f t="shared" si="49"/>
        <v>0</v>
      </c>
      <c r="I175" s="39">
        <f t="shared" si="49"/>
        <v>0</v>
      </c>
      <c r="J175" s="39">
        <f t="shared" ref="J175:J190" si="50">SUM(B175:I175)</f>
        <v>0</v>
      </c>
    </row>
    <row r="176" spans="1:12" x14ac:dyDescent="0.25">
      <c r="A176" s="1" t="s">
        <v>7</v>
      </c>
      <c r="B176" s="39">
        <f t="shared" ref="B176:I176" si="51">B114-B155</f>
        <v>0</v>
      </c>
      <c r="C176" s="39">
        <f t="shared" si="51"/>
        <v>0</v>
      </c>
      <c r="D176" s="39">
        <f t="shared" si="51"/>
        <v>0</v>
      </c>
      <c r="E176" s="39">
        <f t="shared" si="51"/>
        <v>0</v>
      </c>
      <c r="F176" s="39">
        <f t="shared" si="51"/>
        <v>0</v>
      </c>
      <c r="G176" s="39">
        <f t="shared" si="51"/>
        <v>0</v>
      </c>
      <c r="H176" s="39">
        <f t="shared" si="51"/>
        <v>0</v>
      </c>
      <c r="I176" s="39">
        <f t="shared" si="51"/>
        <v>0</v>
      </c>
      <c r="J176" s="39">
        <f t="shared" si="50"/>
        <v>0</v>
      </c>
    </row>
    <row r="177" spans="1:11" x14ac:dyDescent="0.25">
      <c r="A177" s="1" t="s">
        <v>42</v>
      </c>
      <c r="B177" s="39">
        <f t="shared" ref="B177:I177" si="52">B115-B156</f>
        <v>0</v>
      </c>
      <c r="C177" s="39">
        <f t="shared" si="52"/>
        <v>0</v>
      </c>
      <c r="D177" s="39">
        <f t="shared" si="52"/>
        <v>0</v>
      </c>
      <c r="E177" s="39">
        <f t="shared" si="52"/>
        <v>0</v>
      </c>
      <c r="F177" s="39">
        <f t="shared" si="52"/>
        <v>0</v>
      </c>
      <c r="G177" s="39">
        <f t="shared" si="52"/>
        <v>0</v>
      </c>
      <c r="H177" s="39">
        <f t="shared" si="52"/>
        <v>0</v>
      </c>
      <c r="I177" s="39">
        <f t="shared" si="52"/>
        <v>0</v>
      </c>
      <c r="J177" s="39">
        <f t="shared" si="50"/>
        <v>0</v>
      </c>
    </row>
    <row r="178" spans="1:11" x14ac:dyDescent="0.25">
      <c r="A178" s="1" t="s">
        <v>6</v>
      </c>
      <c r="B178" s="39">
        <f t="shared" ref="B178:I178" si="53">B116-B157</f>
        <v>0</v>
      </c>
      <c r="C178" s="39">
        <f t="shared" si="53"/>
        <v>0</v>
      </c>
      <c r="D178" s="39">
        <f t="shared" si="53"/>
        <v>0</v>
      </c>
      <c r="E178" s="39">
        <f t="shared" si="53"/>
        <v>0</v>
      </c>
      <c r="F178" s="39">
        <f t="shared" si="53"/>
        <v>0</v>
      </c>
      <c r="G178" s="39">
        <f t="shared" si="53"/>
        <v>0</v>
      </c>
      <c r="H178" s="39">
        <f t="shared" si="53"/>
        <v>0</v>
      </c>
      <c r="I178" s="39">
        <f t="shared" si="53"/>
        <v>0</v>
      </c>
      <c r="J178" s="39">
        <f t="shared" si="50"/>
        <v>0</v>
      </c>
    </row>
    <row r="179" spans="1:11" x14ac:dyDescent="0.25">
      <c r="A179" s="1" t="s">
        <v>50</v>
      </c>
      <c r="B179" s="39">
        <f t="shared" ref="B179:I179" si="54">B117-B158</f>
        <v>0</v>
      </c>
      <c r="C179" s="39">
        <f t="shared" si="54"/>
        <v>0</v>
      </c>
      <c r="D179" s="39">
        <f t="shared" si="54"/>
        <v>0</v>
      </c>
      <c r="E179" s="39">
        <f t="shared" si="54"/>
        <v>0</v>
      </c>
      <c r="F179" s="39">
        <f t="shared" si="54"/>
        <v>0</v>
      </c>
      <c r="G179" s="39">
        <f t="shared" si="54"/>
        <v>0</v>
      </c>
      <c r="H179" s="39">
        <f t="shared" si="54"/>
        <v>0</v>
      </c>
      <c r="I179" s="39">
        <f t="shared" si="54"/>
        <v>0</v>
      </c>
      <c r="J179" s="39">
        <f t="shared" si="50"/>
        <v>0</v>
      </c>
    </row>
    <row r="180" spans="1:11" x14ac:dyDescent="0.25">
      <c r="A180" s="1" t="s">
        <v>89</v>
      </c>
      <c r="B180" s="39">
        <f t="shared" ref="B180:I180" si="55">B118-B159</f>
        <v>0</v>
      </c>
      <c r="C180" s="39">
        <f t="shared" si="55"/>
        <v>0</v>
      </c>
      <c r="D180" s="39">
        <f t="shared" si="55"/>
        <v>0</v>
      </c>
      <c r="E180" s="39">
        <f t="shared" si="55"/>
        <v>0</v>
      </c>
      <c r="F180" s="39">
        <f t="shared" si="55"/>
        <v>0</v>
      </c>
      <c r="G180" s="39">
        <f t="shared" si="55"/>
        <v>0</v>
      </c>
      <c r="H180" s="39">
        <f t="shared" si="55"/>
        <v>0</v>
      </c>
      <c r="I180" s="39">
        <f t="shared" si="55"/>
        <v>0</v>
      </c>
      <c r="J180" s="39">
        <f t="shared" si="50"/>
        <v>0</v>
      </c>
    </row>
    <row r="181" spans="1:11" x14ac:dyDescent="0.25">
      <c r="A181" s="1" t="s">
        <v>5</v>
      </c>
      <c r="B181" s="39">
        <f t="shared" ref="B181:I181" si="56">B119-B160</f>
        <v>0</v>
      </c>
      <c r="C181" s="39">
        <f t="shared" si="56"/>
        <v>0</v>
      </c>
      <c r="D181" s="39">
        <f t="shared" si="56"/>
        <v>0</v>
      </c>
      <c r="E181" s="39">
        <f t="shared" si="56"/>
        <v>0</v>
      </c>
      <c r="F181" s="39">
        <f t="shared" si="56"/>
        <v>0</v>
      </c>
      <c r="G181" s="39">
        <f t="shared" si="56"/>
        <v>0</v>
      </c>
      <c r="H181" s="39">
        <f t="shared" si="56"/>
        <v>0</v>
      </c>
      <c r="I181" s="39">
        <f t="shared" si="56"/>
        <v>0</v>
      </c>
      <c r="J181" s="39">
        <f t="shared" si="50"/>
        <v>0</v>
      </c>
    </row>
    <row r="182" spans="1:11" x14ac:dyDescent="0.25">
      <c r="A182" s="1" t="s">
        <v>84</v>
      </c>
      <c r="B182" s="39">
        <f t="shared" ref="B182:I182" si="57">B120-B161</f>
        <v>0</v>
      </c>
      <c r="C182" s="39">
        <f t="shared" si="57"/>
        <v>0</v>
      </c>
      <c r="D182" s="39">
        <f t="shared" si="57"/>
        <v>0</v>
      </c>
      <c r="E182" s="39">
        <f t="shared" si="57"/>
        <v>0</v>
      </c>
      <c r="F182" s="39">
        <f t="shared" si="57"/>
        <v>0</v>
      </c>
      <c r="G182" s="39">
        <f t="shared" si="57"/>
        <v>0</v>
      </c>
      <c r="H182" s="39">
        <f t="shared" si="57"/>
        <v>0</v>
      </c>
      <c r="I182" s="39">
        <f t="shared" si="57"/>
        <v>0</v>
      </c>
      <c r="J182" s="39">
        <f t="shared" si="50"/>
        <v>0</v>
      </c>
    </row>
    <row r="183" spans="1:11" x14ac:dyDescent="0.25">
      <c r="A183" s="1" t="s">
        <v>4</v>
      </c>
      <c r="B183" s="39">
        <f t="shared" ref="B183:I183" si="58">B121-B162</f>
        <v>0</v>
      </c>
      <c r="C183" s="39">
        <f t="shared" si="58"/>
        <v>0</v>
      </c>
      <c r="D183" s="39">
        <f t="shared" si="58"/>
        <v>0</v>
      </c>
      <c r="E183" s="39">
        <f t="shared" si="58"/>
        <v>0</v>
      </c>
      <c r="F183" s="39">
        <f t="shared" si="58"/>
        <v>0</v>
      </c>
      <c r="G183" s="39">
        <f t="shared" si="58"/>
        <v>0</v>
      </c>
      <c r="H183" s="39">
        <f t="shared" si="58"/>
        <v>0</v>
      </c>
      <c r="I183" s="39">
        <f t="shared" si="58"/>
        <v>0</v>
      </c>
      <c r="J183" s="39">
        <f t="shared" si="50"/>
        <v>0</v>
      </c>
    </row>
    <row r="184" spans="1:11" x14ac:dyDescent="0.25">
      <c r="A184" s="1" t="s">
        <v>51</v>
      </c>
      <c r="B184" s="39">
        <f t="shared" ref="B184:I184" si="59">B122-B163</f>
        <v>0</v>
      </c>
      <c r="C184" s="39">
        <f t="shared" si="59"/>
        <v>0</v>
      </c>
      <c r="D184" s="39">
        <f t="shared" si="59"/>
        <v>0</v>
      </c>
      <c r="E184" s="39">
        <f t="shared" si="59"/>
        <v>0</v>
      </c>
      <c r="F184" s="39">
        <f t="shared" si="59"/>
        <v>0</v>
      </c>
      <c r="G184" s="39">
        <f t="shared" si="59"/>
        <v>0</v>
      </c>
      <c r="H184" s="39">
        <f t="shared" si="59"/>
        <v>0</v>
      </c>
      <c r="I184" s="39">
        <f t="shared" si="59"/>
        <v>0</v>
      </c>
      <c r="J184" s="39">
        <f t="shared" si="50"/>
        <v>0</v>
      </c>
    </row>
    <row r="185" spans="1:11" x14ac:dyDescent="0.25">
      <c r="A185" s="1" t="s">
        <v>85</v>
      </c>
      <c r="B185" s="39">
        <f t="shared" ref="B185:I185" si="60">B123-B164</f>
        <v>0</v>
      </c>
      <c r="C185" s="39">
        <f t="shared" si="60"/>
        <v>0</v>
      </c>
      <c r="D185" s="39">
        <f t="shared" si="60"/>
        <v>0</v>
      </c>
      <c r="E185" s="39">
        <f t="shared" si="60"/>
        <v>0</v>
      </c>
      <c r="F185" s="39">
        <f t="shared" si="60"/>
        <v>0</v>
      </c>
      <c r="G185" s="39">
        <f t="shared" si="60"/>
        <v>0</v>
      </c>
      <c r="H185" s="39">
        <f t="shared" si="60"/>
        <v>0</v>
      </c>
      <c r="I185" s="39">
        <f t="shared" si="60"/>
        <v>0</v>
      </c>
      <c r="J185" s="39">
        <f t="shared" si="50"/>
        <v>0</v>
      </c>
    </row>
    <row r="186" spans="1:11" x14ac:dyDescent="0.25">
      <c r="A186" s="1" t="s">
        <v>2</v>
      </c>
      <c r="B186" s="39">
        <f t="shared" ref="B186:I186" si="61">B124-B165</f>
        <v>-25887.81</v>
      </c>
      <c r="C186" s="39">
        <f t="shared" si="61"/>
        <v>0</v>
      </c>
      <c r="D186" s="39">
        <f t="shared" si="61"/>
        <v>0</v>
      </c>
      <c r="E186" s="39">
        <f t="shared" si="61"/>
        <v>0</v>
      </c>
      <c r="F186" s="39">
        <f t="shared" si="61"/>
        <v>0</v>
      </c>
      <c r="G186" s="39">
        <f t="shared" si="61"/>
        <v>0</v>
      </c>
      <c r="H186" s="39">
        <f t="shared" si="61"/>
        <v>0</v>
      </c>
      <c r="I186" s="39">
        <f t="shared" si="61"/>
        <v>0</v>
      </c>
      <c r="J186" s="39">
        <f t="shared" si="50"/>
        <v>-25887.81</v>
      </c>
    </row>
    <row r="187" spans="1:11" x14ac:dyDescent="0.25">
      <c r="A187" s="1" t="s">
        <v>86</v>
      </c>
      <c r="B187" s="39">
        <f t="shared" ref="B187:I187" si="62">B125-B166</f>
        <v>0</v>
      </c>
      <c r="C187" s="39">
        <f t="shared" si="62"/>
        <v>0</v>
      </c>
      <c r="D187" s="39">
        <f t="shared" si="62"/>
        <v>0</v>
      </c>
      <c r="E187" s="39">
        <f t="shared" si="62"/>
        <v>0</v>
      </c>
      <c r="F187" s="39">
        <f t="shared" si="62"/>
        <v>0</v>
      </c>
      <c r="G187" s="39">
        <f t="shared" si="62"/>
        <v>0</v>
      </c>
      <c r="H187" s="39">
        <f t="shared" si="62"/>
        <v>0</v>
      </c>
      <c r="I187" s="39">
        <f t="shared" si="62"/>
        <v>0</v>
      </c>
      <c r="J187" s="39">
        <f t="shared" si="50"/>
        <v>0</v>
      </c>
    </row>
    <row r="188" spans="1:11" x14ac:dyDescent="0.25">
      <c r="A188" s="1" t="s">
        <v>29</v>
      </c>
      <c r="B188" s="39">
        <f t="shared" ref="B188:I188" si="63">B126-B167</f>
        <v>0</v>
      </c>
      <c r="C188" s="39">
        <f t="shared" si="63"/>
        <v>0</v>
      </c>
      <c r="D188" s="39">
        <f t="shared" si="63"/>
        <v>0</v>
      </c>
      <c r="E188" s="39">
        <f t="shared" si="63"/>
        <v>0</v>
      </c>
      <c r="F188" s="39">
        <f t="shared" si="63"/>
        <v>0</v>
      </c>
      <c r="G188" s="39">
        <f t="shared" si="63"/>
        <v>0</v>
      </c>
      <c r="H188" s="39">
        <f t="shared" si="63"/>
        <v>0</v>
      </c>
      <c r="I188" s="39">
        <f t="shared" si="63"/>
        <v>0</v>
      </c>
      <c r="J188" s="39">
        <f t="shared" si="50"/>
        <v>0</v>
      </c>
    </row>
    <row r="189" spans="1:11" x14ac:dyDescent="0.25">
      <c r="A189" s="1" t="s">
        <v>52</v>
      </c>
      <c r="B189" s="39">
        <f t="shared" ref="B189:I189" si="64">B127-B168</f>
        <v>0</v>
      </c>
      <c r="C189" s="39">
        <f t="shared" si="64"/>
        <v>0</v>
      </c>
      <c r="D189" s="39">
        <f t="shared" si="64"/>
        <v>0</v>
      </c>
      <c r="E189" s="39">
        <f t="shared" si="64"/>
        <v>0</v>
      </c>
      <c r="F189" s="39">
        <f t="shared" si="64"/>
        <v>0</v>
      </c>
      <c r="G189" s="39">
        <f t="shared" si="64"/>
        <v>0</v>
      </c>
      <c r="H189" s="39">
        <f t="shared" si="64"/>
        <v>0</v>
      </c>
      <c r="I189" s="39">
        <f t="shared" si="64"/>
        <v>0</v>
      </c>
      <c r="J189" s="39">
        <f t="shared" si="50"/>
        <v>0</v>
      </c>
    </row>
    <row r="190" spans="1:11" x14ac:dyDescent="0.25">
      <c r="A190" s="1" t="s">
        <v>1</v>
      </c>
      <c r="B190" s="39">
        <f t="shared" ref="B190:I190" si="65">B128-B169</f>
        <v>0</v>
      </c>
      <c r="C190" s="39">
        <f t="shared" si="65"/>
        <v>0</v>
      </c>
      <c r="D190" s="39">
        <f t="shared" si="65"/>
        <v>0</v>
      </c>
      <c r="E190" s="39">
        <f t="shared" si="65"/>
        <v>0</v>
      </c>
      <c r="F190" s="39">
        <f t="shared" si="65"/>
        <v>0</v>
      </c>
      <c r="G190" s="39">
        <f t="shared" si="65"/>
        <v>0</v>
      </c>
      <c r="H190" s="39">
        <f t="shared" si="65"/>
        <v>0</v>
      </c>
      <c r="I190" s="39">
        <f t="shared" si="65"/>
        <v>0</v>
      </c>
      <c r="J190" s="39">
        <f t="shared" si="50"/>
        <v>0</v>
      </c>
    </row>
    <row r="191" spans="1:11" x14ac:dyDescent="0.25">
      <c r="A191" s="74"/>
      <c r="B191" s="66">
        <f>SUM(B174:B190)</f>
        <v>-25887.81</v>
      </c>
      <c r="C191" s="66">
        <f t="shared" ref="C191:J191" si="66">SUM(C174:C190)</f>
        <v>0</v>
      </c>
      <c r="D191" s="66">
        <f t="shared" si="66"/>
        <v>0</v>
      </c>
      <c r="E191" s="66">
        <f t="shared" si="66"/>
        <v>0</v>
      </c>
      <c r="F191" s="66">
        <f t="shared" si="66"/>
        <v>0</v>
      </c>
      <c r="G191" s="66">
        <f t="shared" si="66"/>
        <v>0</v>
      </c>
      <c r="H191" s="66">
        <f t="shared" si="66"/>
        <v>0</v>
      </c>
      <c r="I191" s="66">
        <f t="shared" si="66"/>
        <v>0</v>
      </c>
      <c r="J191" s="66">
        <f t="shared" si="66"/>
        <v>-25887.81</v>
      </c>
      <c r="K191" s="106"/>
    </row>
  </sheetData>
  <mergeCells count="13">
    <mergeCell ref="A47:J47"/>
    <mergeCell ref="A68:J68"/>
    <mergeCell ref="A6:J6"/>
    <mergeCell ref="A27:J27"/>
    <mergeCell ref="A1:J1"/>
    <mergeCell ref="A2:J2"/>
    <mergeCell ref="A3:J3"/>
    <mergeCell ref="A4:J4"/>
    <mergeCell ref="A172:J172"/>
    <mergeCell ref="A89:J89"/>
    <mergeCell ref="A110:J110"/>
    <mergeCell ref="A131:J131"/>
    <mergeCell ref="A151:J151"/>
  </mergeCells>
  <pageMargins left="0.7" right="0.7" top="0.75" bottom="0.75" header="0.3" footer="0.3"/>
  <pageSetup scale="22"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S199"/>
  <sheetViews>
    <sheetView topLeftCell="C1" zoomScale="85" zoomScaleNormal="85" workbookViewId="0">
      <selection activeCell="C1" sqref="C1:O1"/>
    </sheetView>
  </sheetViews>
  <sheetFormatPr defaultRowHeight="15" x14ac:dyDescent="0.25"/>
  <cols>
    <col min="1" max="1" width="11" hidden="1" customWidth="1"/>
    <col min="2" max="2" width="29.28515625" hidden="1" customWidth="1"/>
    <col min="3" max="3" width="38.85546875" bestFit="1" customWidth="1"/>
    <col min="4" max="12" width="12.7109375" customWidth="1"/>
    <col min="13" max="14" width="14.7109375" style="115" customWidth="1"/>
    <col min="15" max="15" width="30.7109375" customWidth="1"/>
    <col min="16" max="16" width="18.5703125" customWidth="1"/>
  </cols>
  <sheetData>
    <row r="1" spans="3:17" ht="18.75" x14ac:dyDescent="0.3">
      <c r="C1" s="162" t="s">
        <v>17</v>
      </c>
      <c r="D1" s="162"/>
      <c r="E1" s="162"/>
      <c r="F1" s="162"/>
      <c r="G1" s="162"/>
      <c r="H1" s="162"/>
      <c r="I1" s="162"/>
      <c r="J1" s="162"/>
      <c r="K1" s="162"/>
      <c r="L1" s="162"/>
      <c r="M1" s="162"/>
      <c r="N1" s="162"/>
      <c r="O1" s="162"/>
      <c r="Q1" s="31"/>
    </row>
    <row r="2" spans="3:17" ht="15.75" x14ac:dyDescent="0.25">
      <c r="C2" s="163" t="s">
        <v>264</v>
      </c>
      <c r="D2" s="163"/>
      <c r="E2" s="163"/>
      <c r="F2" s="163"/>
      <c r="G2" s="163"/>
      <c r="H2" s="163"/>
      <c r="I2" s="163"/>
      <c r="J2" s="163"/>
      <c r="K2" s="163"/>
      <c r="L2" s="163"/>
      <c r="M2" s="163"/>
      <c r="N2" s="163"/>
      <c r="O2" s="163"/>
      <c r="Q2" s="31"/>
    </row>
    <row r="3" spans="3:17" x14ac:dyDescent="0.25">
      <c r="C3" s="164" t="s">
        <v>31</v>
      </c>
      <c r="D3" s="164"/>
      <c r="E3" s="164"/>
      <c r="F3" s="164"/>
      <c r="G3" s="164"/>
      <c r="H3" s="164"/>
      <c r="I3" s="164"/>
      <c r="J3" s="164"/>
      <c r="K3" s="164"/>
      <c r="L3" s="164"/>
      <c r="M3" s="164"/>
      <c r="N3" s="164"/>
      <c r="O3" s="164"/>
    </row>
    <row r="4" spans="3:17" ht="15.75" thickBot="1" x14ac:dyDescent="0.3">
      <c r="C4" s="167">
        <f>'Company Summary'!A4</f>
        <v>45199</v>
      </c>
      <c r="D4" s="167"/>
      <c r="E4" s="167"/>
      <c r="F4" s="167"/>
      <c r="G4" s="167"/>
      <c r="H4" s="167"/>
      <c r="I4" s="167"/>
      <c r="J4" s="167"/>
      <c r="K4" s="167"/>
      <c r="L4" s="167"/>
      <c r="M4" s="167"/>
      <c r="N4" s="167"/>
      <c r="O4" s="167"/>
    </row>
    <row r="5" spans="3:17" ht="15.75" thickBot="1" x14ac:dyDescent="0.3">
      <c r="C5" s="150" t="s">
        <v>249</v>
      </c>
      <c r="D5" s="151"/>
      <c r="E5" s="151"/>
      <c r="F5" s="151"/>
      <c r="G5" s="151"/>
      <c r="H5" s="151"/>
      <c r="I5" s="151"/>
      <c r="J5" s="151"/>
      <c r="K5" s="151"/>
      <c r="L5" s="152"/>
      <c r="N5" s="166"/>
      <c r="O5" s="166"/>
    </row>
    <row r="6" spans="3:17" x14ac:dyDescent="0.25">
      <c r="C6" s="4" t="s">
        <v>16</v>
      </c>
      <c r="D6" s="5" t="s">
        <v>15</v>
      </c>
      <c r="E6" s="5" t="s">
        <v>14</v>
      </c>
      <c r="F6" s="5" t="s">
        <v>13</v>
      </c>
      <c r="G6" s="5" t="s">
        <v>12</v>
      </c>
      <c r="H6" s="5" t="s">
        <v>94</v>
      </c>
      <c r="I6" s="5" t="s">
        <v>95</v>
      </c>
      <c r="J6" s="5" t="s">
        <v>38</v>
      </c>
      <c r="K6" s="5" t="s">
        <v>9</v>
      </c>
      <c r="L6" s="5" t="s">
        <v>0</v>
      </c>
      <c r="N6" s="116"/>
      <c r="O6" s="4"/>
    </row>
    <row r="7" spans="3:17" x14ac:dyDescent="0.25">
      <c r="C7" s="1" t="s">
        <v>49</v>
      </c>
      <c r="D7" s="33">
        <f>'Agile AR Aging &lt;-INPUT'!C23</f>
        <v>0</v>
      </c>
      <c r="E7" s="33">
        <f>'Agile AR Aging &lt;-INPUT'!D23</f>
        <v>0</v>
      </c>
      <c r="F7" s="33">
        <f>'Agile AR Aging &lt;-INPUT'!E23</f>
        <v>0</v>
      </c>
      <c r="G7" s="33">
        <f>'Agile AR Aging &lt;-INPUT'!F23</f>
        <v>0</v>
      </c>
      <c r="H7" s="33">
        <f>'Agile AR Aging &lt;-INPUT'!G23</f>
        <v>0</v>
      </c>
      <c r="I7" s="33">
        <f>'Agile AR Aging &lt;-INPUT'!H23</f>
        <v>0</v>
      </c>
      <c r="J7" s="33">
        <f>'Agile AR Aging &lt;-INPUT'!I23</f>
        <v>0</v>
      </c>
      <c r="K7" s="33">
        <f>'Agile AR Aging &lt;-INPUT'!J23</f>
        <v>0</v>
      </c>
      <c r="L7" s="10">
        <f>SUM(D7:K7)</f>
        <v>0</v>
      </c>
      <c r="N7" s="117"/>
    </row>
    <row r="8" spans="3:17" x14ac:dyDescent="0.25">
      <c r="C8" s="1" t="s">
        <v>8</v>
      </c>
      <c r="D8" s="33">
        <f>'Agile AR Aging &lt;-INPUT'!C24</f>
        <v>0</v>
      </c>
      <c r="E8" s="33">
        <f>'Agile AR Aging &lt;-INPUT'!D24</f>
        <v>0</v>
      </c>
      <c r="F8" s="33">
        <f>'Agile AR Aging &lt;-INPUT'!E24</f>
        <v>0</v>
      </c>
      <c r="G8" s="33">
        <f>'Agile AR Aging &lt;-INPUT'!F24</f>
        <v>0</v>
      </c>
      <c r="H8" s="33">
        <f>'Agile AR Aging &lt;-INPUT'!G24</f>
        <v>0</v>
      </c>
      <c r="I8" s="33">
        <f>'Agile AR Aging &lt;-INPUT'!H24</f>
        <v>0</v>
      </c>
      <c r="J8" s="33">
        <f>'Agile AR Aging &lt;-INPUT'!I24</f>
        <v>0</v>
      </c>
      <c r="K8" s="33">
        <f>'Agile AR Aging &lt;-INPUT'!J24</f>
        <v>-401.87</v>
      </c>
      <c r="L8" s="9">
        <f t="shared" ref="L8:L23" si="0">SUM(D8:K8)</f>
        <v>-401.87</v>
      </c>
      <c r="N8" s="117"/>
      <c r="P8" s="68"/>
    </row>
    <row r="9" spans="3:17" x14ac:dyDescent="0.25">
      <c r="C9" s="1" t="s">
        <v>7</v>
      </c>
      <c r="D9" s="33">
        <f>'Agile AR Aging &lt;-INPUT'!C25</f>
        <v>0</v>
      </c>
      <c r="E9" s="33">
        <f>'Agile AR Aging &lt;-INPUT'!D25</f>
        <v>0</v>
      </c>
      <c r="F9" s="33">
        <f>'Agile AR Aging &lt;-INPUT'!E25</f>
        <v>0</v>
      </c>
      <c r="G9" s="33">
        <f>'Agile AR Aging &lt;-INPUT'!F25</f>
        <v>0</v>
      </c>
      <c r="H9" s="33">
        <f>'Agile AR Aging &lt;-INPUT'!G25</f>
        <v>0</v>
      </c>
      <c r="I9" s="33">
        <f>'Agile AR Aging &lt;-INPUT'!H25</f>
        <v>0</v>
      </c>
      <c r="J9" s="33">
        <f>'Agile AR Aging &lt;-INPUT'!I25</f>
        <v>0</v>
      </c>
      <c r="K9" s="33">
        <f>'Agile AR Aging &lt;-INPUT'!J25</f>
        <v>-261.87</v>
      </c>
      <c r="L9" s="9">
        <f t="shared" si="0"/>
        <v>-261.87</v>
      </c>
      <c r="N9" s="117"/>
      <c r="P9" s="68"/>
    </row>
    <row r="10" spans="3:17" x14ac:dyDescent="0.25">
      <c r="C10" s="1" t="s">
        <v>42</v>
      </c>
      <c r="D10" s="33">
        <f>'Agile AR Aging &lt;-INPUT'!C26</f>
        <v>0</v>
      </c>
      <c r="E10" s="33">
        <f>'Agile AR Aging &lt;-INPUT'!D26</f>
        <v>0</v>
      </c>
      <c r="F10" s="33">
        <f>'Agile AR Aging &lt;-INPUT'!E26</f>
        <v>0</v>
      </c>
      <c r="G10" s="33">
        <f>'Agile AR Aging &lt;-INPUT'!F26</f>
        <v>0</v>
      </c>
      <c r="H10" s="33">
        <f>'Agile AR Aging &lt;-INPUT'!G26</f>
        <v>0</v>
      </c>
      <c r="I10" s="33">
        <f>'Agile AR Aging &lt;-INPUT'!H26</f>
        <v>0</v>
      </c>
      <c r="J10" s="33">
        <f>'Agile AR Aging &lt;-INPUT'!I26</f>
        <v>0</v>
      </c>
      <c r="K10" s="33">
        <f>'Agile AR Aging &lt;-INPUT'!J26</f>
        <v>0</v>
      </c>
      <c r="L10" s="9">
        <f t="shared" si="0"/>
        <v>0</v>
      </c>
      <c r="N10" s="117"/>
      <c r="P10" s="68"/>
    </row>
    <row r="11" spans="3:17" x14ac:dyDescent="0.25">
      <c r="C11" s="1" t="s">
        <v>6</v>
      </c>
      <c r="D11" s="33">
        <f>'Agile AR Aging &lt;-INPUT'!C27+'Agile AR Aging &lt;-INPUT'!C28+'Agile AR Aging &lt;-INPUT'!C35+'Agile AR Aging &lt;-INPUT'!C40</f>
        <v>0</v>
      </c>
      <c r="E11" s="33">
        <f>'Agile AR Aging &lt;-INPUT'!D27+'Agile AR Aging &lt;-INPUT'!D28+'Agile AR Aging &lt;-INPUT'!D35+'Agile AR Aging &lt;-INPUT'!D40</f>
        <v>0</v>
      </c>
      <c r="F11" s="33">
        <f>'Agile AR Aging &lt;-INPUT'!E27+'Agile AR Aging &lt;-INPUT'!E28+'Agile AR Aging &lt;-INPUT'!E35+'Agile AR Aging &lt;-INPUT'!E40</f>
        <v>0</v>
      </c>
      <c r="G11" s="33">
        <f>'Agile AR Aging &lt;-INPUT'!F27+'Agile AR Aging &lt;-INPUT'!F28+'Agile AR Aging &lt;-INPUT'!F35+'Agile AR Aging &lt;-INPUT'!F40</f>
        <v>0</v>
      </c>
      <c r="H11" s="33">
        <f>'Agile AR Aging &lt;-INPUT'!G27+'Agile AR Aging &lt;-INPUT'!G28+'Agile AR Aging &lt;-INPUT'!G35+'Agile AR Aging &lt;-INPUT'!G40</f>
        <v>0</v>
      </c>
      <c r="I11" s="33">
        <f>'Agile AR Aging &lt;-INPUT'!H27+'Agile AR Aging &lt;-INPUT'!H28+'Agile AR Aging &lt;-INPUT'!H35+'Agile AR Aging &lt;-INPUT'!H40</f>
        <v>0</v>
      </c>
      <c r="J11" s="33">
        <f>'Agile AR Aging &lt;-INPUT'!I27+'Agile AR Aging &lt;-INPUT'!I28+'Agile AR Aging &lt;-INPUT'!I35+'Agile AR Aging &lt;-INPUT'!I40</f>
        <v>0</v>
      </c>
      <c r="K11" s="33">
        <f>'Agile AR Aging &lt;-INPUT'!J27+'Agile AR Aging &lt;-INPUT'!J28+'Agile AR Aging &lt;-INPUT'!J35+'Agile AR Aging &lt;-INPUT'!J40</f>
        <v>-201.55</v>
      </c>
      <c r="L11" s="9">
        <f t="shared" si="0"/>
        <v>-201.55</v>
      </c>
      <c r="N11" s="117"/>
      <c r="P11" s="68"/>
    </row>
    <row r="12" spans="3:17" x14ac:dyDescent="0.25">
      <c r="C12" s="1" t="s">
        <v>50</v>
      </c>
      <c r="D12" s="33">
        <f>'Agile AR Aging &lt;-INPUT'!C29</f>
        <v>0</v>
      </c>
      <c r="E12" s="33">
        <f>'Agile AR Aging &lt;-INPUT'!D29</f>
        <v>0</v>
      </c>
      <c r="F12" s="33">
        <f>'Agile AR Aging &lt;-INPUT'!E29</f>
        <v>0</v>
      </c>
      <c r="G12" s="33">
        <f>'Agile AR Aging &lt;-INPUT'!F29</f>
        <v>0</v>
      </c>
      <c r="H12" s="33">
        <f>'Agile AR Aging &lt;-INPUT'!G29</f>
        <v>0</v>
      </c>
      <c r="I12" s="33">
        <f>'Agile AR Aging &lt;-INPUT'!H29</f>
        <v>0</v>
      </c>
      <c r="J12" s="33">
        <f>'Agile AR Aging &lt;-INPUT'!I29</f>
        <v>0</v>
      </c>
      <c r="K12" s="33">
        <f>'Agile AR Aging &lt;-INPUT'!J29</f>
        <v>0</v>
      </c>
      <c r="L12" s="9">
        <f t="shared" si="0"/>
        <v>0</v>
      </c>
      <c r="N12" s="117"/>
      <c r="P12" s="68"/>
    </row>
    <row r="13" spans="3:17" x14ac:dyDescent="0.25">
      <c r="C13" s="1" t="s">
        <v>89</v>
      </c>
      <c r="D13" s="33">
        <f>'Agile AR Aging &lt;-INPUT'!C30</f>
        <v>0</v>
      </c>
      <c r="E13" s="33">
        <f>'Agile AR Aging &lt;-INPUT'!D30</f>
        <v>0</v>
      </c>
      <c r="F13" s="33">
        <f>'Agile AR Aging &lt;-INPUT'!E30</f>
        <v>0</v>
      </c>
      <c r="G13" s="33">
        <f>'Agile AR Aging &lt;-INPUT'!F30</f>
        <v>0</v>
      </c>
      <c r="H13" s="33">
        <f>'Agile AR Aging &lt;-INPUT'!G30</f>
        <v>0</v>
      </c>
      <c r="I13" s="33">
        <f>'Agile AR Aging &lt;-INPUT'!H30</f>
        <v>0</v>
      </c>
      <c r="J13" s="33">
        <f>'Agile AR Aging &lt;-INPUT'!I30</f>
        <v>0</v>
      </c>
      <c r="K13" s="33">
        <f>'Agile AR Aging &lt;-INPUT'!J30</f>
        <v>0</v>
      </c>
      <c r="L13" s="9">
        <f t="shared" si="0"/>
        <v>0</v>
      </c>
      <c r="N13" s="117"/>
      <c r="P13" s="68"/>
    </row>
    <row r="14" spans="3:17" x14ac:dyDescent="0.25">
      <c r="C14" s="1" t="s">
        <v>5</v>
      </c>
      <c r="D14" s="33">
        <f>'Agile AR Aging &lt;-INPUT'!C31</f>
        <v>0</v>
      </c>
      <c r="E14" s="33">
        <f>'Agile AR Aging &lt;-INPUT'!D31</f>
        <v>0</v>
      </c>
      <c r="F14" s="33">
        <f>'Agile AR Aging &lt;-INPUT'!E31</f>
        <v>0</v>
      </c>
      <c r="G14" s="33">
        <f>'Agile AR Aging &lt;-INPUT'!F31</f>
        <v>0</v>
      </c>
      <c r="H14" s="33">
        <f>'Agile AR Aging &lt;-INPUT'!G31</f>
        <v>0</v>
      </c>
      <c r="I14" s="33">
        <f>'Agile AR Aging &lt;-INPUT'!H31</f>
        <v>0</v>
      </c>
      <c r="J14" s="33">
        <f>'Agile AR Aging &lt;-INPUT'!I31</f>
        <v>0</v>
      </c>
      <c r="K14" s="33">
        <f>'Agile AR Aging &lt;-INPUT'!J31</f>
        <v>0</v>
      </c>
      <c r="L14" s="9">
        <f t="shared" si="0"/>
        <v>0</v>
      </c>
      <c r="N14" s="117"/>
      <c r="P14" s="68"/>
    </row>
    <row r="15" spans="3:17" x14ac:dyDescent="0.25">
      <c r="C15" s="1" t="s">
        <v>84</v>
      </c>
      <c r="D15" s="33">
        <f>'Agile AR Aging &lt;-INPUT'!C32</f>
        <v>0</v>
      </c>
      <c r="E15" s="33">
        <f>'Agile AR Aging &lt;-INPUT'!D32</f>
        <v>0</v>
      </c>
      <c r="F15" s="33">
        <f>'Agile AR Aging &lt;-INPUT'!E32</f>
        <v>0</v>
      </c>
      <c r="G15" s="33">
        <f>'Agile AR Aging &lt;-INPUT'!F32</f>
        <v>0</v>
      </c>
      <c r="H15" s="33">
        <f>'Agile AR Aging &lt;-INPUT'!G32</f>
        <v>0</v>
      </c>
      <c r="I15" s="33">
        <f>'Agile AR Aging &lt;-INPUT'!H32</f>
        <v>0</v>
      </c>
      <c r="J15" s="33">
        <f>'Agile AR Aging &lt;-INPUT'!I32</f>
        <v>0</v>
      </c>
      <c r="K15" s="33">
        <f>'Agile AR Aging &lt;-INPUT'!J32</f>
        <v>15</v>
      </c>
      <c r="L15" s="9">
        <f t="shared" si="0"/>
        <v>15</v>
      </c>
      <c r="N15" s="117"/>
      <c r="P15" s="68"/>
    </row>
    <row r="16" spans="3:17" x14ac:dyDescent="0.25">
      <c r="C16" s="1" t="s">
        <v>4</v>
      </c>
      <c r="D16" s="33">
        <f>'Agile AR Aging &lt;-INPUT'!C33</f>
        <v>0</v>
      </c>
      <c r="E16" s="33">
        <f>'Agile AR Aging &lt;-INPUT'!D33</f>
        <v>0</v>
      </c>
      <c r="F16" s="33">
        <f>'Agile AR Aging &lt;-INPUT'!E33</f>
        <v>0</v>
      </c>
      <c r="G16" s="33">
        <f>'Agile AR Aging &lt;-INPUT'!F33</f>
        <v>0</v>
      </c>
      <c r="H16" s="33">
        <f>'Agile AR Aging &lt;-INPUT'!G33</f>
        <v>0</v>
      </c>
      <c r="I16" s="33">
        <f>'Agile AR Aging &lt;-INPUT'!H33</f>
        <v>0</v>
      </c>
      <c r="J16" s="33">
        <f>'Agile AR Aging &lt;-INPUT'!I33</f>
        <v>0</v>
      </c>
      <c r="K16" s="33">
        <f>'Agile AR Aging &lt;-INPUT'!J33</f>
        <v>-101.52000000000001</v>
      </c>
      <c r="L16" s="9">
        <f t="shared" si="0"/>
        <v>-101.52000000000001</v>
      </c>
      <c r="N16" s="117"/>
      <c r="P16" s="68"/>
    </row>
    <row r="17" spans="1:16" x14ac:dyDescent="0.25">
      <c r="C17" s="1" t="s">
        <v>51</v>
      </c>
      <c r="D17" s="33">
        <f>'Agile AR Aging &lt;-INPUT'!C34</f>
        <v>0</v>
      </c>
      <c r="E17" s="33">
        <f>'Agile AR Aging &lt;-INPUT'!D34</f>
        <v>0</v>
      </c>
      <c r="F17" s="33">
        <f>'Agile AR Aging &lt;-INPUT'!E34</f>
        <v>0</v>
      </c>
      <c r="G17" s="33">
        <f>'Agile AR Aging &lt;-INPUT'!F34</f>
        <v>0</v>
      </c>
      <c r="H17" s="33">
        <f>'Agile AR Aging &lt;-INPUT'!G34</f>
        <v>0</v>
      </c>
      <c r="I17" s="33">
        <f>'Agile AR Aging &lt;-INPUT'!H34</f>
        <v>0</v>
      </c>
      <c r="J17" s="33">
        <f>'Agile AR Aging &lt;-INPUT'!I34</f>
        <v>0</v>
      </c>
      <c r="K17" s="33">
        <f>'Agile AR Aging &lt;-INPUT'!J34</f>
        <v>0</v>
      </c>
      <c r="L17" s="9">
        <f t="shared" si="0"/>
        <v>0</v>
      </c>
      <c r="N17" s="117"/>
      <c r="P17" s="68"/>
    </row>
    <row r="18" spans="1:16" x14ac:dyDescent="0.25">
      <c r="C18" s="1" t="s">
        <v>85</v>
      </c>
      <c r="D18" s="33">
        <f>'Agile AR Aging &lt;-INPUT'!C36</f>
        <v>0</v>
      </c>
      <c r="E18" s="33">
        <f>'Agile AR Aging &lt;-INPUT'!D36</f>
        <v>0</v>
      </c>
      <c r="F18" s="33">
        <f>'Agile AR Aging &lt;-INPUT'!E36</f>
        <v>0</v>
      </c>
      <c r="G18" s="33">
        <f>'Agile AR Aging &lt;-INPUT'!F36</f>
        <v>0</v>
      </c>
      <c r="H18" s="33">
        <f>'Agile AR Aging &lt;-INPUT'!G36</f>
        <v>0</v>
      </c>
      <c r="I18" s="33">
        <f>'Agile AR Aging &lt;-INPUT'!H36</f>
        <v>0</v>
      </c>
      <c r="J18" s="33">
        <f>'Agile AR Aging &lt;-INPUT'!I36</f>
        <v>0</v>
      </c>
      <c r="K18" s="33">
        <f>'Agile AR Aging &lt;-INPUT'!J36</f>
        <v>0</v>
      </c>
      <c r="L18" s="9">
        <f t="shared" si="0"/>
        <v>0</v>
      </c>
      <c r="N18" s="117"/>
      <c r="P18" s="68"/>
    </row>
    <row r="19" spans="1:16" x14ac:dyDescent="0.25">
      <c r="C19" s="1" t="s">
        <v>2</v>
      </c>
      <c r="D19" s="33">
        <f>'Agile AR Aging &lt;-INPUT'!C37</f>
        <v>-12078.84</v>
      </c>
      <c r="E19" s="33">
        <f>'Agile AR Aging &lt;-INPUT'!D37</f>
        <v>0</v>
      </c>
      <c r="F19" s="33">
        <f>'Agile AR Aging &lt;-INPUT'!E37</f>
        <v>0</v>
      </c>
      <c r="G19" s="33">
        <f>'Agile AR Aging &lt;-INPUT'!F37</f>
        <v>0</v>
      </c>
      <c r="H19" s="33">
        <f>'Agile AR Aging &lt;-INPUT'!G37</f>
        <v>0</v>
      </c>
      <c r="I19" s="33">
        <f>'Agile AR Aging &lt;-INPUT'!H37</f>
        <v>0</v>
      </c>
      <c r="J19" s="33">
        <f>'Agile AR Aging &lt;-INPUT'!I37</f>
        <v>0</v>
      </c>
      <c r="K19" s="33">
        <f>'Agile AR Aging &lt;-INPUT'!J37</f>
        <v>-238.08999999999997</v>
      </c>
      <c r="L19" s="9">
        <f t="shared" si="0"/>
        <v>-12316.93</v>
      </c>
      <c r="N19" s="117"/>
      <c r="P19" s="68"/>
    </row>
    <row r="20" spans="1:16" x14ac:dyDescent="0.25">
      <c r="C20" s="1" t="s">
        <v>86</v>
      </c>
      <c r="D20" s="33">
        <f>'Agile AR Aging &lt;-INPUT'!C38</f>
        <v>0</v>
      </c>
      <c r="E20" s="33">
        <f>'Agile AR Aging &lt;-INPUT'!D38</f>
        <v>0</v>
      </c>
      <c r="F20" s="33">
        <f>'Agile AR Aging &lt;-INPUT'!E38</f>
        <v>0</v>
      </c>
      <c r="G20" s="33">
        <f>'Agile AR Aging &lt;-INPUT'!F38</f>
        <v>0</v>
      </c>
      <c r="H20" s="33">
        <f>'Agile AR Aging &lt;-INPUT'!G38</f>
        <v>0</v>
      </c>
      <c r="I20" s="33">
        <f>'Agile AR Aging &lt;-INPUT'!H38</f>
        <v>0</v>
      </c>
      <c r="J20" s="33">
        <f>'Agile AR Aging &lt;-INPUT'!I38</f>
        <v>0</v>
      </c>
      <c r="K20" s="33">
        <f>'Agile AR Aging &lt;-INPUT'!J38</f>
        <v>8.25</v>
      </c>
      <c r="L20" s="9">
        <f>SUM(D20:K20)</f>
        <v>8.25</v>
      </c>
      <c r="N20" s="117"/>
      <c r="P20" s="68"/>
    </row>
    <row r="21" spans="1:16" x14ac:dyDescent="0.25">
      <c r="C21" s="1" t="s">
        <v>29</v>
      </c>
      <c r="D21" s="33">
        <f>'Agile AR Aging &lt;-INPUT'!C39</f>
        <v>0</v>
      </c>
      <c r="E21" s="33">
        <f>'Agile AR Aging &lt;-INPUT'!D39</f>
        <v>0</v>
      </c>
      <c r="F21" s="33">
        <f>'Agile AR Aging &lt;-INPUT'!E39</f>
        <v>0</v>
      </c>
      <c r="G21" s="33">
        <f>'Agile AR Aging &lt;-INPUT'!F39</f>
        <v>0</v>
      </c>
      <c r="H21" s="33">
        <f>'Agile AR Aging &lt;-INPUT'!G39</f>
        <v>0</v>
      </c>
      <c r="I21" s="33">
        <f>'Agile AR Aging &lt;-INPUT'!H39</f>
        <v>0</v>
      </c>
      <c r="J21" s="33">
        <f>'Agile AR Aging &lt;-INPUT'!I39</f>
        <v>0</v>
      </c>
      <c r="K21" s="33">
        <f>'Agile AR Aging &lt;-INPUT'!J39</f>
        <v>-384.25</v>
      </c>
      <c r="L21" s="9">
        <f>SUM(D21:K21)</f>
        <v>-384.25</v>
      </c>
      <c r="N21" s="117"/>
      <c r="P21" s="68"/>
    </row>
    <row r="22" spans="1:16" x14ac:dyDescent="0.25">
      <c r="C22" s="1" t="s">
        <v>52</v>
      </c>
      <c r="D22" s="33">
        <f>'Agile AR Aging &lt;-INPUT'!C41</f>
        <v>0</v>
      </c>
      <c r="E22" s="33">
        <f>'Agile AR Aging &lt;-INPUT'!D41</f>
        <v>0</v>
      </c>
      <c r="F22" s="33">
        <f>'Agile AR Aging &lt;-INPUT'!E41</f>
        <v>0</v>
      </c>
      <c r="G22" s="33">
        <f>'Agile AR Aging &lt;-INPUT'!F41</f>
        <v>0</v>
      </c>
      <c r="H22" s="33">
        <f>'Agile AR Aging &lt;-INPUT'!G41</f>
        <v>0</v>
      </c>
      <c r="I22" s="33">
        <f>'Agile AR Aging &lt;-INPUT'!H41</f>
        <v>0</v>
      </c>
      <c r="J22" s="33">
        <f>'Agile AR Aging &lt;-INPUT'!I41</f>
        <v>0</v>
      </c>
      <c r="K22" s="33">
        <f>'Agile AR Aging &lt;-INPUT'!J41</f>
        <v>0</v>
      </c>
      <c r="L22" s="9">
        <f t="shared" si="0"/>
        <v>0</v>
      </c>
      <c r="N22" s="117"/>
      <c r="P22" s="68"/>
    </row>
    <row r="23" spans="1:16" x14ac:dyDescent="0.25">
      <c r="C23" s="1" t="s">
        <v>1</v>
      </c>
      <c r="D23" s="32">
        <f>'Agile AR Aging &lt;-INPUT'!C42</f>
        <v>0</v>
      </c>
      <c r="E23" s="32">
        <f>'Agile AR Aging &lt;-INPUT'!D42</f>
        <v>0</v>
      </c>
      <c r="F23" s="32">
        <f>'Agile AR Aging &lt;-INPUT'!E42</f>
        <v>0</v>
      </c>
      <c r="G23" s="32">
        <f>'Agile AR Aging &lt;-INPUT'!F42</f>
        <v>0</v>
      </c>
      <c r="H23" s="32">
        <f>'Agile AR Aging &lt;-INPUT'!G42</f>
        <v>0</v>
      </c>
      <c r="I23" s="32">
        <f>'Agile AR Aging &lt;-INPUT'!H42</f>
        <v>0</v>
      </c>
      <c r="J23" s="32">
        <f>'Agile AR Aging &lt;-INPUT'!I42</f>
        <v>0</v>
      </c>
      <c r="K23" s="32">
        <f>'Agile AR Aging &lt;-INPUT'!J42</f>
        <v>-1388.7000000000003</v>
      </c>
      <c r="L23" s="3">
        <f t="shared" si="0"/>
        <v>-1388.7000000000003</v>
      </c>
      <c r="N23" s="117"/>
      <c r="P23" s="68"/>
    </row>
    <row r="24" spans="1:16" x14ac:dyDescent="0.25">
      <c r="C24" s="1" t="s">
        <v>0</v>
      </c>
      <c r="D24" s="10">
        <f t="shared" ref="D24:L24" si="1">SUM(D7:D23)</f>
        <v>-12078.84</v>
      </c>
      <c r="E24" s="10">
        <f t="shared" si="1"/>
        <v>0</v>
      </c>
      <c r="F24" s="10">
        <f t="shared" si="1"/>
        <v>0</v>
      </c>
      <c r="G24" s="10">
        <f t="shared" si="1"/>
        <v>0</v>
      </c>
      <c r="H24" s="10">
        <f t="shared" si="1"/>
        <v>0</v>
      </c>
      <c r="I24" s="10">
        <f t="shared" si="1"/>
        <v>0</v>
      </c>
      <c r="J24" s="10">
        <f t="shared" si="1"/>
        <v>0</v>
      </c>
      <c r="K24" s="10">
        <f t="shared" si="1"/>
        <v>-2954.6000000000004</v>
      </c>
      <c r="L24" s="10">
        <f t="shared" si="1"/>
        <v>-15033.44</v>
      </c>
      <c r="N24" s="108"/>
    </row>
    <row r="25" spans="1:16" ht="15.75" thickBot="1" x14ac:dyDescent="0.3">
      <c r="C25" s="1"/>
      <c r="D25" s="9"/>
      <c r="E25" s="9"/>
      <c r="F25" s="9"/>
      <c r="G25" s="9"/>
      <c r="H25" s="9"/>
      <c r="I25" s="9"/>
      <c r="J25" s="9"/>
      <c r="K25" s="9"/>
      <c r="L25" s="9"/>
      <c r="N25" s="108"/>
    </row>
    <row r="26" spans="1:16" ht="15.75" thickBot="1" x14ac:dyDescent="0.3">
      <c r="C26" s="156" t="s">
        <v>250</v>
      </c>
      <c r="D26" s="157"/>
      <c r="E26" s="157"/>
      <c r="F26" s="157"/>
      <c r="G26" s="157"/>
      <c r="H26" s="157"/>
      <c r="I26" s="157"/>
      <c r="J26" s="157"/>
      <c r="K26" s="157"/>
      <c r="L26" s="158"/>
      <c r="N26" s="134" t="s">
        <v>266</v>
      </c>
      <c r="O26" s="135"/>
    </row>
    <row r="27" spans="1:16" x14ac:dyDescent="0.25">
      <c r="C27" s="4" t="s">
        <v>16</v>
      </c>
      <c r="D27" s="5" t="s">
        <v>15</v>
      </c>
      <c r="E27" s="5" t="s">
        <v>14</v>
      </c>
      <c r="F27" s="5" t="s">
        <v>13</v>
      </c>
      <c r="G27" s="5" t="s">
        <v>12</v>
      </c>
      <c r="H27" s="5" t="s">
        <v>94</v>
      </c>
      <c r="I27" s="5" t="s">
        <v>95</v>
      </c>
      <c r="J27" s="5" t="s">
        <v>38</v>
      </c>
      <c r="K27" s="5" t="s">
        <v>9</v>
      </c>
      <c r="L27" s="5" t="s">
        <v>0</v>
      </c>
      <c r="N27" s="108"/>
    </row>
    <row r="28" spans="1:16" x14ac:dyDescent="0.25">
      <c r="B28" t="s">
        <v>470</v>
      </c>
      <c r="C28" s="1" t="s">
        <v>49</v>
      </c>
      <c r="D28" s="112">
        <f>SUMIFS(CurrentMonthAgingData!$AN:$AN,CurrentMonthAgingData!$BC:$BC,"=1",CurrentMonthAgingData!$A:$A,"=Procedure",CurrentMonthAgingData!$BF:$BF,"&lt;"&amp;0,CurrentMonthAgingData!$AP:$AP,$B28,CurrentMonthAgingData!$BA:$BA,$C$2)</f>
        <v>0</v>
      </c>
      <c r="E28" s="112">
        <f>SUMIFS(CurrentMonthAgingData!$AN:$AN,CurrentMonthAgingData!$BC:$BC,"=2",CurrentMonthAgingData!$A:$A,"=Procedure",CurrentMonthAgingData!$BF:$BF,"&lt;"&amp;0,CurrentMonthAgingData!$AP:$AP,$B28,CurrentMonthAgingData!$BA:$BA,$C$2)</f>
        <v>0</v>
      </c>
      <c r="F28" s="112">
        <f>SUMIFS(CurrentMonthAgingData!$AN:$AN,CurrentMonthAgingData!$BC:$BC,"=3",CurrentMonthAgingData!$A:$A,"=Procedure",CurrentMonthAgingData!$BF:$BF,"&lt;"&amp;0,CurrentMonthAgingData!$AP:$AP,$B28,CurrentMonthAgingData!$BA:$BA,$C$2)</f>
        <v>0</v>
      </c>
      <c r="G28" s="112">
        <f>SUMIFS(CurrentMonthAgingData!$AN:$AN,CurrentMonthAgingData!$BC:$BC,"=4",CurrentMonthAgingData!$A:$A,"=Procedure",CurrentMonthAgingData!$BF:$BF,"&lt;"&amp;0,CurrentMonthAgingData!$AP:$AP,$B28,CurrentMonthAgingData!$BA:$BA,$C$2)</f>
        <v>0</v>
      </c>
      <c r="H28" s="112">
        <f>SUMIFS(CurrentMonthAgingData!$AN:$AN,CurrentMonthAgingData!$BC:$BC,"=5",CurrentMonthAgingData!$A:$A,"=Procedure",CurrentMonthAgingData!$BF:$BF,"&lt;"&amp;0,CurrentMonthAgingData!$AP:$AP,$B28,CurrentMonthAgingData!$BA:$BA,$C$2)</f>
        <v>0</v>
      </c>
      <c r="I28" s="112">
        <f>SUMIFS(CurrentMonthAgingData!$AN:$AN,CurrentMonthAgingData!$BC:$BC,"=6",CurrentMonthAgingData!$A:$A,"=Procedure",CurrentMonthAgingData!$BF:$BF,"&lt;"&amp;0,CurrentMonthAgingData!$AP:$AP,$B28,CurrentMonthAgingData!$BA:$BA,$C$2)</f>
        <v>0</v>
      </c>
      <c r="J28" s="112">
        <f>SUMIFS(CurrentMonthAgingData!$AN:$AN,CurrentMonthAgingData!$BC:$BC,"=7",CurrentMonthAgingData!$A:$A,"=Procedure",CurrentMonthAgingData!$BF:$BF,"&lt;"&amp;0,CurrentMonthAgingData!$AP:$AP,$B28,CurrentMonthAgingData!$BA:$BA,$C$2)</f>
        <v>0</v>
      </c>
      <c r="K28" s="112">
        <f>SUMIFS(CurrentMonthAgingData!$AN:$AN,CurrentMonthAgingData!$BC:$BC,"=8",CurrentMonthAgingData!$A:$A,"=Procedure",CurrentMonthAgingData!$BF:$BF,"&lt;"&amp;0,CurrentMonthAgingData!$AP:$AP,$B28,CurrentMonthAgingData!$BA:$BA,$C$2)</f>
        <v>0</v>
      </c>
      <c r="L28" s="2">
        <f>SUM(D28:K28)</f>
        <v>0</v>
      </c>
      <c r="N28" s="108"/>
    </row>
    <row r="29" spans="1:16" x14ac:dyDescent="0.25">
      <c r="B29" t="s">
        <v>259</v>
      </c>
      <c r="C29" s="1" t="s">
        <v>8</v>
      </c>
      <c r="D29" s="112">
        <f>SUMIFS(CurrentMonthAgingData!$AN:$AN,CurrentMonthAgingData!$BC:$BC,"=1",CurrentMonthAgingData!$A:$A,"=Procedure",CurrentMonthAgingData!$BF:$BF,"&lt;"&amp;0,CurrentMonthAgingData!$AP:$AP,$B29,CurrentMonthAgingData!$BA:$BA,$C$2)</f>
        <v>0</v>
      </c>
      <c r="E29" s="112">
        <f>SUMIFS(CurrentMonthAgingData!$AN:$AN,CurrentMonthAgingData!$BC:$BC,"=2",CurrentMonthAgingData!$A:$A,"=Procedure",CurrentMonthAgingData!$BF:$BF,"&lt;"&amp;0,CurrentMonthAgingData!$AP:$AP,$B29,CurrentMonthAgingData!$BA:$BA,$C$2)</f>
        <v>0</v>
      </c>
      <c r="F29" s="112">
        <f>SUMIFS(CurrentMonthAgingData!$AN:$AN,CurrentMonthAgingData!$BC:$BC,"=3",CurrentMonthAgingData!$A:$A,"=Procedure",CurrentMonthAgingData!$BF:$BF,"&lt;"&amp;0,CurrentMonthAgingData!$AP:$AP,$B29,CurrentMonthAgingData!$BA:$BA,$C$2)</f>
        <v>0</v>
      </c>
      <c r="G29" s="112">
        <f>SUMIFS(CurrentMonthAgingData!$AN:$AN,CurrentMonthAgingData!$BC:$BC,"=4",CurrentMonthAgingData!$A:$A,"=Procedure",CurrentMonthAgingData!$BF:$BF,"&lt;"&amp;0,CurrentMonthAgingData!$AP:$AP,$B29,CurrentMonthAgingData!$BA:$BA,$C$2)</f>
        <v>0</v>
      </c>
      <c r="H29" s="112">
        <f>SUMIFS(CurrentMonthAgingData!$AN:$AN,CurrentMonthAgingData!$BC:$BC,"=5",CurrentMonthAgingData!$A:$A,"=Procedure",CurrentMonthAgingData!$BF:$BF,"&lt;"&amp;0,CurrentMonthAgingData!$AP:$AP,$B29,CurrentMonthAgingData!$BA:$BA,$C$2)</f>
        <v>0</v>
      </c>
      <c r="I29" s="112">
        <f>SUMIFS(CurrentMonthAgingData!$AN:$AN,CurrentMonthAgingData!$BC:$BC,"=6",CurrentMonthAgingData!$A:$A,"=Procedure",CurrentMonthAgingData!$BF:$BF,"&lt;"&amp;0,CurrentMonthAgingData!$AP:$AP,$B29,CurrentMonthAgingData!$BA:$BA,$C$2)</f>
        <v>0</v>
      </c>
      <c r="J29" s="112">
        <f>SUMIFS(CurrentMonthAgingData!$AN:$AN,CurrentMonthAgingData!$BC:$BC,"=7",CurrentMonthAgingData!$A:$A,"=Procedure",CurrentMonthAgingData!$BF:$BF,"&lt;"&amp;0,CurrentMonthAgingData!$AP:$AP,$B29,CurrentMonthAgingData!$BA:$BA,$C$2)</f>
        <v>0</v>
      </c>
      <c r="K29" s="112">
        <f>SUMIFS(CurrentMonthAgingData!$AN:$AN,CurrentMonthAgingData!$BC:$BC,"=8",CurrentMonthAgingData!$A:$A,"=Procedure",CurrentMonthAgingData!$BF:$BF,"&lt;"&amp;0,CurrentMonthAgingData!$AP:$AP,$B29,CurrentMonthAgingData!$BA:$BA,$C$2)</f>
        <v>-401.87</v>
      </c>
      <c r="L29" s="2">
        <f t="shared" ref="L29:L44" si="2">SUM(D29:K29)</f>
        <v>-401.87</v>
      </c>
      <c r="N29" s="108"/>
    </row>
    <row r="30" spans="1:16" x14ac:dyDescent="0.25">
      <c r="B30" t="s">
        <v>265</v>
      </c>
      <c r="C30" s="1" t="s">
        <v>7</v>
      </c>
      <c r="D30" s="112">
        <f>SUMIFS(CurrentMonthAgingData!$AN:$AN,CurrentMonthAgingData!$BC:$BC,"=1",CurrentMonthAgingData!$A:$A,"=Procedure",CurrentMonthAgingData!$BF:$BF,"&lt;"&amp;0,CurrentMonthAgingData!$AP:$AP,$B30,CurrentMonthAgingData!$BA:$BA,$C$2)</f>
        <v>0</v>
      </c>
      <c r="E30" s="112">
        <f>SUMIFS(CurrentMonthAgingData!$AN:$AN,CurrentMonthAgingData!$BC:$BC,"=2",CurrentMonthAgingData!$A:$A,"=Procedure",CurrentMonthAgingData!$BF:$BF,"&lt;"&amp;0,CurrentMonthAgingData!$AP:$AP,$B30,CurrentMonthAgingData!$BA:$BA,$C$2)</f>
        <v>0</v>
      </c>
      <c r="F30" s="112">
        <f>SUMIFS(CurrentMonthAgingData!$AN:$AN,CurrentMonthAgingData!$BC:$BC,"=3",CurrentMonthAgingData!$A:$A,"=Procedure",CurrentMonthAgingData!$BF:$BF,"&lt;"&amp;0,CurrentMonthAgingData!$AP:$AP,$B30,CurrentMonthAgingData!$BA:$BA,$C$2)</f>
        <v>0</v>
      </c>
      <c r="G30" s="112">
        <f>SUMIFS(CurrentMonthAgingData!$AN:$AN,CurrentMonthAgingData!$BC:$BC,"=4",CurrentMonthAgingData!$A:$A,"=Procedure",CurrentMonthAgingData!$BF:$BF,"&lt;"&amp;0,CurrentMonthAgingData!$AP:$AP,$B30,CurrentMonthAgingData!$BA:$BA,$C$2)</f>
        <v>0</v>
      </c>
      <c r="H30" s="112">
        <f>SUMIFS(CurrentMonthAgingData!$AN:$AN,CurrentMonthAgingData!$BC:$BC,"=5",CurrentMonthAgingData!$A:$A,"=Procedure",CurrentMonthAgingData!$BF:$BF,"&lt;"&amp;0,CurrentMonthAgingData!$AP:$AP,$B30,CurrentMonthAgingData!$BA:$BA,$C$2)</f>
        <v>0</v>
      </c>
      <c r="I30" s="112">
        <f>SUMIFS(CurrentMonthAgingData!$AN:$AN,CurrentMonthAgingData!$BC:$BC,"=6",CurrentMonthAgingData!$A:$A,"=Procedure",CurrentMonthAgingData!$BF:$BF,"&lt;"&amp;0,CurrentMonthAgingData!$AP:$AP,$B30,CurrentMonthAgingData!$BA:$BA,$C$2)</f>
        <v>0</v>
      </c>
      <c r="J30" s="112">
        <f>SUMIFS(CurrentMonthAgingData!$AN:$AN,CurrentMonthAgingData!$BC:$BC,"=7",CurrentMonthAgingData!$A:$A,"=Procedure",CurrentMonthAgingData!$BF:$BF,"&lt;"&amp;0,CurrentMonthAgingData!$AP:$AP,$B30,CurrentMonthAgingData!$BA:$BA,$C$2)</f>
        <v>0</v>
      </c>
      <c r="K30" s="112">
        <f>SUMIFS(CurrentMonthAgingData!$AN:$AN,CurrentMonthAgingData!$BC:$BC,"=8",CurrentMonthAgingData!$A:$A,"=Procedure",CurrentMonthAgingData!$BF:$BF,"&lt;"&amp;0,CurrentMonthAgingData!$AP:$AP,$B30,CurrentMonthAgingData!$BA:$BA,$C$2)</f>
        <v>-436.28</v>
      </c>
      <c r="L30" s="2">
        <f t="shared" si="2"/>
        <v>-436.28</v>
      </c>
      <c r="N30" s="108"/>
    </row>
    <row r="31" spans="1:16" x14ac:dyDescent="0.25">
      <c r="B31" t="s">
        <v>471</v>
      </c>
      <c r="C31" s="1" t="s">
        <v>42</v>
      </c>
      <c r="D31" s="112">
        <f>SUMIFS(CurrentMonthAgingData!$AN:$AN,CurrentMonthAgingData!$BC:$BC,"=1",CurrentMonthAgingData!$A:$A,"=Procedure",CurrentMonthAgingData!$BF:$BF,"&lt;"&amp;0,CurrentMonthAgingData!$AP:$AP,$B31,CurrentMonthAgingData!$BA:$BA,$C$2)</f>
        <v>0</v>
      </c>
      <c r="E31" s="112">
        <f>SUMIFS(CurrentMonthAgingData!$AN:$AN,CurrentMonthAgingData!$BC:$BC,"=2",CurrentMonthAgingData!$A:$A,"=Procedure",CurrentMonthAgingData!$BF:$BF,"&lt;"&amp;0,CurrentMonthAgingData!$AP:$AP,$B31,CurrentMonthAgingData!$BA:$BA,$C$2)</f>
        <v>0</v>
      </c>
      <c r="F31" s="112">
        <f>SUMIFS(CurrentMonthAgingData!$AN:$AN,CurrentMonthAgingData!$BC:$BC,"=3",CurrentMonthAgingData!$A:$A,"=Procedure",CurrentMonthAgingData!$BF:$BF,"&lt;"&amp;0,CurrentMonthAgingData!$AP:$AP,$B31,CurrentMonthAgingData!$BA:$BA,$C$2)</f>
        <v>0</v>
      </c>
      <c r="G31" s="112">
        <f>SUMIFS(CurrentMonthAgingData!$AN:$AN,CurrentMonthAgingData!$BC:$BC,"=4",CurrentMonthAgingData!$A:$A,"=Procedure",CurrentMonthAgingData!$BF:$BF,"&lt;"&amp;0,CurrentMonthAgingData!$AP:$AP,$B31,CurrentMonthAgingData!$BA:$BA,$C$2)</f>
        <v>0</v>
      </c>
      <c r="H31" s="112">
        <f>SUMIFS(CurrentMonthAgingData!$AN:$AN,CurrentMonthAgingData!$BC:$BC,"=5",CurrentMonthAgingData!$A:$A,"=Procedure",CurrentMonthAgingData!$BF:$BF,"&lt;"&amp;0,CurrentMonthAgingData!$AP:$AP,$B31,CurrentMonthAgingData!$BA:$BA,$C$2)</f>
        <v>0</v>
      </c>
      <c r="I31" s="112">
        <f>SUMIFS(CurrentMonthAgingData!$AN:$AN,CurrentMonthAgingData!$BC:$BC,"=6",CurrentMonthAgingData!$A:$A,"=Procedure",CurrentMonthAgingData!$BF:$BF,"&lt;"&amp;0,CurrentMonthAgingData!$AP:$AP,$B31,CurrentMonthAgingData!$BA:$BA,$C$2)</f>
        <v>0</v>
      </c>
      <c r="J31" s="112">
        <f>SUMIFS(CurrentMonthAgingData!$AN:$AN,CurrentMonthAgingData!$BC:$BC,"=7",CurrentMonthAgingData!$A:$A,"=Procedure",CurrentMonthAgingData!$BF:$BF,"&lt;"&amp;0,CurrentMonthAgingData!$AP:$AP,$B31,CurrentMonthAgingData!$BA:$BA,$C$2)</f>
        <v>0</v>
      </c>
      <c r="K31" s="112">
        <f>SUMIFS(CurrentMonthAgingData!$AN:$AN,CurrentMonthAgingData!$BC:$BC,"=8",CurrentMonthAgingData!$A:$A,"=Procedure",CurrentMonthAgingData!$BF:$BF,"&lt;"&amp;0,CurrentMonthAgingData!$AP:$AP,$B31,CurrentMonthAgingData!$BA:$BA,$C$2)</f>
        <v>0</v>
      </c>
      <c r="L31" s="2">
        <f t="shared" si="2"/>
        <v>0</v>
      </c>
      <c r="N31" s="108"/>
    </row>
    <row r="32" spans="1:16" x14ac:dyDescent="0.25">
      <c r="A32" t="s">
        <v>332</v>
      </c>
      <c r="B32" t="s">
        <v>260</v>
      </c>
      <c r="C32" s="1" t="s">
        <v>6</v>
      </c>
      <c r="D32" s="112">
        <f>SUMIFS(CurrentMonthAgingData!$AN:$AN,CurrentMonthAgingData!$BC:$BC,"=1",CurrentMonthAgingData!$A:$A,"=Procedure",CurrentMonthAgingData!$BF:$BF,"&lt;"&amp;0,CurrentMonthAgingData!$AP:$AP,$B32,CurrentMonthAgingData!$BA:$BA,$C$2)+SUMIFS(CurrentMonthAgingData!$AN:$AN,CurrentMonthAgingData!$BC:$BC,"=1",CurrentMonthAgingData!$A:$A,"=Procedure",CurrentMonthAgingData!$BF:$BF,"&lt;"&amp;0,CurrentMonthAgingData!$AP:$AP,$A32,CurrentMonthAgingData!$BA:$BA,$C$2)</f>
        <v>0</v>
      </c>
      <c r="E32" s="112">
        <f>SUMIFS(CurrentMonthAgingData!$AN:$AN,CurrentMonthAgingData!$BC:$BC,"=2",CurrentMonthAgingData!$A:$A,"=Procedure",CurrentMonthAgingData!$BF:$BF,"&lt;"&amp;0,CurrentMonthAgingData!$AP:$AP,$B32,CurrentMonthAgingData!$BA:$BA,$C$2)+SUMIFS(CurrentMonthAgingData!$AN:$AN,CurrentMonthAgingData!$BC:$BC,"=2",CurrentMonthAgingData!$A:$A,"=Procedure",CurrentMonthAgingData!$BF:$BF,"&lt;"&amp;0,CurrentMonthAgingData!$AP:$AP,$A32,CurrentMonthAgingData!$BA:$BA,$C$2)</f>
        <v>0</v>
      </c>
      <c r="F32" s="112">
        <f>SUMIFS(CurrentMonthAgingData!$AN:$AN,CurrentMonthAgingData!$BC:$BC,"=3",CurrentMonthAgingData!$A:$A,"=Procedure",CurrentMonthAgingData!$BF:$BF,"&lt;"&amp;0,CurrentMonthAgingData!$AP:$AP,$B32,CurrentMonthAgingData!$BA:$BA,$C$2)+SUMIFS(CurrentMonthAgingData!$AN:$AN,CurrentMonthAgingData!$BC:$BC,"=3",CurrentMonthAgingData!$A:$A,"=Procedure",CurrentMonthAgingData!$BF:$BF,"&lt;"&amp;0,CurrentMonthAgingData!$AP:$AP,$A32,CurrentMonthAgingData!$BA:$BA,$C$2)</f>
        <v>0</v>
      </c>
      <c r="G32" s="112">
        <f>SUMIFS(CurrentMonthAgingData!$AN:$AN,CurrentMonthAgingData!$BC:$BC,"=4",CurrentMonthAgingData!$A:$A,"=Procedure",CurrentMonthAgingData!$BF:$BF,"&lt;"&amp;0,CurrentMonthAgingData!$AP:$AP,$B32,CurrentMonthAgingData!$BA:$BA,$C$2)+SUMIFS(CurrentMonthAgingData!$AN:$AN,CurrentMonthAgingData!$BC:$BC,"=4",CurrentMonthAgingData!$A:$A,"=Procedure",CurrentMonthAgingData!$BF:$BF,"&lt;"&amp;0,CurrentMonthAgingData!$AP:$AP,$A32,CurrentMonthAgingData!$BA:$BA,$C$2)</f>
        <v>0</v>
      </c>
      <c r="H32" s="112">
        <f>SUMIFS(CurrentMonthAgingData!$AN:$AN,CurrentMonthAgingData!$BC:$BC,"=5",CurrentMonthAgingData!$A:$A,"=Procedure",CurrentMonthAgingData!$BF:$BF,"&lt;"&amp;0,CurrentMonthAgingData!$AP:$AP,$B32,CurrentMonthAgingData!$BA:$BA,$C$2)+SUMIFS(CurrentMonthAgingData!$AN:$AN,CurrentMonthAgingData!$BC:$BC,"=5",CurrentMonthAgingData!$A:$A,"=Procedure",CurrentMonthAgingData!$BF:$BF,"&lt;"&amp;0,CurrentMonthAgingData!$AP:$AP,$A32,CurrentMonthAgingData!$BA:$BA,$C$2)</f>
        <v>0</v>
      </c>
      <c r="I32" s="112">
        <f>SUMIFS(CurrentMonthAgingData!$AN:$AN,CurrentMonthAgingData!$BC:$BC,"=6",CurrentMonthAgingData!$A:$A,"=Procedure",CurrentMonthAgingData!$BF:$BF,"&lt;"&amp;0,CurrentMonthAgingData!$AP:$AP,$B32,CurrentMonthAgingData!$BA:$BA,$C$2)+SUMIFS(CurrentMonthAgingData!$AN:$AN,CurrentMonthAgingData!$BC:$BC,"=6",CurrentMonthAgingData!$A:$A,"=Procedure",CurrentMonthAgingData!$BF:$BF,"&lt;"&amp;0,CurrentMonthAgingData!$AP:$AP,$A32,CurrentMonthAgingData!$BA:$BA,$C$2)</f>
        <v>0</v>
      </c>
      <c r="J32" s="112">
        <f>SUMIFS(CurrentMonthAgingData!$AN:$AN,CurrentMonthAgingData!$BC:$BC,"=7",CurrentMonthAgingData!$A:$A,"=Procedure",CurrentMonthAgingData!$BF:$BF,"&lt;"&amp;0,CurrentMonthAgingData!$AP:$AP,$B32,CurrentMonthAgingData!$BA:$BA,$C$2)+SUMIFS(CurrentMonthAgingData!$AN:$AN,CurrentMonthAgingData!$BC:$BC,"=7",CurrentMonthAgingData!$A:$A,"=Procedure",CurrentMonthAgingData!$BF:$BF,"&lt;"&amp;0,CurrentMonthAgingData!$AP:$AP,$A32,CurrentMonthAgingData!$BA:$BA,$C$2)</f>
        <v>0</v>
      </c>
      <c r="K32" s="112">
        <f>SUMIFS(CurrentMonthAgingData!$AN:$AN,CurrentMonthAgingData!$BC:$BC,"=8",CurrentMonthAgingData!$A:$A,"=Procedure",CurrentMonthAgingData!$BF:$BF,"&lt;"&amp;0,CurrentMonthAgingData!$AP:$AP,$B32,CurrentMonthAgingData!$BA:$BA,$C$2)+SUMIFS(CurrentMonthAgingData!$AN:$AN,CurrentMonthAgingData!$BC:$BC,"=8",CurrentMonthAgingData!$A:$A,"=Procedure",CurrentMonthAgingData!$BF:$BF,"&lt;"&amp;0,CurrentMonthAgingData!$AP:$AP,$A32,CurrentMonthAgingData!$BA:$BA,$C$2)</f>
        <v>-233.04999999999998</v>
      </c>
      <c r="L32" s="2">
        <f t="shared" si="2"/>
        <v>-233.04999999999998</v>
      </c>
      <c r="N32" s="108"/>
    </row>
    <row r="33" spans="2:14" x14ac:dyDescent="0.25">
      <c r="B33" t="s">
        <v>445</v>
      </c>
      <c r="C33" s="1" t="s">
        <v>50</v>
      </c>
      <c r="D33" s="112">
        <f>SUMIFS(CurrentMonthAgingData!$AN:$AN,CurrentMonthAgingData!$BC:$BC,"=1",CurrentMonthAgingData!$A:$A,"=Procedure",CurrentMonthAgingData!$BF:$BF,"&lt;"&amp;0,CurrentMonthAgingData!$AP:$AP,$B33,CurrentMonthAgingData!$BA:$BA,$C$2)</f>
        <v>0</v>
      </c>
      <c r="E33" s="112">
        <f>SUMIFS(CurrentMonthAgingData!$AN:$AN,CurrentMonthAgingData!$BC:$BC,"=2",CurrentMonthAgingData!$A:$A,"=Procedure",CurrentMonthAgingData!$BF:$BF,"&lt;"&amp;0,CurrentMonthAgingData!$AP:$AP,$B33,CurrentMonthAgingData!$BA:$BA,$C$2)</f>
        <v>0</v>
      </c>
      <c r="F33" s="112">
        <f>SUMIFS(CurrentMonthAgingData!$AN:$AN,CurrentMonthAgingData!$BC:$BC,"=3",CurrentMonthAgingData!$A:$A,"=Procedure",CurrentMonthAgingData!$BF:$BF,"&lt;"&amp;0,CurrentMonthAgingData!$AP:$AP,$B33,CurrentMonthAgingData!$BA:$BA,$C$2)</f>
        <v>0</v>
      </c>
      <c r="G33" s="112">
        <f>SUMIFS(CurrentMonthAgingData!$AN:$AN,CurrentMonthAgingData!$BC:$BC,"=4",CurrentMonthAgingData!$A:$A,"=Procedure",CurrentMonthAgingData!$BF:$BF,"&lt;"&amp;0,CurrentMonthAgingData!$AP:$AP,$B33,CurrentMonthAgingData!$BA:$BA,$C$2)</f>
        <v>0</v>
      </c>
      <c r="H33" s="112">
        <f>SUMIFS(CurrentMonthAgingData!$AN:$AN,CurrentMonthAgingData!$BC:$BC,"=5",CurrentMonthAgingData!$A:$A,"=Procedure",CurrentMonthAgingData!$BF:$BF,"&lt;"&amp;0,CurrentMonthAgingData!$AP:$AP,$B33,CurrentMonthAgingData!$BA:$BA,$C$2)</f>
        <v>0</v>
      </c>
      <c r="I33" s="112">
        <f>SUMIFS(CurrentMonthAgingData!$AN:$AN,CurrentMonthAgingData!$BC:$BC,"=6",CurrentMonthAgingData!$A:$A,"=Procedure",CurrentMonthAgingData!$BF:$BF,"&lt;"&amp;0,CurrentMonthAgingData!$AP:$AP,$B33,CurrentMonthAgingData!$BA:$BA,$C$2)</f>
        <v>0</v>
      </c>
      <c r="J33" s="112">
        <f>SUMIFS(CurrentMonthAgingData!$AN:$AN,CurrentMonthAgingData!$BC:$BC,"=7",CurrentMonthAgingData!$A:$A,"=Procedure",CurrentMonthAgingData!$BF:$BF,"&lt;"&amp;0,CurrentMonthAgingData!$AP:$AP,$B33,CurrentMonthAgingData!$BA:$BA,$C$2)</f>
        <v>0</v>
      </c>
      <c r="K33" s="112">
        <f>SUMIFS(CurrentMonthAgingData!$AN:$AN,CurrentMonthAgingData!$BC:$BC,"=8",CurrentMonthAgingData!$A:$A,"=Procedure",CurrentMonthAgingData!$BF:$BF,"&lt;"&amp;0,CurrentMonthAgingData!$AP:$AP,$B33,CurrentMonthAgingData!$BA:$BA,$C$2)</f>
        <v>0</v>
      </c>
      <c r="L33" s="2">
        <f t="shared" si="2"/>
        <v>0</v>
      </c>
      <c r="N33" s="108"/>
    </row>
    <row r="34" spans="2:14" x14ac:dyDescent="0.25">
      <c r="B34" t="s">
        <v>472</v>
      </c>
      <c r="C34" s="1" t="s">
        <v>89</v>
      </c>
      <c r="D34" s="112">
        <f>SUMIFS(CurrentMonthAgingData!$AN:$AN,CurrentMonthAgingData!$BC:$BC,"=1",CurrentMonthAgingData!$A:$A,"=Procedure",CurrentMonthAgingData!$BF:$BF,"&lt;"&amp;0,CurrentMonthAgingData!$AP:$AP,$B34,CurrentMonthAgingData!$BA:$BA,$C$2)</f>
        <v>0</v>
      </c>
      <c r="E34" s="112">
        <f>SUMIFS(CurrentMonthAgingData!$AN:$AN,CurrentMonthAgingData!$BC:$BC,"=2",CurrentMonthAgingData!$A:$A,"=Procedure",CurrentMonthAgingData!$BF:$BF,"&lt;"&amp;0,CurrentMonthAgingData!$AP:$AP,$B34,CurrentMonthAgingData!$BA:$BA,$C$2)</f>
        <v>0</v>
      </c>
      <c r="F34" s="112">
        <f>SUMIFS(CurrentMonthAgingData!$AN:$AN,CurrentMonthAgingData!$BC:$BC,"=3",CurrentMonthAgingData!$A:$A,"=Procedure",CurrentMonthAgingData!$BF:$BF,"&lt;"&amp;0,CurrentMonthAgingData!$AP:$AP,$B34,CurrentMonthAgingData!$BA:$BA,$C$2)</f>
        <v>0</v>
      </c>
      <c r="G34" s="112">
        <f>SUMIFS(CurrentMonthAgingData!$AN:$AN,CurrentMonthAgingData!$BC:$BC,"=4",CurrentMonthAgingData!$A:$A,"=Procedure",CurrentMonthAgingData!$BF:$BF,"&lt;"&amp;0,CurrentMonthAgingData!$AP:$AP,$B34,CurrentMonthAgingData!$BA:$BA,$C$2)</f>
        <v>0</v>
      </c>
      <c r="H34" s="112">
        <f>SUMIFS(CurrentMonthAgingData!$AN:$AN,CurrentMonthAgingData!$BC:$BC,"=5",CurrentMonthAgingData!$A:$A,"=Procedure",CurrentMonthAgingData!$BF:$BF,"&lt;"&amp;0,CurrentMonthAgingData!$AP:$AP,$B34,CurrentMonthAgingData!$BA:$BA,$C$2)</f>
        <v>0</v>
      </c>
      <c r="I34" s="112">
        <f>SUMIFS(CurrentMonthAgingData!$AN:$AN,CurrentMonthAgingData!$BC:$BC,"=6",CurrentMonthAgingData!$A:$A,"=Procedure",CurrentMonthAgingData!$BF:$BF,"&lt;"&amp;0,CurrentMonthAgingData!$AP:$AP,$B34,CurrentMonthAgingData!$BA:$BA,$C$2)</f>
        <v>0</v>
      </c>
      <c r="J34" s="112">
        <f>SUMIFS(CurrentMonthAgingData!$AN:$AN,CurrentMonthAgingData!$BC:$BC,"=7",CurrentMonthAgingData!$A:$A,"=Procedure",CurrentMonthAgingData!$BF:$BF,"&lt;"&amp;0,CurrentMonthAgingData!$AP:$AP,$B34,CurrentMonthAgingData!$BA:$BA,$C$2)</f>
        <v>0</v>
      </c>
      <c r="K34" s="112">
        <f>SUMIFS(CurrentMonthAgingData!$AN:$AN,CurrentMonthAgingData!$BC:$BC,"=8",CurrentMonthAgingData!$A:$A,"=Procedure",CurrentMonthAgingData!$BF:$BF,"&lt;"&amp;0,CurrentMonthAgingData!$AP:$AP,$B34,CurrentMonthAgingData!$BA:$BA,$C$2)</f>
        <v>0</v>
      </c>
      <c r="L34" s="2">
        <f t="shared" si="2"/>
        <v>0</v>
      </c>
      <c r="N34" s="108"/>
    </row>
    <row r="35" spans="2:14" x14ac:dyDescent="0.25">
      <c r="B35" t="s">
        <v>473</v>
      </c>
      <c r="C35" s="1" t="s">
        <v>5</v>
      </c>
      <c r="D35" s="112">
        <f>SUMIFS(CurrentMonthAgingData!$AN:$AN,CurrentMonthAgingData!$BC:$BC,"=1",CurrentMonthAgingData!$A:$A,"=Procedure",CurrentMonthAgingData!$BF:$BF,"&lt;"&amp;0,CurrentMonthAgingData!$AP:$AP,$B35,CurrentMonthAgingData!$BA:$BA,$C$2)</f>
        <v>0</v>
      </c>
      <c r="E35" s="112">
        <f>SUMIFS(CurrentMonthAgingData!$AN:$AN,CurrentMonthAgingData!$BC:$BC,"=2",CurrentMonthAgingData!$A:$A,"=Procedure",CurrentMonthAgingData!$BF:$BF,"&lt;"&amp;0,CurrentMonthAgingData!$AP:$AP,$B35,CurrentMonthAgingData!$BA:$BA,$C$2)</f>
        <v>0</v>
      </c>
      <c r="F35" s="112">
        <f>SUMIFS(CurrentMonthAgingData!$AN:$AN,CurrentMonthAgingData!$BC:$BC,"=3",CurrentMonthAgingData!$A:$A,"=Procedure",CurrentMonthAgingData!$BF:$BF,"&lt;"&amp;0,CurrentMonthAgingData!$AP:$AP,$B35,CurrentMonthAgingData!$BA:$BA,$C$2)</f>
        <v>0</v>
      </c>
      <c r="G35" s="112">
        <f>SUMIFS(CurrentMonthAgingData!$AN:$AN,CurrentMonthAgingData!$BC:$BC,"=4",CurrentMonthAgingData!$A:$A,"=Procedure",CurrentMonthAgingData!$BF:$BF,"&lt;"&amp;0,CurrentMonthAgingData!$AP:$AP,$B35,CurrentMonthAgingData!$BA:$BA,$C$2)</f>
        <v>0</v>
      </c>
      <c r="H35" s="112">
        <f>SUMIFS(CurrentMonthAgingData!$AN:$AN,CurrentMonthAgingData!$BC:$BC,"=5",CurrentMonthAgingData!$A:$A,"=Procedure",CurrentMonthAgingData!$BF:$BF,"&lt;"&amp;0,CurrentMonthAgingData!$AP:$AP,$B35,CurrentMonthAgingData!$BA:$BA,$C$2)</f>
        <v>0</v>
      </c>
      <c r="I35" s="112">
        <f>SUMIFS(CurrentMonthAgingData!$AN:$AN,CurrentMonthAgingData!$BC:$BC,"=6",CurrentMonthAgingData!$A:$A,"=Procedure",CurrentMonthAgingData!$BF:$BF,"&lt;"&amp;0,CurrentMonthAgingData!$AP:$AP,$B35,CurrentMonthAgingData!$BA:$BA,$C$2)</f>
        <v>0</v>
      </c>
      <c r="J35" s="112">
        <f>SUMIFS(CurrentMonthAgingData!$AN:$AN,CurrentMonthAgingData!$BC:$BC,"=7",CurrentMonthAgingData!$A:$A,"=Procedure",CurrentMonthAgingData!$BF:$BF,"&lt;"&amp;0,CurrentMonthAgingData!$AP:$AP,$B35,CurrentMonthAgingData!$BA:$BA,$C$2)</f>
        <v>0</v>
      </c>
      <c r="K35" s="112">
        <f>SUMIFS(CurrentMonthAgingData!$AN:$AN,CurrentMonthAgingData!$BC:$BC,"=8",CurrentMonthAgingData!$A:$A,"=Procedure",CurrentMonthAgingData!$BF:$BF,"&lt;"&amp;0,CurrentMonthAgingData!$AP:$AP,$B35,CurrentMonthAgingData!$BA:$BA,$C$2)</f>
        <v>0</v>
      </c>
      <c r="L35" s="2">
        <f t="shared" si="2"/>
        <v>0</v>
      </c>
      <c r="N35" s="108"/>
    </row>
    <row r="36" spans="2:14" x14ac:dyDescent="0.25">
      <c r="B36" t="s">
        <v>402</v>
      </c>
      <c r="C36" s="1" t="s">
        <v>84</v>
      </c>
      <c r="D36" s="112">
        <f>SUMIFS(CurrentMonthAgingData!$AN:$AN,CurrentMonthAgingData!$BC:$BC,"=1",CurrentMonthAgingData!$A:$A,"=Procedure",CurrentMonthAgingData!$BF:$BF,"&lt;"&amp;0,CurrentMonthAgingData!$AP:$AP,$B36,CurrentMonthAgingData!$BA:$BA,$C$2)</f>
        <v>0</v>
      </c>
      <c r="E36" s="112">
        <f>SUMIFS(CurrentMonthAgingData!$AN:$AN,CurrentMonthAgingData!$BC:$BC,"=2",CurrentMonthAgingData!$A:$A,"=Procedure",CurrentMonthAgingData!$BF:$BF,"&lt;"&amp;0,CurrentMonthAgingData!$AP:$AP,$B36,CurrentMonthAgingData!$BA:$BA,$C$2)</f>
        <v>0</v>
      </c>
      <c r="F36" s="112">
        <f>SUMIFS(CurrentMonthAgingData!$AN:$AN,CurrentMonthAgingData!$BC:$BC,"=3",CurrentMonthAgingData!$A:$A,"=Procedure",CurrentMonthAgingData!$BF:$BF,"&lt;"&amp;0,CurrentMonthAgingData!$AP:$AP,$B36,CurrentMonthAgingData!$BA:$BA,$C$2)</f>
        <v>0</v>
      </c>
      <c r="G36" s="112">
        <f>SUMIFS(CurrentMonthAgingData!$AN:$AN,CurrentMonthAgingData!$BC:$BC,"=4",CurrentMonthAgingData!$A:$A,"=Procedure",CurrentMonthAgingData!$BF:$BF,"&lt;"&amp;0,CurrentMonthAgingData!$AP:$AP,$B36,CurrentMonthAgingData!$BA:$BA,$C$2)</f>
        <v>0</v>
      </c>
      <c r="H36" s="112">
        <f>SUMIFS(CurrentMonthAgingData!$AN:$AN,CurrentMonthAgingData!$BC:$BC,"=5",CurrentMonthAgingData!$A:$A,"=Procedure",CurrentMonthAgingData!$BF:$BF,"&lt;"&amp;0,CurrentMonthAgingData!$AP:$AP,$B36,CurrentMonthAgingData!$BA:$BA,$C$2)</f>
        <v>0</v>
      </c>
      <c r="I36" s="112">
        <f>SUMIFS(CurrentMonthAgingData!$AN:$AN,CurrentMonthAgingData!$BC:$BC,"=6",CurrentMonthAgingData!$A:$A,"=Procedure",CurrentMonthAgingData!$BF:$BF,"&lt;"&amp;0,CurrentMonthAgingData!$AP:$AP,$B36,CurrentMonthAgingData!$BA:$BA,$C$2)</f>
        <v>0</v>
      </c>
      <c r="J36" s="112">
        <f>SUMIFS(CurrentMonthAgingData!$AN:$AN,CurrentMonthAgingData!$BC:$BC,"=7",CurrentMonthAgingData!$A:$A,"=Procedure",CurrentMonthAgingData!$BF:$BF,"&lt;"&amp;0,CurrentMonthAgingData!$AP:$AP,$B36,CurrentMonthAgingData!$BA:$BA,$C$2)</f>
        <v>0</v>
      </c>
      <c r="K36" s="112">
        <f>SUMIFS(CurrentMonthAgingData!$AN:$AN,CurrentMonthAgingData!$BC:$BC,"=8",CurrentMonthAgingData!$A:$A,"=Procedure",CurrentMonthAgingData!$BF:$BF,"&lt;"&amp;0,CurrentMonthAgingData!$AP:$AP,$B36,CurrentMonthAgingData!$BA:$BA,$C$2)</f>
        <v>0</v>
      </c>
      <c r="L36" s="2">
        <f t="shared" si="2"/>
        <v>0</v>
      </c>
      <c r="N36" s="108"/>
    </row>
    <row r="37" spans="2:14" x14ac:dyDescent="0.25">
      <c r="B37" t="s">
        <v>261</v>
      </c>
      <c r="C37" s="1" t="s">
        <v>4</v>
      </c>
      <c r="D37" s="112">
        <f>SUMIFS(CurrentMonthAgingData!$AN:$AN,CurrentMonthAgingData!$BC:$BC,"=1",CurrentMonthAgingData!$A:$A,"=Procedure",CurrentMonthAgingData!$BF:$BF,"&lt;"&amp;0,CurrentMonthAgingData!$AP:$AP,$B37,CurrentMonthAgingData!$BA:$BA,$C$2)</f>
        <v>0</v>
      </c>
      <c r="E37" s="112">
        <f>SUMIFS(CurrentMonthAgingData!$AN:$AN,CurrentMonthAgingData!$BC:$BC,"=2",CurrentMonthAgingData!$A:$A,"=Procedure",CurrentMonthAgingData!$BF:$BF,"&lt;"&amp;0,CurrentMonthAgingData!$AP:$AP,$B37,CurrentMonthAgingData!$BA:$BA,$C$2)</f>
        <v>0</v>
      </c>
      <c r="F37" s="112">
        <f>SUMIFS(CurrentMonthAgingData!$AN:$AN,CurrentMonthAgingData!$BC:$BC,"=3",CurrentMonthAgingData!$A:$A,"=Procedure",CurrentMonthAgingData!$BF:$BF,"&lt;"&amp;0,CurrentMonthAgingData!$AP:$AP,$B37,CurrentMonthAgingData!$BA:$BA,$C$2)</f>
        <v>0</v>
      </c>
      <c r="G37" s="112">
        <f>SUMIFS(CurrentMonthAgingData!$AN:$AN,CurrentMonthAgingData!$BC:$BC,"=4",CurrentMonthAgingData!$A:$A,"=Procedure",CurrentMonthAgingData!$BF:$BF,"&lt;"&amp;0,CurrentMonthAgingData!$AP:$AP,$B37,CurrentMonthAgingData!$BA:$BA,$C$2)</f>
        <v>0</v>
      </c>
      <c r="H37" s="112">
        <f>SUMIFS(CurrentMonthAgingData!$AN:$AN,CurrentMonthAgingData!$BC:$BC,"=5",CurrentMonthAgingData!$A:$A,"=Procedure",CurrentMonthAgingData!$BF:$BF,"&lt;"&amp;0,CurrentMonthAgingData!$AP:$AP,$B37,CurrentMonthAgingData!$BA:$BA,$C$2)</f>
        <v>0</v>
      </c>
      <c r="I37" s="112">
        <f>SUMIFS(CurrentMonthAgingData!$AN:$AN,CurrentMonthAgingData!$BC:$BC,"=6",CurrentMonthAgingData!$A:$A,"=Procedure",CurrentMonthAgingData!$BF:$BF,"&lt;"&amp;0,CurrentMonthAgingData!$AP:$AP,$B37,CurrentMonthAgingData!$BA:$BA,$C$2)</f>
        <v>0</v>
      </c>
      <c r="J37" s="112">
        <f>SUMIFS(CurrentMonthAgingData!$AN:$AN,CurrentMonthAgingData!$BC:$BC,"=7",CurrentMonthAgingData!$A:$A,"=Procedure",CurrentMonthAgingData!$BF:$BF,"&lt;"&amp;0,CurrentMonthAgingData!$AP:$AP,$B37,CurrentMonthAgingData!$BA:$BA,$C$2)</f>
        <v>0</v>
      </c>
      <c r="K37" s="112">
        <f>SUMIFS(CurrentMonthAgingData!$AN:$AN,CurrentMonthAgingData!$BC:$BC,"=8",CurrentMonthAgingData!$A:$A,"=Procedure",CurrentMonthAgingData!$BF:$BF,"&lt;"&amp;0,CurrentMonthAgingData!$AP:$AP,$B37,CurrentMonthAgingData!$BA:$BA,$C$2)</f>
        <v>-215.45000000000002</v>
      </c>
      <c r="L37" s="2">
        <f t="shared" si="2"/>
        <v>-215.45000000000002</v>
      </c>
      <c r="N37" s="108"/>
    </row>
    <row r="38" spans="2:14" x14ac:dyDescent="0.25">
      <c r="B38" t="s">
        <v>474</v>
      </c>
      <c r="C38" s="1" t="s">
        <v>51</v>
      </c>
      <c r="D38" s="112">
        <f>SUMIFS(CurrentMonthAgingData!$AN:$AN,CurrentMonthAgingData!$BC:$BC,"=1",CurrentMonthAgingData!$A:$A,"=Procedure",CurrentMonthAgingData!$BF:$BF,"&lt;"&amp;0,CurrentMonthAgingData!$AP:$AP,$B38,CurrentMonthAgingData!$BA:$BA,$C$2)</f>
        <v>0</v>
      </c>
      <c r="E38" s="112">
        <f>SUMIFS(CurrentMonthAgingData!$AN:$AN,CurrentMonthAgingData!$BC:$BC,"=2",CurrentMonthAgingData!$A:$A,"=Procedure",CurrentMonthAgingData!$BF:$BF,"&lt;"&amp;0,CurrentMonthAgingData!$AP:$AP,$B38,CurrentMonthAgingData!$BA:$BA,$C$2)</f>
        <v>0</v>
      </c>
      <c r="F38" s="112">
        <f>SUMIFS(CurrentMonthAgingData!$AN:$AN,CurrentMonthAgingData!$BC:$BC,"=3",CurrentMonthAgingData!$A:$A,"=Procedure",CurrentMonthAgingData!$BF:$BF,"&lt;"&amp;0,CurrentMonthAgingData!$AP:$AP,$B38,CurrentMonthAgingData!$BA:$BA,$C$2)</f>
        <v>0</v>
      </c>
      <c r="G38" s="112">
        <f>SUMIFS(CurrentMonthAgingData!$AN:$AN,CurrentMonthAgingData!$BC:$BC,"=4",CurrentMonthAgingData!$A:$A,"=Procedure",CurrentMonthAgingData!$BF:$BF,"&lt;"&amp;0,CurrentMonthAgingData!$AP:$AP,$B38,CurrentMonthAgingData!$BA:$BA,$C$2)</f>
        <v>0</v>
      </c>
      <c r="H38" s="112">
        <f>SUMIFS(CurrentMonthAgingData!$AN:$AN,CurrentMonthAgingData!$BC:$BC,"=5",CurrentMonthAgingData!$A:$A,"=Procedure",CurrentMonthAgingData!$BF:$BF,"&lt;"&amp;0,CurrentMonthAgingData!$AP:$AP,$B38,CurrentMonthAgingData!$BA:$BA,$C$2)</f>
        <v>0</v>
      </c>
      <c r="I38" s="112">
        <f>SUMIFS(CurrentMonthAgingData!$AN:$AN,CurrentMonthAgingData!$BC:$BC,"=6",CurrentMonthAgingData!$A:$A,"=Procedure",CurrentMonthAgingData!$BF:$BF,"&lt;"&amp;0,CurrentMonthAgingData!$AP:$AP,$B38,CurrentMonthAgingData!$BA:$BA,$C$2)</f>
        <v>0</v>
      </c>
      <c r="J38" s="112">
        <f>SUMIFS(CurrentMonthAgingData!$AN:$AN,CurrentMonthAgingData!$BC:$BC,"=7",CurrentMonthAgingData!$A:$A,"=Procedure",CurrentMonthAgingData!$BF:$BF,"&lt;"&amp;0,CurrentMonthAgingData!$AP:$AP,$B38,CurrentMonthAgingData!$BA:$BA,$C$2)</f>
        <v>0</v>
      </c>
      <c r="K38" s="112">
        <f>SUMIFS(CurrentMonthAgingData!$AN:$AN,CurrentMonthAgingData!$BC:$BC,"=8",CurrentMonthAgingData!$A:$A,"=Procedure",CurrentMonthAgingData!$BF:$BF,"&lt;"&amp;0,CurrentMonthAgingData!$AP:$AP,$B38,CurrentMonthAgingData!$BA:$BA,$C$2)</f>
        <v>0</v>
      </c>
      <c r="L38" s="2">
        <f t="shared" si="2"/>
        <v>0</v>
      </c>
      <c r="N38" s="108"/>
    </row>
    <row r="39" spans="2:14" x14ac:dyDescent="0.25">
      <c r="B39" t="s">
        <v>475</v>
      </c>
      <c r="C39" s="1" t="s">
        <v>85</v>
      </c>
      <c r="D39" s="112">
        <f>SUMIFS(CurrentMonthAgingData!$AN:$AN,CurrentMonthAgingData!$BC:$BC,"=1",CurrentMonthAgingData!$A:$A,"=Procedure",CurrentMonthAgingData!$BF:$BF,"&lt;"&amp;0,CurrentMonthAgingData!$AP:$AP,$B39,CurrentMonthAgingData!$BA:$BA,$C$2)</f>
        <v>0</v>
      </c>
      <c r="E39" s="112">
        <f>SUMIFS(CurrentMonthAgingData!$AN:$AN,CurrentMonthAgingData!$BC:$BC,"=2",CurrentMonthAgingData!$A:$A,"=Procedure",CurrentMonthAgingData!$BF:$BF,"&lt;"&amp;0,CurrentMonthAgingData!$AP:$AP,$B39,CurrentMonthAgingData!$BA:$BA,$C$2)</f>
        <v>0</v>
      </c>
      <c r="F39" s="112">
        <f>SUMIFS(CurrentMonthAgingData!$AN:$AN,CurrentMonthAgingData!$BC:$BC,"=3",CurrentMonthAgingData!$A:$A,"=Procedure",CurrentMonthAgingData!$BF:$BF,"&lt;"&amp;0,CurrentMonthAgingData!$AP:$AP,$B39,CurrentMonthAgingData!$BA:$BA,$C$2)</f>
        <v>0</v>
      </c>
      <c r="G39" s="112">
        <f>SUMIFS(CurrentMonthAgingData!$AN:$AN,CurrentMonthAgingData!$BC:$BC,"=4",CurrentMonthAgingData!$A:$A,"=Procedure",CurrentMonthAgingData!$BF:$BF,"&lt;"&amp;0,CurrentMonthAgingData!$AP:$AP,$B39,CurrentMonthAgingData!$BA:$BA,$C$2)</f>
        <v>0</v>
      </c>
      <c r="H39" s="112">
        <f>SUMIFS(CurrentMonthAgingData!$AN:$AN,CurrentMonthAgingData!$BC:$BC,"=5",CurrentMonthAgingData!$A:$A,"=Procedure",CurrentMonthAgingData!$BF:$BF,"&lt;"&amp;0,CurrentMonthAgingData!$AP:$AP,$B39,CurrentMonthAgingData!$BA:$BA,$C$2)</f>
        <v>0</v>
      </c>
      <c r="I39" s="112">
        <f>SUMIFS(CurrentMonthAgingData!$AN:$AN,CurrentMonthAgingData!$BC:$BC,"=6",CurrentMonthAgingData!$A:$A,"=Procedure",CurrentMonthAgingData!$BF:$BF,"&lt;"&amp;0,CurrentMonthAgingData!$AP:$AP,$B39,CurrentMonthAgingData!$BA:$BA,$C$2)</f>
        <v>0</v>
      </c>
      <c r="J39" s="112">
        <f>SUMIFS(CurrentMonthAgingData!$AN:$AN,CurrentMonthAgingData!$BC:$BC,"=7",CurrentMonthAgingData!$A:$A,"=Procedure",CurrentMonthAgingData!$BF:$BF,"&lt;"&amp;0,CurrentMonthAgingData!$AP:$AP,$B39,CurrentMonthAgingData!$BA:$BA,$C$2)</f>
        <v>0</v>
      </c>
      <c r="K39" s="112">
        <f>SUMIFS(CurrentMonthAgingData!$AN:$AN,CurrentMonthAgingData!$BC:$BC,"=8",CurrentMonthAgingData!$A:$A,"=Procedure",CurrentMonthAgingData!$BF:$BF,"&lt;"&amp;0,CurrentMonthAgingData!$AP:$AP,$B39,CurrentMonthAgingData!$BA:$BA,$C$2)</f>
        <v>0</v>
      </c>
      <c r="L39" s="2">
        <f t="shared" si="2"/>
        <v>0</v>
      </c>
      <c r="N39" s="108"/>
    </row>
    <row r="40" spans="2:14" x14ac:dyDescent="0.25">
      <c r="B40" t="s">
        <v>476</v>
      </c>
      <c r="C40" s="1" t="s">
        <v>2</v>
      </c>
      <c r="D40" s="112">
        <f>SUMIFS(CurrentMonthAgingData!$AN:$AN,CurrentMonthAgingData!$BC:$BC,"=1",CurrentMonthAgingData!$A:$A,"=Procedure",CurrentMonthAgingData!$BF:$BF,"&lt;"&amp;0,CurrentMonthAgingData!$BE:$BE,$B40,CurrentMonthAgingData!$BA:$BA,$C$2)</f>
        <v>0</v>
      </c>
      <c r="E40" s="112">
        <f>SUMIFS(CurrentMonthAgingData!$AN:$AN,CurrentMonthAgingData!$BC:$BC,"=2",CurrentMonthAgingData!$A:$A,"=Procedure",CurrentMonthAgingData!$BF:$BF,"&lt;"&amp;0,CurrentMonthAgingData!$BE:$BE,$B40,CurrentMonthAgingData!$BA:$BA,$C$2)</f>
        <v>0</v>
      </c>
      <c r="F40" s="112">
        <f>SUMIFS(CurrentMonthAgingData!$AN:$AN,CurrentMonthAgingData!$BC:$BC,"=3",CurrentMonthAgingData!$A:$A,"=Procedure",CurrentMonthAgingData!$BF:$BF,"&lt;"&amp;0,CurrentMonthAgingData!$BE:$BE,$B40,CurrentMonthAgingData!$BA:$BA,$C$2)</f>
        <v>0</v>
      </c>
      <c r="G40" s="112">
        <f>SUMIFS(CurrentMonthAgingData!$AN:$AN,CurrentMonthAgingData!$BC:$BC,"=4",CurrentMonthAgingData!$A:$A,"=Procedure",CurrentMonthAgingData!$BF:$BF,"&lt;"&amp;0,CurrentMonthAgingData!$BE:$BE,$B40,CurrentMonthAgingData!$BA:$BA,$C$2)</f>
        <v>0</v>
      </c>
      <c r="H40" s="112">
        <f>SUMIFS(CurrentMonthAgingData!$AN:$AN,CurrentMonthAgingData!$BC:$BC,"=5",CurrentMonthAgingData!$A:$A,"=Procedure",CurrentMonthAgingData!$BF:$BF,"&lt;"&amp;0,CurrentMonthAgingData!$BE:$BE,$B40,CurrentMonthAgingData!$BA:$BA,$C$2)</f>
        <v>0</v>
      </c>
      <c r="I40" s="112">
        <f>SUMIFS(CurrentMonthAgingData!$AN:$AN,CurrentMonthAgingData!$BC:$BC,"=6",CurrentMonthAgingData!$A:$A,"=Procedure",CurrentMonthAgingData!$BF:$BF,"&lt;"&amp;0,CurrentMonthAgingData!$BE:$BE,$B40,CurrentMonthAgingData!$BA:$BA,$C$2)</f>
        <v>0</v>
      </c>
      <c r="J40" s="112">
        <f>SUMIFS(CurrentMonthAgingData!$AN:$AN,CurrentMonthAgingData!$BC:$BC,"=7",CurrentMonthAgingData!$A:$A,"=Procedure",CurrentMonthAgingData!$BF:$BF,"&lt;"&amp;0,CurrentMonthAgingData!$BE:$BE,$B40,CurrentMonthAgingData!$BA:$BA,$C$2)</f>
        <v>0</v>
      </c>
      <c r="K40" s="112">
        <f>SUMIFS(CurrentMonthAgingData!$AN:$AN,CurrentMonthAgingData!$BC:$BC,"=8",CurrentMonthAgingData!$A:$A,"=Procedure",CurrentMonthAgingData!$BF:$BF,"&lt;"&amp;0,CurrentMonthAgingData!$BE:$BE,$B40,CurrentMonthAgingData!$BA:$BA,$C$2)</f>
        <v>-60</v>
      </c>
      <c r="L40" s="2">
        <f t="shared" si="2"/>
        <v>-60</v>
      </c>
      <c r="N40" s="108"/>
    </row>
    <row r="41" spans="2:14" x14ac:dyDescent="0.25">
      <c r="B41" t="s">
        <v>333</v>
      </c>
      <c r="C41" s="1" t="s">
        <v>86</v>
      </c>
      <c r="D41" s="112">
        <f>SUMIFS(CurrentMonthAgingData!$AN:$AN,CurrentMonthAgingData!$BC:$BC,"=1",CurrentMonthAgingData!$A:$A,"=Procedure",CurrentMonthAgingData!$BF:$BF,"&lt;"&amp;0,CurrentMonthAgingData!$AP:$AP,$B41,CurrentMonthAgingData!$BA:$BA,$C$2)</f>
        <v>0</v>
      </c>
      <c r="E41" s="112">
        <f>SUMIFS(CurrentMonthAgingData!$AN:$AN,CurrentMonthAgingData!$BC:$BC,"=2",CurrentMonthAgingData!$A:$A,"=Procedure",CurrentMonthAgingData!$BF:$BF,"&lt;"&amp;0,CurrentMonthAgingData!$AP:$AP,$B41,CurrentMonthAgingData!$BA:$BA,$C$2)</f>
        <v>0</v>
      </c>
      <c r="F41" s="112">
        <f>SUMIFS(CurrentMonthAgingData!$AN:$AN,CurrentMonthAgingData!$BC:$BC,"=3",CurrentMonthAgingData!$A:$A,"=Procedure",CurrentMonthAgingData!$BF:$BF,"&lt;"&amp;0,CurrentMonthAgingData!$AP:$AP,$B41,CurrentMonthAgingData!$BA:$BA,$C$2)</f>
        <v>0</v>
      </c>
      <c r="G41" s="112">
        <f>SUMIFS(CurrentMonthAgingData!$AN:$AN,CurrentMonthAgingData!$BC:$BC,"=4",CurrentMonthAgingData!$A:$A,"=Procedure",CurrentMonthAgingData!$BF:$BF,"&lt;"&amp;0,CurrentMonthAgingData!$AP:$AP,$B41,CurrentMonthAgingData!$BA:$BA,$C$2)</f>
        <v>0</v>
      </c>
      <c r="H41" s="112">
        <f>SUMIFS(CurrentMonthAgingData!$AN:$AN,CurrentMonthAgingData!$BC:$BC,"=5",CurrentMonthAgingData!$A:$A,"=Procedure",CurrentMonthAgingData!$BF:$BF,"&lt;"&amp;0,CurrentMonthAgingData!$AP:$AP,$B41,CurrentMonthAgingData!$BA:$BA,$C$2)</f>
        <v>0</v>
      </c>
      <c r="I41" s="112">
        <f>SUMIFS(CurrentMonthAgingData!$AN:$AN,CurrentMonthAgingData!$BC:$BC,"=6",CurrentMonthAgingData!$A:$A,"=Procedure",CurrentMonthAgingData!$BF:$BF,"&lt;"&amp;0,CurrentMonthAgingData!$AP:$AP,$B41,CurrentMonthAgingData!$BA:$BA,$C$2)</f>
        <v>0</v>
      </c>
      <c r="J41" s="112">
        <f>SUMIFS(CurrentMonthAgingData!$AN:$AN,CurrentMonthAgingData!$BC:$BC,"=7",CurrentMonthAgingData!$A:$A,"=Procedure",CurrentMonthAgingData!$BF:$BF,"&lt;"&amp;0,CurrentMonthAgingData!$AP:$AP,$B41,CurrentMonthAgingData!$BA:$BA,$C$2)</f>
        <v>0</v>
      </c>
      <c r="K41" s="112">
        <f>SUMIFS(CurrentMonthAgingData!$AN:$AN,CurrentMonthAgingData!$BC:$BC,"=8",CurrentMonthAgingData!$A:$A,"=Procedure",CurrentMonthAgingData!$BF:$BF,"&lt;"&amp;0,CurrentMonthAgingData!$AP:$AP,$B41,CurrentMonthAgingData!$BA:$BA,$C$2)</f>
        <v>0</v>
      </c>
      <c r="L41" s="2">
        <f t="shared" si="2"/>
        <v>0</v>
      </c>
      <c r="N41" s="108"/>
    </row>
    <row r="42" spans="2:14" x14ac:dyDescent="0.25">
      <c r="B42" t="s">
        <v>262</v>
      </c>
      <c r="C42" s="1" t="s">
        <v>29</v>
      </c>
      <c r="D42" s="112">
        <f>SUMIFS(CurrentMonthAgingData!$AN:$AN,CurrentMonthAgingData!$BC:$BC,"=1",CurrentMonthAgingData!$A:$A,"=Procedure",CurrentMonthAgingData!$BF:$BF,"&lt;"&amp;0,CurrentMonthAgingData!$AP:$AP,$B42,CurrentMonthAgingData!$BA:$BA,$C$2)</f>
        <v>0</v>
      </c>
      <c r="E42" s="112">
        <f>SUMIFS(CurrentMonthAgingData!$AN:$AN,CurrentMonthAgingData!$BC:$BC,"=2",CurrentMonthAgingData!$A:$A,"=Procedure",CurrentMonthAgingData!$BF:$BF,"&lt;"&amp;0,CurrentMonthAgingData!$AP:$AP,$B42,CurrentMonthAgingData!$BA:$BA,$C$2)</f>
        <v>0</v>
      </c>
      <c r="F42" s="112">
        <f>SUMIFS(CurrentMonthAgingData!$AN:$AN,CurrentMonthAgingData!$BC:$BC,"=3",CurrentMonthAgingData!$A:$A,"=Procedure",CurrentMonthAgingData!$BF:$BF,"&lt;"&amp;0,CurrentMonthAgingData!$AP:$AP,$B42,CurrentMonthAgingData!$BA:$BA,$C$2)</f>
        <v>0</v>
      </c>
      <c r="G42" s="112">
        <f>SUMIFS(CurrentMonthAgingData!$AN:$AN,CurrentMonthAgingData!$BC:$BC,"=4",CurrentMonthAgingData!$A:$A,"=Procedure",CurrentMonthAgingData!$BF:$BF,"&lt;"&amp;0,CurrentMonthAgingData!$AP:$AP,$B42,CurrentMonthAgingData!$BA:$BA,$C$2)</f>
        <v>0</v>
      </c>
      <c r="H42" s="112">
        <f>SUMIFS(CurrentMonthAgingData!$AN:$AN,CurrentMonthAgingData!$BC:$BC,"=5",CurrentMonthAgingData!$A:$A,"=Procedure",CurrentMonthAgingData!$BF:$BF,"&lt;"&amp;0,CurrentMonthAgingData!$AP:$AP,$B42,CurrentMonthAgingData!$BA:$BA,$C$2)</f>
        <v>0</v>
      </c>
      <c r="I42" s="112">
        <f>SUMIFS(CurrentMonthAgingData!$AN:$AN,CurrentMonthAgingData!$BC:$BC,"=6",CurrentMonthAgingData!$A:$A,"=Procedure",CurrentMonthAgingData!$BF:$BF,"&lt;"&amp;0,CurrentMonthAgingData!$AP:$AP,$B42,CurrentMonthAgingData!$BA:$BA,$C$2)</f>
        <v>0</v>
      </c>
      <c r="J42" s="112">
        <f>SUMIFS(CurrentMonthAgingData!$AN:$AN,CurrentMonthAgingData!$BC:$BC,"=7",CurrentMonthAgingData!$A:$A,"=Procedure",CurrentMonthAgingData!$BF:$BF,"&lt;"&amp;0,CurrentMonthAgingData!$AP:$AP,$B42,CurrentMonthAgingData!$BA:$BA,$C$2)</f>
        <v>0</v>
      </c>
      <c r="K42" s="112">
        <f>SUMIFS(CurrentMonthAgingData!$AN:$AN,CurrentMonthAgingData!$BC:$BC,"=8",CurrentMonthAgingData!$A:$A,"=Procedure",CurrentMonthAgingData!$BF:$BF,"&lt;"&amp;0,CurrentMonthAgingData!$AP:$AP,$B42,CurrentMonthAgingData!$BA:$BA,$C$2)</f>
        <v>-404.25</v>
      </c>
      <c r="L42" s="2">
        <f t="shared" si="2"/>
        <v>-404.25</v>
      </c>
      <c r="N42" s="108"/>
    </row>
    <row r="43" spans="2:14" x14ac:dyDescent="0.25">
      <c r="B43" t="s">
        <v>477</v>
      </c>
      <c r="C43" s="1" t="s">
        <v>52</v>
      </c>
      <c r="D43" s="112">
        <f>SUMIFS(CurrentMonthAgingData!$AN:$AN,CurrentMonthAgingData!$BC:$BC,"=1",CurrentMonthAgingData!$A:$A,"=Procedure",CurrentMonthAgingData!$BF:$BF,"&lt;"&amp;0,CurrentMonthAgingData!$AP:$AP,$B43,CurrentMonthAgingData!$BA:$BA,$C$2)</f>
        <v>0</v>
      </c>
      <c r="E43" s="112">
        <f>SUMIFS(CurrentMonthAgingData!$AN:$AN,CurrentMonthAgingData!$BC:$BC,"=2",CurrentMonthAgingData!$A:$A,"=Procedure",CurrentMonthAgingData!$BF:$BF,"&lt;"&amp;0,CurrentMonthAgingData!$AP:$AP,$B43,CurrentMonthAgingData!$BA:$BA,$C$2)</f>
        <v>0</v>
      </c>
      <c r="F43" s="112">
        <f>SUMIFS(CurrentMonthAgingData!$AN:$AN,CurrentMonthAgingData!$BC:$BC,"=3",CurrentMonthAgingData!$A:$A,"=Procedure",CurrentMonthAgingData!$BF:$BF,"&lt;"&amp;0,CurrentMonthAgingData!$AP:$AP,$B43,CurrentMonthAgingData!$BA:$BA,$C$2)</f>
        <v>0</v>
      </c>
      <c r="G43" s="112">
        <f>SUMIFS(CurrentMonthAgingData!$AN:$AN,CurrentMonthAgingData!$BC:$BC,"=4",CurrentMonthAgingData!$A:$A,"=Procedure",CurrentMonthAgingData!$BF:$BF,"&lt;"&amp;0,CurrentMonthAgingData!$AP:$AP,$B43,CurrentMonthAgingData!$BA:$BA,$C$2)</f>
        <v>0</v>
      </c>
      <c r="H43" s="112">
        <f>SUMIFS(CurrentMonthAgingData!$AN:$AN,CurrentMonthAgingData!$BC:$BC,"=5",CurrentMonthAgingData!$A:$A,"=Procedure",CurrentMonthAgingData!$BF:$BF,"&lt;"&amp;0,CurrentMonthAgingData!$AP:$AP,$B43,CurrentMonthAgingData!$BA:$BA,$C$2)</f>
        <v>0</v>
      </c>
      <c r="I43" s="112">
        <f>SUMIFS(CurrentMonthAgingData!$AN:$AN,CurrentMonthAgingData!$BC:$BC,"=6",CurrentMonthAgingData!$A:$A,"=Procedure",CurrentMonthAgingData!$BF:$BF,"&lt;"&amp;0,CurrentMonthAgingData!$AP:$AP,$B43,CurrentMonthAgingData!$BA:$BA,$C$2)</f>
        <v>0</v>
      </c>
      <c r="J43" s="112">
        <f>SUMIFS(CurrentMonthAgingData!$AN:$AN,CurrentMonthAgingData!$BC:$BC,"=7",CurrentMonthAgingData!$A:$A,"=Procedure",CurrentMonthAgingData!$BF:$BF,"&lt;"&amp;0,CurrentMonthAgingData!$AP:$AP,$B43,CurrentMonthAgingData!$BA:$BA,$C$2)</f>
        <v>0</v>
      </c>
      <c r="K43" s="112">
        <f>SUMIFS(CurrentMonthAgingData!$AN:$AN,CurrentMonthAgingData!$BC:$BC,"=8",CurrentMonthAgingData!$A:$A,"=Procedure",CurrentMonthAgingData!$BF:$BF,"&lt;"&amp;0,CurrentMonthAgingData!$AP:$AP,$B43,CurrentMonthAgingData!$BA:$BA,$C$2)</f>
        <v>0</v>
      </c>
      <c r="L43" s="2">
        <f t="shared" si="2"/>
        <v>0</v>
      </c>
      <c r="N43" s="108"/>
    </row>
    <row r="44" spans="2:14" x14ac:dyDescent="0.25">
      <c r="B44" t="s">
        <v>263</v>
      </c>
      <c r="C44" s="1" t="s">
        <v>1</v>
      </c>
      <c r="D44" s="112">
        <f>SUMIFS(CurrentMonthAgingData!$AN:$AN,CurrentMonthAgingData!$BC:$BC,"=1",CurrentMonthAgingData!$A:$A,"=Procedure",CurrentMonthAgingData!$BF:$BF,"&lt;"&amp;0,CurrentMonthAgingData!$AP:$AP,$B44,CurrentMonthAgingData!$BA:$BA,$C$2)</f>
        <v>0</v>
      </c>
      <c r="E44" s="112">
        <f>SUMIFS(CurrentMonthAgingData!$AN:$AN,CurrentMonthAgingData!$BC:$BC,"=2",CurrentMonthAgingData!$A:$A,"=Procedure",CurrentMonthAgingData!$BF:$BF,"&lt;"&amp;0,CurrentMonthAgingData!$AP:$AP,$B44,CurrentMonthAgingData!$BA:$BA,$C$2)</f>
        <v>0</v>
      </c>
      <c r="F44" s="112">
        <f>SUMIFS(CurrentMonthAgingData!$AN:$AN,CurrentMonthAgingData!$BC:$BC,"=3",CurrentMonthAgingData!$A:$A,"=Procedure",CurrentMonthAgingData!$BF:$BF,"&lt;"&amp;0,CurrentMonthAgingData!$AP:$AP,$B44,CurrentMonthAgingData!$BA:$BA,$C$2)</f>
        <v>0</v>
      </c>
      <c r="G44" s="112">
        <f>SUMIFS(CurrentMonthAgingData!$AN:$AN,CurrentMonthAgingData!$BC:$BC,"=4",CurrentMonthAgingData!$A:$A,"=Procedure",CurrentMonthAgingData!$BF:$BF,"&lt;"&amp;0,CurrentMonthAgingData!$AP:$AP,$B44,CurrentMonthAgingData!$BA:$BA,$C$2)</f>
        <v>0</v>
      </c>
      <c r="H44" s="112">
        <f>SUMIFS(CurrentMonthAgingData!$AN:$AN,CurrentMonthAgingData!$BC:$BC,"=5",CurrentMonthAgingData!$A:$A,"=Procedure",CurrentMonthAgingData!$BF:$BF,"&lt;"&amp;0,CurrentMonthAgingData!$AP:$AP,$B44,CurrentMonthAgingData!$BA:$BA,$C$2)</f>
        <v>0</v>
      </c>
      <c r="I44" s="112">
        <f>SUMIFS(CurrentMonthAgingData!$AN:$AN,CurrentMonthAgingData!$BC:$BC,"=6",CurrentMonthAgingData!$A:$A,"=Procedure",CurrentMonthAgingData!$BF:$BF,"&lt;"&amp;0,CurrentMonthAgingData!$AP:$AP,$B44,CurrentMonthAgingData!$BA:$BA,$C$2)</f>
        <v>0</v>
      </c>
      <c r="J44" s="112">
        <f>SUMIFS(CurrentMonthAgingData!$AN:$AN,CurrentMonthAgingData!$BC:$BC,"=7",CurrentMonthAgingData!$A:$A,"=Procedure",CurrentMonthAgingData!$BF:$BF,"&lt;"&amp;0,CurrentMonthAgingData!$AP:$AP,$B44,CurrentMonthAgingData!$BA:$BA,$C$2)</f>
        <v>0</v>
      </c>
      <c r="K44" s="112">
        <f>SUMIFS(CurrentMonthAgingData!$AN:$AN,CurrentMonthAgingData!$BC:$BC,"=8",CurrentMonthAgingData!$A:$A,"=Procedure",CurrentMonthAgingData!$BF:$BF,"&lt;"&amp;0,CurrentMonthAgingData!$AP:$AP,$B44,CurrentMonthAgingData!$BA:$BA,$C$2)</f>
        <v>-1388.7000000000003</v>
      </c>
      <c r="L44" s="2">
        <f t="shared" si="2"/>
        <v>-1388.7000000000003</v>
      </c>
      <c r="N44" s="108"/>
    </row>
    <row r="45" spans="2:14" x14ac:dyDescent="0.25">
      <c r="C45" s="1" t="s">
        <v>0</v>
      </c>
      <c r="D45" s="10">
        <f>SUM(D28:D44)</f>
        <v>0</v>
      </c>
      <c r="E45" s="10">
        <f t="shared" ref="E45:L45" si="3">SUM(E28:E44)</f>
        <v>0</v>
      </c>
      <c r="F45" s="10">
        <f t="shared" si="3"/>
        <v>0</v>
      </c>
      <c r="G45" s="10">
        <f t="shared" si="3"/>
        <v>0</v>
      </c>
      <c r="H45" s="10">
        <f t="shared" si="3"/>
        <v>0</v>
      </c>
      <c r="I45" s="10">
        <f t="shared" si="3"/>
        <v>0</v>
      </c>
      <c r="J45" s="10">
        <f t="shared" si="3"/>
        <v>0</v>
      </c>
      <c r="K45" s="10">
        <f t="shared" si="3"/>
        <v>-3139.6000000000004</v>
      </c>
      <c r="L45" s="10">
        <f t="shared" si="3"/>
        <v>-3139.6000000000004</v>
      </c>
      <c r="N45" s="108"/>
    </row>
    <row r="46" spans="2:14" ht="15.75" thickBot="1" x14ac:dyDescent="0.3">
      <c r="C46" s="1"/>
      <c r="D46" s="9"/>
      <c r="E46" s="9"/>
      <c r="F46" s="9"/>
      <c r="G46" s="9"/>
      <c r="H46" s="9"/>
      <c r="I46" s="9"/>
      <c r="J46" s="9"/>
      <c r="K46" s="9"/>
      <c r="L46" s="9"/>
      <c r="N46" s="108"/>
    </row>
    <row r="47" spans="2:14" ht="15.75" thickBot="1" x14ac:dyDescent="0.3">
      <c r="C47" s="159" t="s">
        <v>54</v>
      </c>
      <c r="D47" s="160"/>
      <c r="E47" s="160"/>
      <c r="F47" s="160"/>
      <c r="G47" s="160"/>
      <c r="H47" s="160"/>
      <c r="I47" s="160"/>
      <c r="J47" s="160"/>
      <c r="K47" s="160"/>
      <c r="L47" s="161"/>
      <c r="N47" s="108"/>
    </row>
    <row r="48" spans="2:14" x14ac:dyDescent="0.25">
      <c r="C48" s="4" t="s">
        <v>16</v>
      </c>
      <c r="D48" s="5" t="s">
        <v>15</v>
      </c>
      <c r="E48" s="5" t="s">
        <v>14</v>
      </c>
      <c r="F48" s="5" t="s">
        <v>13</v>
      </c>
      <c r="G48" s="5" t="s">
        <v>12</v>
      </c>
      <c r="H48" s="5" t="s">
        <v>94</v>
      </c>
      <c r="I48" s="5" t="s">
        <v>95</v>
      </c>
      <c r="J48" s="5" t="s">
        <v>38</v>
      </c>
      <c r="K48" s="5" t="s">
        <v>9</v>
      </c>
      <c r="L48" s="5" t="s">
        <v>0</v>
      </c>
      <c r="N48" s="108"/>
    </row>
    <row r="49" spans="3:14" x14ac:dyDescent="0.25">
      <c r="C49" s="1" t="s">
        <v>49</v>
      </c>
      <c r="D49" s="33">
        <f t="shared" ref="D49:K58" si="4">D7-D28</f>
        <v>0</v>
      </c>
      <c r="E49" s="33">
        <f t="shared" si="4"/>
        <v>0</v>
      </c>
      <c r="F49" s="33">
        <f t="shared" si="4"/>
        <v>0</v>
      </c>
      <c r="G49" s="33">
        <f t="shared" si="4"/>
        <v>0</v>
      </c>
      <c r="H49" s="33">
        <f t="shared" si="4"/>
        <v>0</v>
      </c>
      <c r="I49" s="33">
        <f t="shared" si="4"/>
        <v>0</v>
      </c>
      <c r="J49" s="33">
        <f t="shared" si="4"/>
        <v>0</v>
      </c>
      <c r="K49" s="33">
        <f t="shared" si="4"/>
        <v>0</v>
      </c>
      <c r="L49" s="10">
        <f>SUM(D49:K49)</f>
        <v>0</v>
      </c>
      <c r="N49" s="108"/>
    </row>
    <row r="50" spans="3:14" x14ac:dyDescent="0.25">
      <c r="C50" s="1" t="s">
        <v>8</v>
      </c>
      <c r="D50" s="33">
        <f t="shared" si="4"/>
        <v>0</v>
      </c>
      <c r="E50" s="33">
        <f t="shared" si="4"/>
        <v>0</v>
      </c>
      <c r="F50" s="33">
        <f t="shared" si="4"/>
        <v>0</v>
      </c>
      <c r="G50" s="33">
        <f t="shared" si="4"/>
        <v>0</v>
      </c>
      <c r="H50" s="33">
        <f t="shared" si="4"/>
        <v>0</v>
      </c>
      <c r="I50" s="33">
        <f t="shared" si="4"/>
        <v>0</v>
      </c>
      <c r="J50" s="33">
        <f t="shared" si="4"/>
        <v>0</v>
      </c>
      <c r="K50" s="33">
        <f t="shared" si="4"/>
        <v>0</v>
      </c>
      <c r="L50" s="9">
        <f t="shared" ref="L50:L61" si="5">SUM(D50:K50)</f>
        <v>0</v>
      </c>
      <c r="N50" s="108"/>
    </row>
    <row r="51" spans="3:14" x14ac:dyDescent="0.25">
      <c r="C51" s="1" t="s">
        <v>7</v>
      </c>
      <c r="D51" s="33">
        <f t="shared" si="4"/>
        <v>0</v>
      </c>
      <c r="E51" s="33">
        <f t="shared" si="4"/>
        <v>0</v>
      </c>
      <c r="F51" s="33">
        <f t="shared" si="4"/>
        <v>0</v>
      </c>
      <c r="G51" s="33">
        <f t="shared" si="4"/>
        <v>0</v>
      </c>
      <c r="H51" s="33">
        <f t="shared" si="4"/>
        <v>0</v>
      </c>
      <c r="I51" s="33">
        <f t="shared" si="4"/>
        <v>0</v>
      </c>
      <c r="J51" s="33">
        <f t="shared" si="4"/>
        <v>0</v>
      </c>
      <c r="K51" s="33">
        <f t="shared" si="4"/>
        <v>174.40999999999997</v>
      </c>
      <c r="L51" s="9">
        <f t="shared" si="5"/>
        <v>174.40999999999997</v>
      </c>
      <c r="N51" s="108"/>
    </row>
    <row r="52" spans="3:14" x14ac:dyDescent="0.25">
      <c r="C52" s="1" t="s">
        <v>42</v>
      </c>
      <c r="D52" s="33">
        <f t="shared" si="4"/>
        <v>0</v>
      </c>
      <c r="E52" s="33">
        <f t="shared" si="4"/>
        <v>0</v>
      </c>
      <c r="F52" s="33">
        <f t="shared" si="4"/>
        <v>0</v>
      </c>
      <c r="G52" s="33">
        <f t="shared" si="4"/>
        <v>0</v>
      </c>
      <c r="H52" s="33">
        <f t="shared" si="4"/>
        <v>0</v>
      </c>
      <c r="I52" s="33">
        <f t="shared" si="4"/>
        <v>0</v>
      </c>
      <c r="J52" s="33">
        <f t="shared" si="4"/>
        <v>0</v>
      </c>
      <c r="K52" s="33">
        <f t="shared" si="4"/>
        <v>0</v>
      </c>
      <c r="L52" s="9">
        <f t="shared" si="5"/>
        <v>0</v>
      </c>
      <c r="N52" s="108"/>
    </row>
    <row r="53" spans="3:14" x14ac:dyDescent="0.25">
      <c r="C53" s="1" t="s">
        <v>6</v>
      </c>
      <c r="D53" s="33">
        <f t="shared" si="4"/>
        <v>0</v>
      </c>
      <c r="E53" s="33">
        <f t="shared" si="4"/>
        <v>0</v>
      </c>
      <c r="F53" s="33">
        <f t="shared" si="4"/>
        <v>0</v>
      </c>
      <c r="G53" s="33">
        <f t="shared" si="4"/>
        <v>0</v>
      </c>
      <c r="H53" s="33">
        <f t="shared" si="4"/>
        <v>0</v>
      </c>
      <c r="I53" s="33">
        <f t="shared" si="4"/>
        <v>0</v>
      </c>
      <c r="J53" s="33">
        <f t="shared" si="4"/>
        <v>0</v>
      </c>
      <c r="K53" s="33">
        <f t="shared" si="4"/>
        <v>31.499999999999972</v>
      </c>
      <c r="L53" s="9">
        <f t="shared" si="5"/>
        <v>31.499999999999972</v>
      </c>
      <c r="N53" s="108"/>
    </row>
    <row r="54" spans="3:14" x14ac:dyDescent="0.25">
      <c r="C54" s="1" t="s">
        <v>50</v>
      </c>
      <c r="D54" s="33">
        <f t="shared" si="4"/>
        <v>0</v>
      </c>
      <c r="E54" s="33">
        <f t="shared" si="4"/>
        <v>0</v>
      </c>
      <c r="F54" s="33">
        <f t="shared" si="4"/>
        <v>0</v>
      </c>
      <c r="G54" s="33">
        <f t="shared" si="4"/>
        <v>0</v>
      </c>
      <c r="H54" s="33">
        <f t="shared" si="4"/>
        <v>0</v>
      </c>
      <c r="I54" s="33">
        <f t="shared" si="4"/>
        <v>0</v>
      </c>
      <c r="J54" s="33">
        <f t="shared" si="4"/>
        <v>0</v>
      </c>
      <c r="K54" s="33">
        <f t="shared" si="4"/>
        <v>0</v>
      </c>
      <c r="L54" s="9">
        <f t="shared" si="5"/>
        <v>0</v>
      </c>
      <c r="N54" s="108"/>
    </row>
    <row r="55" spans="3:14" x14ac:dyDescent="0.25">
      <c r="C55" s="1" t="s">
        <v>89</v>
      </c>
      <c r="D55" s="33">
        <f t="shared" si="4"/>
        <v>0</v>
      </c>
      <c r="E55" s="33">
        <f t="shared" si="4"/>
        <v>0</v>
      </c>
      <c r="F55" s="33">
        <f t="shared" si="4"/>
        <v>0</v>
      </c>
      <c r="G55" s="33">
        <f t="shared" si="4"/>
        <v>0</v>
      </c>
      <c r="H55" s="33">
        <f t="shared" si="4"/>
        <v>0</v>
      </c>
      <c r="I55" s="33">
        <f t="shared" si="4"/>
        <v>0</v>
      </c>
      <c r="J55" s="33">
        <f t="shared" si="4"/>
        <v>0</v>
      </c>
      <c r="K55" s="33">
        <f t="shared" si="4"/>
        <v>0</v>
      </c>
      <c r="L55" s="9">
        <f t="shared" si="5"/>
        <v>0</v>
      </c>
      <c r="N55" s="108"/>
    </row>
    <row r="56" spans="3:14" x14ac:dyDescent="0.25">
      <c r="C56" s="1" t="s">
        <v>5</v>
      </c>
      <c r="D56" s="33">
        <f t="shared" si="4"/>
        <v>0</v>
      </c>
      <c r="E56" s="33">
        <f t="shared" si="4"/>
        <v>0</v>
      </c>
      <c r="F56" s="33">
        <f t="shared" si="4"/>
        <v>0</v>
      </c>
      <c r="G56" s="33">
        <f t="shared" si="4"/>
        <v>0</v>
      </c>
      <c r="H56" s="33">
        <f t="shared" si="4"/>
        <v>0</v>
      </c>
      <c r="I56" s="33">
        <f t="shared" si="4"/>
        <v>0</v>
      </c>
      <c r="J56" s="33">
        <f t="shared" si="4"/>
        <v>0</v>
      </c>
      <c r="K56" s="33">
        <f t="shared" si="4"/>
        <v>0</v>
      </c>
      <c r="L56" s="9">
        <f t="shared" si="5"/>
        <v>0</v>
      </c>
      <c r="N56" s="108"/>
    </row>
    <row r="57" spans="3:14" x14ac:dyDescent="0.25">
      <c r="C57" s="1" t="s">
        <v>84</v>
      </c>
      <c r="D57" s="33">
        <f t="shared" si="4"/>
        <v>0</v>
      </c>
      <c r="E57" s="33">
        <f t="shared" si="4"/>
        <v>0</v>
      </c>
      <c r="F57" s="33">
        <f t="shared" si="4"/>
        <v>0</v>
      </c>
      <c r="G57" s="33">
        <f t="shared" si="4"/>
        <v>0</v>
      </c>
      <c r="H57" s="33">
        <f t="shared" si="4"/>
        <v>0</v>
      </c>
      <c r="I57" s="33">
        <f t="shared" si="4"/>
        <v>0</v>
      </c>
      <c r="J57" s="33">
        <f t="shared" si="4"/>
        <v>0</v>
      </c>
      <c r="K57" s="33">
        <f t="shared" si="4"/>
        <v>15</v>
      </c>
      <c r="L57" s="9">
        <f t="shared" si="5"/>
        <v>15</v>
      </c>
      <c r="N57" s="108"/>
    </row>
    <row r="58" spans="3:14" x14ac:dyDescent="0.25">
      <c r="C58" s="1" t="s">
        <v>4</v>
      </c>
      <c r="D58" s="33">
        <f t="shared" si="4"/>
        <v>0</v>
      </c>
      <c r="E58" s="33">
        <f t="shared" si="4"/>
        <v>0</v>
      </c>
      <c r="F58" s="33">
        <f t="shared" si="4"/>
        <v>0</v>
      </c>
      <c r="G58" s="33">
        <f t="shared" si="4"/>
        <v>0</v>
      </c>
      <c r="H58" s="33">
        <f t="shared" si="4"/>
        <v>0</v>
      </c>
      <c r="I58" s="33">
        <f t="shared" si="4"/>
        <v>0</v>
      </c>
      <c r="J58" s="33">
        <f t="shared" si="4"/>
        <v>0</v>
      </c>
      <c r="K58" s="33">
        <f t="shared" si="4"/>
        <v>113.93</v>
      </c>
      <c r="L58" s="9">
        <f t="shared" si="5"/>
        <v>113.93</v>
      </c>
      <c r="N58" s="108"/>
    </row>
    <row r="59" spans="3:14" x14ac:dyDescent="0.25">
      <c r="C59" s="1" t="s">
        <v>51</v>
      </c>
      <c r="D59" s="33">
        <f t="shared" ref="D59:K65" si="6">D17-D38</f>
        <v>0</v>
      </c>
      <c r="E59" s="33">
        <f t="shared" si="6"/>
        <v>0</v>
      </c>
      <c r="F59" s="33">
        <f t="shared" si="6"/>
        <v>0</v>
      </c>
      <c r="G59" s="33">
        <f t="shared" si="6"/>
        <v>0</v>
      </c>
      <c r="H59" s="33">
        <f t="shared" si="6"/>
        <v>0</v>
      </c>
      <c r="I59" s="33">
        <f t="shared" si="6"/>
        <v>0</v>
      </c>
      <c r="J59" s="33">
        <f t="shared" si="6"/>
        <v>0</v>
      </c>
      <c r="K59" s="33">
        <f t="shared" si="6"/>
        <v>0</v>
      </c>
      <c r="L59" s="9">
        <f t="shared" si="5"/>
        <v>0</v>
      </c>
      <c r="N59" s="108"/>
    </row>
    <row r="60" spans="3:14" x14ac:dyDescent="0.25">
      <c r="C60" s="1" t="s">
        <v>85</v>
      </c>
      <c r="D60" s="33">
        <f t="shared" si="6"/>
        <v>0</v>
      </c>
      <c r="E60" s="33">
        <f t="shared" si="6"/>
        <v>0</v>
      </c>
      <c r="F60" s="33">
        <f t="shared" si="6"/>
        <v>0</v>
      </c>
      <c r="G60" s="33">
        <f t="shared" si="6"/>
        <v>0</v>
      </c>
      <c r="H60" s="33">
        <f t="shared" si="6"/>
        <v>0</v>
      </c>
      <c r="I60" s="33">
        <f t="shared" si="6"/>
        <v>0</v>
      </c>
      <c r="J60" s="33">
        <f t="shared" si="6"/>
        <v>0</v>
      </c>
      <c r="K60" s="33">
        <f t="shared" si="6"/>
        <v>0</v>
      </c>
      <c r="L60" s="9">
        <f t="shared" si="5"/>
        <v>0</v>
      </c>
      <c r="N60" s="108"/>
    </row>
    <row r="61" spans="3:14" x14ac:dyDescent="0.25">
      <c r="C61" s="1" t="s">
        <v>2</v>
      </c>
      <c r="D61" s="33">
        <f t="shared" si="6"/>
        <v>-12078.84</v>
      </c>
      <c r="E61" s="33">
        <f t="shared" si="6"/>
        <v>0</v>
      </c>
      <c r="F61" s="33">
        <f t="shared" si="6"/>
        <v>0</v>
      </c>
      <c r="G61" s="33">
        <f t="shared" si="6"/>
        <v>0</v>
      </c>
      <c r="H61" s="33">
        <f t="shared" si="6"/>
        <v>0</v>
      </c>
      <c r="I61" s="33">
        <f t="shared" si="6"/>
        <v>0</v>
      </c>
      <c r="J61" s="33">
        <f t="shared" si="6"/>
        <v>0</v>
      </c>
      <c r="K61" s="33">
        <f t="shared" si="6"/>
        <v>-178.08999999999997</v>
      </c>
      <c r="L61" s="9">
        <f t="shared" si="5"/>
        <v>-12256.93</v>
      </c>
      <c r="N61" s="108"/>
    </row>
    <row r="62" spans="3:14" x14ac:dyDescent="0.25">
      <c r="C62" s="1" t="s">
        <v>86</v>
      </c>
      <c r="D62" s="33">
        <f t="shared" si="6"/>
        <v>0</v>
      </c>
      <c r="E62" s="33">
        <f t="shared" si="6"/>
        <v>0</v>
      </c>
      <c r="F62" s="33">
        <f t="shared" si="6"/>
        <v>0</v>
      </c>
      <c r="G62" s="33">
        <f t="shared" si="6"/>
        <v>0</v>
      </c>
      <c r="H62" s="33">
        <f t="shared" si="6"/>
        <v>0</v>
      </c>
      <c r="I62" s="33">
        <f t="shared" si="6"/>
        <v>0</v>
      </c>
      <c r="J62" s="33">
        <f t="shared" si="6"/>
        <v>0</v>
      </c>
      <c r="K62" s="33">
        <f t="shared" si="6"/>
        <v>8.25</v>
      </c>
      <c r="L62" s="9">
        <f>SUM(D62:K62)</f>
        <v>8.25</v>
      </c>
      <c r="N62" s="108"/>
    </row>
    <row r="63" spans="3:14" x14ac:dyDescent="0.25">
      <c r="C63" s="1" t="s">
        <v>29</v>
      </c>
      <c r="D63" s="33">
        <f t="shared" si="6"/>
        <v>0</v>
      </c>
      <c r="E63" s="33">
        <f t="shared" si="6"/>
        <v>0</v>
      </c>
      <c r="F63" s="33">
        <f t="shared" si="6"/>
        <v>0</v>
      </c>
      <c r="G63" s="33">
        <f t="shared" si="6"/>
        <v>0</v>
      </c>
      <c r="H63" s="33">
        <f t="shared" si="6"/>
        <v>0</v>
      </c>
      <c r="I63" s="33">
        <f t="shared" si="6"/>
        <v>0</v>
      </c>
      <c r="J63" s="33">
        <f t="shared" si="6"/>
        <v>0</v>
      </c>
      <c r="K63" s="33">
        <f t="shared" si="6"/>
        <v>20</v>
      </c>
      <c r="L63" s="9">
        <f>SUM(D63:K63)</f>
        <v>20</v>
      </c>
      <c r="N63" s="108"/>
    </row>
    <row r="64" spans="3:14" x14ac:dyDescent="0.25">
      <c r="C64" s="1" t="s">
        <v>52</v>
      </c>
      <c r="D64" s="33">
        <f t="shared" si="6"/>
        <v>0</v>
      </c>
      <c r="E64" s="33">
        <f t="shared" si="6"/>
        <v>0</v>
      </c>
      <c r="F64" s="33">
        <f t="shared" si="6"/>
        <v>0</v>
      </c>
      <c r="G64" s="33">
        <f t="shared" si="6"/>
        <v>0</v>
      </c>
      <c r="H64" s="33">
        <f t="shared" si="6"/>
        <v>0</v>
      </c>
      <c r="I64" s="33">
        <f t="shared" si="6"/>
        <v>0</v>
      </c>
      <c r="J64" s="33">
        <f t="shared" si="6"/>
        <v>0</v>
      </c>
      <c r="K64" s="33">
        <f t="shared" si="6"/>
        <v>0</v>
      </c>
      <c r="L64" s="9">
        <f t="shared" ref="L64:L65" si="7">SUM(D64:K64)</f>
        <v>0</v>
      </c>
      <c r="N64" s="108"/>
    </row>
    <row r="65" spans="3:19" x14ac:dyDescent="0.25">
      <c r="C65" s="1" t="s">
        <v>1</v>
      </c>
      <c r="D65" s="33">
        <f t="shared" si="6"/>
        <v>0</v>
      </c>
      <c r="E65" s="33">
        <f t="shared" si="6"/>
        <v>0</v>
      </c>
      <c r="F65" s="33">
        <f t="shared" si="6"/>
        <v>0</v>
      </c>
      <c r="G65" s="33">
        <f t="shared" si="6"/>
        <v>0</v>
      </c>
      <c r="H65" s="33">
        <f t="shared" si="6"/>
        <v>0</v>
      </c>
      <c r="I65" s="33">
        <f t="shared" si="6"/>
        <v>0</v>
      </c>
      <c r="J65" s="33">
        <f t="shared" si="6"/>
        <v>0</v>
      </c>
      <c r="K65" s="33">
        <f t="shared" si="6"/>
        <v>0</v>
      </c>
      <c r="L65" s="3">
        <f t="shared" si="7"/>
        <v>0</v>
      </c>
      <c r="N65" s="108"/>
    </row>
    <row r="66" spans="3:19" x14ac:dyDescent="0.25">
      <c r="C66" s="1" t="s">
        <v>0</v>
      </c>
      <c r="D66" s="10">
        <f t="shared" ref="D66:L66" si="8">SUM(D49:D65)</f>
        <v>-12078.84</v>
      </c>
      <c r="E66" s="10">
        <f t="shared" si="8"/>
        <v>0</v>
      </c>
      <c r="F66" s="10">
        <f t="shared" si="8"/>
        <v>0</v>
      </c>
      <c r="G66" s="10">
        <f t="shared" si="8"/>
        <v>0</v>
      </c>
      <c r="H66" s="10">
        <f t="shared" si="8"/>
        <v>0</v>
      </c>
      <c r="I66" s="10">
        <f t="shared" si="8"/>
        <v>0</v>
      </c>
      <c r="J66" s="10">
        <f t="shared" si="8"/>
        <v>0</v>
      </c>
      <c r="K66" s="10">
        <f t="shared" si="8"/>
        <v>184.99999999999994</v>
      </c>
      <c r="L66" s="10">
        <f t="shared" si="8"/>
        <v>-11893.84</v>
      </c>
      <c r="M66" s="115">
        <v>45097.91</v>
      </c>
      <c r="N66" s="108">
        <f>+L66-M66</f>
        <v>-56991.75</v>
      </c>
    </row>
    <row r="67" spans="3:19" ht="15.75" thickBot="1" x14ac:dyDescent="0.3">
      <c r="C67" s="1"/>
      <c r="D67" s="9"/>
      <c r="E67" s="9"/>
      <c r="F67" s="9"/>
      <c r="G67" s="9"/>
      <c r="H67" s="9"/>
      <c r="I67" s="9"/>
      <c r="J67" s="9"/>
      <c r="K67" s="9"/>
      <c r="L67" s="9"/>
      <c r="N67" s="108"/>
    </row>
    <row r="68" spans="3:19" ht="15.75" thickBot="1" x14ac:dyDescent="0.3">
      <c r="C68" s="153" t="s">
        <v>55</v>
      </c>
      <c r="D68" s="154"/>
      <c r="E68" s="154"/>
      <c r="F68" s="154"/>
      <c r="G68" s="154"/>
      <c r="H68" s="154"/>
      <c r="I68" s="154"/>
      <c r="J68" s="154"/>
      <c r="K68" s="154"/>
      <c r="L68" s="155"/>
      <c r="S68" s="1"/>
    </row>
    <row r="69" spans="3:19" x14ac:dyDescent="0.25">
      <c r="C69" s="4" t="s">
        <v>16</v>
      </c>
      <c r="D69" s="5" t="s">
        <v>15</v>
      </c>
      <c r="E69" s="5" t="s">
        <v>14</v>
      </c>
      <c r="F69" s="5" t="s">
        <v>13</v>
      </c>
      <c r="G69" s="5" t="s">
        <v>12</v>
      </c>
      <c r="H69" s="5" t="s">
        <v>94</v>
      </c>
      <c r="I69" s="5" t="s">
        <v>95</v>
      </c>
      <c r="J69" s="5" t="s">
        <v>38</v>
      </c>
      <c r="K69" s="5" t="s">
        <v>9</v>
      </c>
      <c r="L69" s="5" t="s">
        <v>0</v>
      </c>
      <c r="S69" s="1"/>
    </row>
    <row r="70" spans="3:19" x14ac:dyDescent="0.25">
      <c r="C70" s="1" t="s">
        <v>49</v>
      </c>
      <c r="D70" s="36">
        <f>'Reimbursement Rates &lt;-INPUT'!B9</f>
        <v>0</v>
      </c>
      <c r="E70" s="36">
        <f t="shared" ref="E70:E86" si="9">D70</f>
        <v>0</v>
      </c>
      <c r="F70" s="36">
        <f t="shared" ref="F70:F86" si="10">E70</f>
        <v>0</v>
      </c>
      <c r="G70" s="36">
        <f t="shared" ref="G70:G86" si="11">F70</f>
        <v>0</v>
      </c>
      <c r="H70" s="36">
        <f t="shared" ref="H70:H86" si="12">G70</f>
        <v>0</v>
      </c>
      <c r="I70" s="36">
        <f t="shared" ref="I70:I86" si="13">H70</f>
        <v>0</v>
      </c>
      <c r="J70" s="36">
        <f t="shared" ref="J70:J86" si="14">I70</f>
        <v>0</v>
      </c>
      <c r="K70" s="36">
        <f>J70</f>
        <v>0</v>
      </c>
      <c r="L70" s="36">
        <f t="shared" ref="L70:L86" si="15">J70</f>
        <v>0</v>
      </c>
    </row>
    <row r="71" spans="3:19" x14ac:dyDescent="0.25">
      <c r="C71" s="1" t="s">
        <v>8</v>
      </c>
      <c r="D71" s="36">
        <f>'Reimbursement Rates &lt;-INPUT'!B10</f>
        <v>1</v>
      </c>
      <c r="E71" s="36">
        <f t="shared" si="9"/>
        <v>1</v>
      </c>
      <c r="F71" s="36">
        <f t="shared" si="10"/>
        <v>1</v>
      </c>
      <c r="G71" s="36">
        <f t="shared" si="11"/>
        <v>1</v>
      </c>
      <c r="H71" s="36">
        <f t="shared" si="12"/>
        <v>1</v>
      </c>
      <c r="I71" s="36">
        <f t="shared" si="13"/>
        <v>1</v>
      </c>
      <c r="J71" s="36">
        <f t="shared" si="14"/>
        <v>1</v>
      </c>
      <c r="K71" s="36">
        <f t="shared" ref="K71:K86" si="16">J71</f>
        <v>1</v>
      </c>
      <c r="L71" s="36">
        <f t="shared" si="15"/>
        <v>1</v>
      </c>
      <c r="S71" s="1"/>
    </row>
    <row r="72" spans="3:19" x14ac:dyDescent="0.25">
      <c r="C72" s="1" t="s">
        <v>7</v>
      </c>
      <c r="D72" s="36">
        <f>'Reimbursement Rates &lt;-INPUT'!B11</f>
        <v>0</v>
      </c>
      <c r="E72" s="36">
        <f t="shared" si="9"/>
        <v>0</v>
      </c>
      <c r="F72" s="36">
        <f t="shared" si="10"/>
        <v>0</v>
      </c>
      <c r="G72" s="36">
        <f t="shared" si="11"/>
        <v>0</v>
      </c>
      <c r="H72" s="36">
        <f t="shared" si="12"/>
        <v>0</v>
      </c>
      <c r="I72" s="36">
        <f t="shared" si="13"/>
        <v>0</v>
      </c>
      <c r="J72" s="36">
        <f t="shared" si="14"/>
        <v>0</v>
      </c>
      <c r="K72" s="36">
        <f t="shared" si="16"/>
        <v>0</v>
      </c>
      <c r="L72" s="36">
        <f t="shared" si="15"/>
        <v>0</v>
      </c>
    </row>
    <row r="73" spans="3:19" x14ac:dyDescent="0.25">
      <c r="C73" s="1" t="s">
        <v>42</v>
      </c>
      <c r="D73" s="36">
        <f>'Reimbursement Rates &lt;-INPUT'!B12</f>
        <v>0</v>
      </c>
      <c r="E73" s="36">
        <f t="shared" si="9"/>
        <v>0</v>
      </c>
      <c r="F73" s="36">
        <f t="shared" si="10"/>
        <v>0</v>
      </c>
      <c r="G73" s="36">
        <f t="shared" si="11"/>
        <v>0</v>
      </c>
      <c r="H73" s="36">
        <f t="shared" si="12"/>
        <v>0</v>
      </c>
      <c r="I73" s="36">
        <f t="shared" si="13"/>
        <v>0</v>
      </c>
      <c r="J73" s="36">
        <f t="shared" si="14"/>
        <v>0</v>
      </c>
      <c r="K73" s="36">
        <f t="shared" si="16"/>
        <v>0</v>
      </c>
      <c r="L73" s="36">
        <f t="shared" si="15"/>
        <v>0</v>
      </c>
    </row>
    <row r="74" spans="3:19" x14ac:dyDescent="0.25">
      <c r="C74" s="1" t="s">
        <v>6</v>
      </c>
      <c r="D74" s="36">
        <f>'Reimbursement Rates &lt;-INPUT'!B13</f>
        <v>0</v>
      </c>
      <c r="E74" s="36">
        <f t="shared" si="9"/>
        <v>0</v>
      </c>
      <c r="F74" s="36">
        <f t="shared" si="10"/>
        <v>0</v>
      </c>
      <c r="G74" s="36">
        <f t="shared" si="11"/>
        <v>0</v>
      </c>
      <c r="H74" s="36">
        <f t="shared" si="12"/>
        <v>0</v>
      </c>
      <c r="I74" s="36">
        <f t="shared" si="13"/>
        <v>0</v>
      </c>
      <c r="J74" s="36">
        <f t="shared" si="14"/>
        <v>0</v>
      </c>
      <c r="K74" s="36">
        <f t="shared" si="16"/>
        <v>0</v>
      </c>
      <c r="L74" s="36">
        <f t="shared" si="15"/>
        <v>0</v>
      </c>
      <c r="S74" s="1"/>
    </row>
    <row r="75" spans="3:19" x14ac:dyDescent="0.25">
      <c r="C75" s="1" t="s">
        <v>50</v>
      </c>
      <c r="D75" s="36">
        <f>'Reimbursement Rates &lt;-INPUT'!B15</f>
        <v>0</v>
      </c>
      <c r="E75" s="36">
        <f t="shared" si="9"/>
        <v>0</v>
      </c>
      <c r="F75" s="36">
        <f t="shared" si="10"/>
        <v>0</v>
      </c>
      <c r="G75" s="36">
        <f t="shared" si="11"/>
        <v>0</v>
      </c>
      <c r="H75" s="36">
        <f t="shared" si="12"/>
        <v>0</v>
      </c>
      <c r="I75" s="36">
        <f t="shared" si="13"/>
        <v>0</v>
      </c>
      <c r="J75" s="36">
        <f t="shared" si="14"/>
        <v>0</v>
      </c>
      <c r="K75" s="36">
        <f t="shared" si="16"/>
        <v>0</v>
      </c>
      <c r="L75" s="36">
        <f>J75</f>
        <v>0</v>
      </c>
      <c r="O75" s="7"/>
    </row>
    <row r="76" spans="3:19" x14ac:dyDescent="0.25">
      <c r="C76" s="1" t="s">
        <v>89</v>
      </c>
      <c r="D76" s="36">
        <f>'Reimbursement Rates &lt;-INPUT'!B16</f>
        <v>0</v>
      </c>
      <c r="E76" s="36">
        <f t="shared" si="9"/>
        <v>0</v>
      </c>
      <c r="F76" s="36">
        <f t="shared" si="10"/>
        <v>0</v>
      </c>
      <c r="G76" s="36">
        <f t="shared" si="11"/>
        <v>0</v>
      </c>
      <c r="H76" s="36">
        <f t="shared" si="12"/>
        <v>0</v>
      </c>
      <c r="I76" s="36">
        <f t="shared" si="13"/>
        <v>0</v>
      </c>
      <c r="J76" s="36">
        <f t="shared" si="14"/>
        <v>0</v>
      </c>
      <c r="K76" s="36">
        <f t="shared" si="16"/>
        <v>0</v>
      </c>
      <c r="L76" s="36">
        <f t="shared" si="15"/>
        <v>0</v>
      </c>
      <c r="O76" s="7"/>
    </row>
    <row r="77" spans="3:19" x14ac:dyDescent="0.25">
      <c r="C77" s="1" t="s">
        <v>5</v>
      </c>
      <c r="D77" s="36">
        <f>'Reimbursement Rates &lt;-INPUT'!B17</f>
        <v>0</v>
      </c>
      <c r="E77" s="36">
        <f t="shared" si="9"/>
        <v>0</v>
      </c>
      <c r="F77" s="36">
        <f t="shared" si="10"/>
        <v>0</v>
      </c>
      <c r="G77" s="36">
        <f t="shared" si="11"/>
        <v>0</v>
      </c>
      <c r="H77" s="36">
        <f t="shared" si="12"/>
        <v>0</v>
      </c>
      <c r="I77" s="36">
        <f t="shared" si="13"/>
        <v>0</v>
      </c>
      <c r="J77" s="36">
        <f t="shared" si="14"/>
        <v>0</v>
      </c>
      <c r="K77" s="36">
        <f t="shared" si="16"/>
        <v>0</v>
      </c>
      <c r="L77" s="36">
        <f t="shared" si="15"/>
        <v>0</v>
      </c>
      <c r="O77" s="7"/>
      <c r="S77" s="1"/>
    </row>
    <row r="78" spans="3:19" x14ac:dyDescent="0.25">
      <c r="C78" s="1" t="s">
        <v>84</v>
      </c>
      <c r="D78" s="36">
        <f>'Reimbursement Rates &lt;-INPUT'!B18</f>
        <v>0</v>
      </c>
      <c r="E78" s="36">
        <f t="shared" si="9"/>
        <v>0</v>
      </c>
      <c r="F78" s="36">
        <f t="shared" si="10"/>
        <v>0</v>
      </c>
      <c r="G78" s="36">
        <f t="shared" si="11"/>
        <v>0</v>
      </c>
      <c r="H78" s="36">
        <f t="shared" si="12"/>
        <v>0</v>
      </c>
      <c r="I78" s="36">
        <f t="shared" si="13"/>
        <v>0</v>
      </c>
      <c r="J78" s="36">
        <f t="shared" si="14"/>
        <v>0</v>
      </c>
      <c r="K78" s="36">
        <f t="shared" si="16"/>
        <v>0</v>
      </c>
      <c r="L78" s="36">
        <f t="shared" si="15"/>
        <v>0</v>
      </c>
      <c r="O78" s="7"/>
      <c r="S78" s="1"/>
    </row>
    <row r="79" spans="3:19" x14ac:dyDescent="0.25">
      <c r="C79" s="1" t="s">
        <v>4</v>
      </c>
      <c r="D79" s="36">
        <f>'Reimbursement Rates &lt;-INPUT'!B19</f>
        <v>0</v>
      </c>
      <c r="E79" s="36">
        <f t="shared" si="9"/>
        <v>0</v>
      </c>
      <c r="F79" s="36">
        <f t="shared" si="10"/>
        <v>0</v>
      </c>
      <c r="G79" s="36">
        <f t="shared" si="11"/>
        <v>0</v>
      </c>
      <c r="H79" s="36">
        <f t="shared" si="12"/>
        <v>0</v>
      </c>
      <c r="I79" s="36">
        <f t="shared" si="13"/>
        <v>0</v>
      </c>
      <c r="J79" s="36">
        <f t="shared" si="14"/>
        <v>0</v>
      </c>
      <c r="K79" s="36">
        <f t="shared" si="16"/>
        <v>0</v>
      </c>
      <c r="L79" s="36">
        <f t="shared" si="15"/>
        <v>0</v>
      </c>
      <c r="O79" s="7"/>
    </row>
    <row r="80" spans="3:19" x14ac:dyDescent="0.25">
      <c r="C80" s="1" t="s">
        <v>51</v>
      </c>
      <c r="D80" s="36">
        <f>'Reimbursement Rates &lt;-INPUT'!B20</f>
        <v>0</v>
      </c>
      <c r="E80" s="36">
        <f t="shared" si="9"/>
        <v>0</v>
      </c>
      <c r="F80" s="36">
        <f t="shared" si="10"/>
        <v>0</v>
      </c>
      <c r="G80" s="36">
        <f t="shared" si="11"/>
        <v>0</v>
      </c>
      <c r="H80" s="36">
        <f t="shared" si="12"/>
        <v>0</v>
      </c>
      <c r="I80" s="36">
        <f t="shared" si="13"/>
        <v>0</v>
      </c>
      <c r="J80" s="36">
        <f t="shared" si="14"/>
        <v>0</v>
      </c>
      <c r="K80" s="36">
        <f t="shared" si="16"/>
        <v>0</v>
      </c>
      <c r="L80" s="36">
        <f t="shared" si="15"/>
        <v>0</v>
      </c>
      <c r="O80" s="7"/>
      <c r="S80" s="1"/>
    </row>
    <row r="81" spans="3:19" x14ac:dyDescent="0.25">
      <c r="C81" s="1" t="s">
        <v>85</v>
      </c>
      <c r="D81" s="36">
        <f>'Reimbursement Rates &lt;-INPUT'!B22</f>
        <v>0</v>
      </c>
      <c r="E81" s="36">
        <f t="shared" si="9"/>
        <v>0</v>
      </c>
      <c r="F81" s="36">
        <f t="shared" si="10"/>
        <v>0</v>
      </c>
      <c r="G81" s="36">
        <f t="shared" si="11"/>
        <v>0</v>
      </c>
      <c r="H81" s="36">
        <f t="shared" si="12"/>
        <v>0</v>
      </c>
      <c r="I81" s="36">
        <f t="shared" si="13"/>
        <v>0</v>
      </c>
      <c r="J81" s="36">
        <f t="shared" si="14"/>
        <v>0</v>
      </c>
      <c r="K81" s="36">
        <f t="shared" si="16"/>
        <v>0</v>
      </c>
      <c r="L81" s="36">
        <f t="shared" si="15"/>
        <v>0</v>
      </c>
      <c r="O81" s="7"/>
      <c r="S81" s="1"/>
    </row>
    <row r="82" spans="3:19" x14ac:dyDescent="0.25">
      <c r="C82" s="1" t="s">
        <v>2</v>
      </c>
      <c r="D82" s="36">
        <f>'Reimbursement Rates &lt;-INPUT'!B23</f>
        <v>1</v>
      </c>
      <c r="E82" s="36">
        <f t="shared" si="9"/>
        <v>1</v>
      </c>
      <c r="F82" s="36">
        <f t="shared" si="10"/>
        <v>1</v>
      </c>
      <c r="G82" s="36">
        <f t="shared" si="11"/>
        <v>1</v>
      </c>
      <c r="H82" s="36">
        <f t="shared" si="12"/>
        <v>1</v>
      </c>
      <c r="I82" s="36">
        <f t="shared" si="13"/>
        <v>1</v>
      </c>
      <c r="J82" s="36">
        <f t="shared" si="14"/>
        <v>1</v>
      </c>
      <c r="K82" s="36">
        <f t="shared" si="16"/>
        <v>1</v>
      </c>
      <c r="L82" s="36">
        <f t="shared" si="15"/>
        <v>1</v>
      </c>
      <c r="O82" s="7"/>
      <c r="S82" s="1"/>
    </row>
    <row r="83" spans="3:19" x14ac:dyDescent="0.25">
      <c r="C83" s="1" t="s">
        <v>86</v>
      </c>
      <c r="D83" s="36">
        <f>'Reimbursement Rates &lt;-INPUT'!B24</f>
        <v>0</v>
      </c>
      <c r="E83" s="36">
        <f t="shared" si="9"/>
        <v>0</v>
      </c>
      <c r="F83" s="36">
        <f t="shared" si="10"/>
        <v>0</v>
      </c>
      <c r="G83" s="36">
        <f t="shared" si="11"/>
        <v>0</v>
      </c>
      <c r="H83" s="36">
        <f t="shared" si="12"/>
        <v>0</v>
      </c>
      <c r="I83" s="36">
        <f t="shared" si="13"/>
        <v>0</v>
      </c>
      <c r="J83" s="36">
        <f t="shared" si="14"/>
        <v>0</v>
      </c>
      <c r="K83" s="36">
        <f t="shared" si="16"/>
        <v>0</v>
      </c>
      <c r="L83" s="36">
        <f t="shared" si="15"/>
        <v>0</v>
      </c>
      <c r="O83" s="7"/>
    </row>
    <row r="84" spans="3:19" x14ac:dyDescent="0.25">
      <c r="C84" s="1" t="s">
        <v>29</v>
      </c>
      <c r="D84" s="36">
        <f>'Reimbursement Rates &lt;-INPUT'!B25</f>
        <v>0</v>
      </c>
      <c r="E84" s="36">
        <f t="shared" si="9"/>
        <v>0</v>
      </c>
      <c r="F84" s="36">
        <f t="shared" si="10"/>
        <v>0</v>
      </c>
      <c r="G84" s="36">
        <f t="shared" si="11"/>
        <v>0</v>
      </c>
      <c r="H84" s="36">
        <f t="shared" si="12"/>
        <v>0</v>
      </c>
      <c r="I84" s="36">
        <f t="shared" si="13"/>
        <v>0</v>
      </c>
      <c r="J84" s="36">
        <f t="shared" si="14"/>
        <v>0</v>
      </c>
      <c r="K84" s="36">
        <f t="shared" si="16"/>
        <v>0</v>
      </c>
      <c r="L84" s="36">
        <f t="shared" si="15"/>
        <v>0</v>
      </c>
      <c r="O84" s="7"/>
    </row>
    <row r="85" spans="3:19" x14ac:dyDescent="0.25">
      <c r="C85" s="1" t="s">
        <v>52</v>
      </c>
      <c r="D85" s="36">
        <f>'Reimbursement Rates &lt;-INPUT'!B26</f>
        <v>0</v>
      </c>
      <c r="E85" s="36">
        <f t="shared" si="9"/>
        <v>0</v>
      </c>
      <c r="F85" s="36">
        <f t="shared" si="10"/>
        <v>0</v>
      </c>
      <c r="G85" s="36">
        <f t="shared" si="11"/>
        <v>0</v>
      </c>
      <c r="H85" s="36">
        <f t="shared" si="12"/>
        <v>0</v>
      </c>
      <c r="I85" s="36">
        <f t="shared" si="13"/>
        <v>0</v>
      </c>
      <c r="J85" s="36">
        <f t="shared" si="14"/>
        <v>0</v>
      </c>
      <c r="K85" s="36">
        <f t="shared" si="16"/>
        <v>0</v>
      </c>
      <c r="L85" s="36">
        <f t="shared" si="15"/>
        <v>0</v>
      </c>
      <c r="O85" s="7"/>
      <c r="S85" s="1"/>
    </row>
    <row r="86" spans="3:19" x14ac:dyDescent="0.25">
      <c r="C86" s="1" t="s">
        <v>1</v>
      </c>
      <c r="D86" s="36">
        <f>'Reimbursement Rates &lt;-INPUT'!B28</f>
        <v>0</v>
      </c>
      <c r="E86" s="36">
        <f t="shared" si="9"/>
        <v>0</v>
      </c>
      <c r="F86" s="36">
        <f t="shared" si="10"/>
        <v>0</v>
      </c>
      <c r="G86" s="36">
        <f t="shared" si="11"/>
        <v>0</v>
      </c>
      <c r="H86" s="36">
        <f t="shared" si="12"/>
        <v>0</v>
      </c>
      <c r="I86" s="36">
        <f t="shared" si="13"/>
        <v>0</v>
      </c>
      <c r="J86" s="36">
        <f t="shared" si="14"/>
        <v>0</v>
      </c>
      <c r="K86" s="36">
        <f t="shared" si="16"/>
        <v>0</v>
      </c>
      <c r="L86" s="36">
        <f t="shared" si="15"/>
        <v>0</v>
      </c>
      <c r="O86" s="7"/>
      <c r="S86" s="1"/>
    </row>
    <row r="87" spans="3:19" ht="15.75" thickBot="1" x14ac:dyDescent="0.3">
      <c r="C87" s="1"/>
      <c r="D87" s="9"/>
      <c r="E87" s="9"/>
      <c r="F87" s="9"/>
      <c r="G87" s="9"/>
      <c r="H87" s="9"/>
      <c r="I87" s="9"/>
      <c r="J87" s="9"/>
      <c r="K87" s="9"/>
      <c r="L87" s="9"/>
      <c r="O87" s="7"/>
      <c r="S87" s="1"/>
    </row>
    <row r="88" spans="3:19" ht="15.75" thickBot="1" x14ac:dyDescent="0.3">
      <c r="C88" s="150" t="s">
        <v>33</v>
      </c>
      <c r="D88" s="151"/>
      <c r="E88" s="151"/>
      <c r="F88" s="151"/>
      <c r="G88" s="151"/>
      <c r="H88" s="151"/>
      <c r="I88" s="151"/>
      <c r="J88" s="151"/>
      <c r="K88" s="151"/>
      <c r="L88" s="152"/>
      <c r="O88" s="7"/>
      <c r="S88" s="1"/>
    </row>
    <row r="89" spans="3:19" x14ac:dyDescent="0.25">
      <c r="C89" s="4" t="s">
        <v>16</v>
      </c>
      <c r="D89" s="5" t="s">
        <v>15</v>
      </c>
      <c r="E89" s="5" t="s">
        <v>14</v>
      </c>
      <c r="F89" s="5" t="s">
        <v>13</v>
      </c>
      <c r="G89" s="5" t="s">
        <v>12</v>
      </c>
      <c r="H89" s="5" t="s">
        <v>94</v>
      </c>
      <c r="I89" s="5" t="s">
        <v>95</v>
      </c>
      <c r="J89" s="5" t="s">
        <v>38</v>
      </c>
      <c r="K89" s="5" t="s">
        <v>9</v>
      </c>
      <c r="L89" s="5" t="s">
        <v>0</v>
      </c>
      <c r="M89" s="118"/>
      <c r="N89" s="118"/>
      <c r="O89" s="7"/>
    </row>
    <row r="90" spans="3:19" x14ac:dyDescent="0.25">
      <c r="C90" s="1" t="s">
        <v>49</v>
      </c>
      <c r="D90" s="98">
        <f>D49*(1-D70)</f>
        <v>0</v>
      </c>
      <c r="E90" s="98">
        <f t="shared" ref="E90:K90" si="17">E49*(1-E70)</f>
        <v>0</v>
      </c>
      <c r="F90" s="98">
        <f t="shared" si="17"/>
        <v>0</v>
      </c>
      <c r="G90" s="98">
        <f t="shared" si="17"/>
        <v>0</v>
      </c>
      <c r="H90" s="98">
        <f t="shared" si="17"/>
        <v>0</v>
      </c>
      <c r="I90" s="98">
        <f t="shared" si="17"/>
        <v>0</v>
      </c>
      <c r="J90" s="98">
        <f t="shared" si="17"/>
        <v>0</v>
      </c>
      <c r="K90" s="98">
        <f t="shared" si="17"/>
        <v>0</v>
      </c>
      <c r="L90" s="98">
        <f>SUM(D90:K90)</f>
        <v>0</v>
      </c>
      <c r="M90" s="118"/>
      <c r="N90" s="118"/>
      <c r="O90" s="7"/>
      <c r="S90" s="1"/>
    </row>
    <row r="91" spans="3:19" x14ac:dyDescent="0.25">
      <c r="C91" s="1" t="s">
        <v>8</v>
      </c>
      <c r="D91" s="37">
        <f t="shared" ref="D91:K91" si="18">D50*(1-D71)</f>
        <v>0</v>
      </c>
      <c r="E91" s="37">
        <f t="shared" si="18"/>
        <v>0</v>
      </c>
      <c r="F91" s="37">
        <f t="shared" si="18"/>
        <v>0</v>
      </c>
      <c r="G91" s="37">
        <f t="shared" si="18"/>
        <v>0</v>
      </c>
      <c r="H91" s="37">
        <f t="shared" si="18"/>
        <v>0</v>
      </c>
      <c r="I91" s="37">
        <f t="shared" si="18"/>
        <v>0</v>
      </c>
      <c r="J91" s="37">
        <f t="shared" si="18"/>
        <v>0</v>
      </c>
      <c r="K91" s="37">
        <f t="shared" si="18"/>
        <v>0</v>
      </c>
      <c r="L91" s="37">
        <f>SUM(D91:K91)</f>
        <v>0</v>
      </c>
      <c r="M91" s="118"/>
      <c r="N91" s="118"/>
      <c r="O91" s="7"/>
      <c r="S91" s="7"/>
    </row>
    <row r="92" spans="3:19" x14ac:dyDescent="0.25">
      <c r="C92" s="1" t="s">
        <v>7</v>
      </c>
      <c r="D92" s="37">
        <f t="shared" ref="D92:K92" si="19">D51*(1-D72)</f>
        <v>0</v>
      </c>
      <c r="E92" s="37">
        <f t="shared" si="19"/>
        <v>0</v>
      </c>
      <c r="F92" s="37">
        <f t="shared" si="19"/>
        <v>0</v>
      </c>
      <c r="G92" s="37">
        <f t="shared" si="19"/>
        <v>0</v>
      </c>
      <c r="H92" s="37">
        <f t="shared" si="19"/>
        <v>0</v>
      </c>
      <c r="I92" s="37">
        <f t="shared" si="19"/>
        <v>0</v>
      </c>
      <c r="J92" s="37">
        <f t="shared" si="19"/>
        <v>0</v>
      </c>
      <c r="K92" s="37">
        <f t="shared" si="19"/>
        <v>174.40999999999997</v>
      </c>
      <c r="L92" s="37">
        <f t="shared" ref="L92:L106" si="20">SUM(D92:K92)</f>
        <v>174.40999999999997</v>
      </c>
      <c r="M92" s="118"/>
      <c r="N92" s="118"/>
      <c r="O92" s="7"/>
    </row>
    <row r="93" spans="3:19" x14ac:dyDescent="0.25">
      <c r="C93" s="1" t="s">
        <v>42</v>
      </c>
      <c r="D93" s="37">
        <f t="shared" ref="D93:K93" si="21">D52*(1-D73)</f>
        <v>0</v>
      </c>
      <c r="E93" s="37">
        <f t="shared" si="21"/>
        <v>0</v>
      </c>
      <c r="F93" s="37">
        <f t="shared" si="21"/>
        <v>0</v>
      </c>
      <c r="G93" s="37">
        <f t="shared" si="21"/>
        <v>0</v>
      </c>
      <c r="H93" s="37">
        <f t="shared" si="21"/>
        <v>0</v>
      </c>
      <c r="I93" s="37">
        <f t="shared" si="21"/>
        <v>0</v>
      </c>
      <c r="J93" s="37">
        <f t="shared" si="21"/>
        <v>0</v>
      </c>
      <c r="K93" s="37">
        <f t="shared" si="21"/>
        <v>0</v>
      </c>
      <c r="L93" s="37">
        <f t="shared" si="20"/>
        <v>0</v>
      </c>
      <c r="M93" s="118"/>
      <c r="N93" s="118"/>
      <c r="O93" s="7"/>
    </row>
    <row r="94" spans="3:19" x14ac:dyDescent="0.25">
      <c r="C94" s="1" t="s">
        <v>6</v>
      </c>
      <c r="D94" s="37">
        <f t="shared" ref="D94:K94" si="22">D53*(1-D74)</f>
        <v>0</v>
      </c>
      <c r="E94" s="37">
        <f t="shared" si="22"/>
        <v>0</v>
      </c>
      <c r="F94" s="37">
        <f t="shared" si="22"/>
        <v>0</v>
      </c>
      <c r="G94" s="37">
        <f t="shared" si="22"/>
        <v>0</v>
      </c>
      <c r="H94" s="37">
        <f t="shared" si="22"/>
        <v>0</v>
      </c>
      <c r="I94" s="37">
        <f t="shared" si="22"/>
        <v>0</v>
      </c>
      <c r="J94" s="37">
        <f t="shared" si="22"/>
        <v>0</v>
      </c>
      <c r="K94" s="37">
        <f t="shared" si="22"/>
        <v>31.499999999999972</v>
      </c>
      <c r="L94" s="37">
        <f>SUM(D94:K94)</f>
        <v>31.499999999999972</v>
      </c>
      <c r="M94" s="118"/>
      <c r="N94" s="118"/>
      <c r="O94" s="7"/>
    </row>
    <row r="95" spans="3:19" x14ac:dyDescent="0.25">
      <c r="C95" s="1" t="s">
        <v>50</v>
      </c>
      <c r="D95" s="37">
        <f t="shared" ref="D95:K95" si="23">D54*(1-D75)</f>
        <v>0</v>
      </c>
      <c r="E95" s="37">
        <f t="shared" si="23"/>
        <v>0</v>
      </c>
      <c r="F95" s="37">
        <f t="shared" si="23"/>
        <v>0</v>
      </c>
      <c r="G95" s="37">
        <f t="shared" si="23"/>
        <v>0</v>
      </c>
      <c r="H95" s="37">
        <f t="shared" si="23"/>
        <v>0</v>
      </c>
      <c r="I95" s="37">
        <f t="shared" si="23"/>
        <v>0</v>
      </c>
      <c r="J95" s="37">
        <f t="shared" si="23"/>
        <v>0</v>
      </c>
      <c r="K95" s="37">
        <f t="shared" si="23"/>
        <v>0</v>
      </c>
      <c r="L95" s="37">
        <f t="shared" si="20"/>
        <v>0</v>
      </c>
      <c r="M95" s="118"/>
      <c r="N95" s="118"/>
      <c r="O95" s="7"/>
    </row>
    <row r="96" spans="3:19" x14ac:dyDescent="0.25">
      <c r="C96" s="1" t="s">
        <v>89</v>
      </c>
      <c r="D96" s="37">
        <f t="shared" ref="D96:K96" si="24">D55*(1-D76)</f>
        <v>0</v>
      </c>
      <c r="E96" s="37">
        <f t="shared" si="24"/>
        <v>0</v>
      </c>
      <c r="F96" s="37">
        <f t="shared" si="24"/>
        <v>0</v>
      </c>
      <c r="G96" s="37">
        <f t="shared" si="24"/>
        <v>0</v>
      </c>
      <c r="H96" s="37">
        <f t="shared" si="24"/>
        <v>0</v>
      </c>
      <c r="I96" s="37">
        <f t="shared" si="24"/>
        <v>0</v>
      </c>
      <c r="J96" s="37">
        <f t="shared" si="24"/>
        <v>0</v>
      </c>
      <c r="K96" s="37">
        <f t="shared" si="24"/>
        <v>0</v>
      </c>
      <c r="L96" s="37">
        <f t="shared" si="20"/>
        <v>0</v>
      </c>
      <c r="M96" s="118"/>
      <c r="N96" s="118"/>
      <c r="O96" s="7"/>
    </row>
    <row r="97" spans="3:16" x14ac:dyDescent="0.25">
      <c r="C97" s="1" t="s">
        <v>5</v>
      </c>
      <c r="D97" s="37">
        <f t="shared" ref="D97:K97" si="25">D56*(1-D77)</f>
        <v>0</v>
      </c>
      <c r="E97" s="37">
        <f t="shared" si="25"/>
        <v>0</v>
      </c>
      <c r="F97" s="37">
        <f t="shared" si="25"/>
        <v>0</v>
      </c>
      <c r="G97" s="37">
        <f t="shared" si="25"/>
        <v>0</v>
      </c>
      <c r="H97" s="37">
        <f t="shared" si="25"/>
        <v>0</v>
      </c>
      <c r="I97" s="37">
        <f t="shared" si="25"/>
        <v>0</v>
      </c>
      <c r="J97" s="37">
        <f t="shared" si="25"/>
        <v>0</v>
      </c>
      <c r="K97" s="37">
        <f t="shared" si="25"/>
        <v>0</v>
      </c>
      <c r="L97" s="37">
        <f t="shared" si="20"/>
        <v>0</v>
      </c>
      <c r="M97" s="118"/>
      <c r="N97" s="118"/>
      <c r="O97" s="7"/>
    </row>
    <row r="98" spans="3:16" x14ac:dyDescent="0.25">
      <c r="C98" s="1" t="s">
        <v>84</v>
      </c>
      <c r="D98" s="37">
        <f t="shared" ref="D98:K98" si="26">D57*(1-D78)</f>
        <v>0</v>
      </c>
      <c r="E98" s="37">
        <f t="shared" si="26"/>
        <v>0</v>
      </c>
      <c r="F98" s="37">
        <f t="shared" si="26"/>
        <v>0</v>
      </c>
      <c r="G98" s="37">
        <f t="shared" si="26"/>
        <v>0</v>
      </c>
      <c r="H98" s="37">
        <f t="shared" si="26"/>
        <v>0</v>
      </c>
      <c r="I98" s="37">
        <f t="shared" si="26"/>
        <v>0</v>
      </c>
      <c r="J98" s="37">
        <f t="shared" si="26"/>
        <v>0</v>
      </c>
      <c r="K98" s="37">
        <f t="shared" si="26"/>
        <v>15</v>
      </c>
      <c r="L98" s="37">
        <f t="shared" si="20"/>
        <v>15</v>
      </c>
      <c r="M98" s="118"/>
      <c r="N98" s="118"/>
      <c r="O98" s="7"/>
    </row>
    <row r="99" spans="3:16" x14ac:dyDescent="0.25">
      <c r="C99" s="1" t="s">
        <v>4</v>
      </c>
      <c r="D99" s="37">
        <f t="shared" ref="D99:K99" si="27">D58*(1-D79)</f>
        <v>0</v>
      </c>
      <c r="E99" s="37">
        <f t="shared" si="27"/>
        <v>0</v>
      </c>
      <c r="F99" s="37">
        <f t="shared" si="27"/>
        <v>0</v>
      </c>
      <c r="G99" s="37">
        <f t="shared" si="27"/>
        <v>0</v>
      </c>
      <c r="H99" s="37">
        <f t="shared" si="27"/>
        <v>0</v>
      </c>
      <c r="I99" s="37">
        <f t="shared" si="27"/>
        <v>0</v>
      </c>
      <c r="J99" s="37">
        <f t="shared" si="27"/>
        <v>0</v>
      </c>
      <c r="K99" s="37">
        <f t="shared" si="27"/>
        <v>113.93</v>
      </c>
      <c r="L99" s="37">
        <f t="shared" si="20"/>
        <v>113.93</v>
      </c>
      <c r="M99" s="118"/>
      <c r="N99" s="118"/>
      <c r="O99" s="7"/>
    </row>
    <row r="100" spans="3:16" x14ac:dyDescent="0.25">
      <c r="C100" s="1" t="s">
        <v>51</v>
      </c>
      <c r="D100" s="37">
        <f t="shared" ref="D100:K100" si="28">D59*(1-D80)</f>
        <v>0</v>
      </c>
      <c r="E100" s="37">
        <f t="shared" si="28"/>
        <v>0</v>
      </c>
      <c r="F100" s="37">
        <f t="shared" si="28"/>
        <v>0</v>
      </c>
      <c r="G100" s="37">
        <f t="shared" si="28"/>
        <v>0</v>
      </c>
      <c r="H100" s="37">
        <f t="shared" si="28"/>
        <v>0</v>
      </c>
      <c r="I100" s="37">
        <f t="shared" si="28"/>
        <v>0</v>
      </c>
      <c r="J100" s="37">
        <f t="shared" si="28"/>
        <v>0</v>
      </c>
      <c r="K100" s="37">
        <f t="shared" si="28"/>
        <v>0</v>
      </c>
      <c r="L100" s="37">
        <f t="shared" si="20"/>
        <v>0</v>
      </c>
      <c r="M100" s="118"/>
      <c r="N100" s="118"/>
      <c r="O100" s="7"/>
    </row>
    <row r="101" spans="3:16" x14ac:dyDescent="0.25">
      <c r="C101" s="1" t="s">
        <v>85</v>
      </c>
      <c r="D101" s="37">
        <f t="shared" ref="D101:K101" si="29">D60*(1-D81)</f>
        <v>0</v>
      </c>
      <c r="E101" s="37">
        <f t="shared" si="29"/>
        <v>0</v>
      </c>
      <c r="F101" s="37">
        <f t="shared" si="29"/>
        <v>0</v>
      </c>
      <c r="G101" s="37">
        <f t="shared" si="29"/>
        <v>0</v>
      </c>
      <c r="H101" s="37">
        <f t="shared" si="29"/>
        <v>0</v>
      </c>
      <c r="I101" s="37">
        <f t="shared" si="29"/>
        <v>0</v>
      </c>
      <c r="J101" s="37">
        <f t="shared" si="29"/>
        <v>0</v>
      </c>
      <c r="K101" s="37">
        <f t="shared" si="29"/>
        <v>0</v>
      </c>
      <c r="L101" s="37">
        <f t="shared" si="20"/>
        <v>0</v>
      </c>
      <c r="M101" s="118"/>
      <c r="N101" s="118"/>
      <c r="O101" s="7"/>
    </row>
    <row r="102" spans="3:16" x14ac:dyDescent="0.25">
      <c r="C102" s="1" t="s">
        <v>2</v>
      </c>
      <c r="D102" s="37">
        <f t="shared" ref="D102:K102" si="30">D61*(1-D82)</f>
        <v>0</v>
      </c>
      <c r="E102" s="37">
        <f t="shared" si="30"/>
        <v>0</v>
      </c>
      <c r="F102" s="37">
        <f t="shared" si="30"/>
        <v>0</v>
      </c>
      <c r="G102" s="37">
        <f t="shared" si="30"/>
        <v>0</v>
      </c>
      <c r="H102" s="37">
        <f t="shared" si="30"/>
        <v>0</v>
      </c>
      <c r="I102" s="37">
        <f t="shared" si="30"/>
        <v>0</v>
      </c>
      <c r="J102" s="37">
        <f t="shared" si="30"/>
        <v>0</v>
      </c>
      <c r="K102" s="37">
        <f t="shared" si="30"/>
        <v>0</v>
      </c>
      <c r="L102" s="37">
        <f t="shared" si="20"/>
        <v>0</v>
      </c>
      <c r="M102" s="118"/>
      <c r="N102" s="118"/>
      <c r="O102" s="7"/>
    </row>
    <row r="103" spans="3:16" x14ac:dyDescent="0.25">
      <c r="C103" s="1" t="s">
        <v>86</v>
      </c>
      <c r="D103" s="37">
        <f t="shared" ref="D103:K103" si="31">D62*(1-D83)</f>
        <v>0</v>
      </c>
      <c r="E103" s="37">
        <f t="shared" si="31"/>
        <v>0</v>
      </c>
      <c r="F103" s="37">
        <f t="shared" si="31"/>
        <v>0</v>
      </c>
      <c r="G103" s="37">
        <f t="shared" si="31"/>
        <v>0</v>
      </c>
      <c r="H103" s="37">
        <f t="shared" si="31"/>
        <v>0</v>
      </c>
      <c r="I103" s="37">
        <f t="shared" si="31"/>
        <v>0</v>
      </c>
      <c r="J103" s="37">
        <f t="shared" si="31"/>
        <v>0</v>
      </c>
      <c r="K103" s="37">
        <f t="shared" si="31"/>
        <v>8.25</v>
      </c>
      <c r="L103" s="37">
        <f t="shared" si="20"/>
        <v>8.25</v>
      </c>
      <c r="M103" s="118"/>
      <c r="N103" s="118"/>
      <c r="O103" s="168" t="s">
        <v>62</v>
      </c>
    </row>
    <row r="104" spans="3:16" x14ac:dyDescent="0.25">
      <c r="C104" s="1" t="s">
        <v>29</v>
      </c>
      <c r="D104" s="37">
        <f t="shared" ref="D104:K104" si="32">D63*(1-D84)</f>
        <v>0</v>
      </c>
      <c r="E104" s="37">
        <f t="shared" si="32"/>
        <v>0</v>
      </c>
      <c r="F104" s="37">
        <f t="shared" si="32"/>
        <v>0</v>
      </c>
      <c r="G104" s="37">
        <f t="shared" si="32"/>
        <v>0</v>
      </c>
      <c r="H104" s="37">
        <f t="shared" si="32"/>
        <v>0</v>
      </c>
      <c r="I104" s="37">
        <f t="shared" si="32"/>
        <v>0</v>
      </c>
      <c r="J104" s="37">
        <f t="shared" si="32"/>
        <v>0</v>
      </c>
      <c r="K104" s="37">
        <f t="shared" si="32"/>
        <v>20</v>
      </c>
      <c r="L104" s="37">
        <f t="shared" si="20"/>
        <v>20</v>
      </c>
      <c r="M104" s="118"/>
      <c r="N104" s="118"/>
      <c r="O104" s="168"/>
    </row>
    <row r="105" spans="3:16" x14ac:dyDescent="0.25">
      <c r="C105" s="1" t="s">
        <v>52</v>
      </c>
      <c r="D105" s="37">
        <f t="shared" ref="D105:K105" si="33">D64*(1-D85)</f>
        <v>0</v>
      </c>
      <c r="E105" s="37">
        <f t="shared" si="33"/>
        <v>0</v>
      </c>
      <c r="F105" s="37">
        <f t="shared" si="33"/>
        <v>0</v>
      </c>
      <c r="G105" s="37">
        <f t="shared" si="33"/>
        <v>0</v>
      </c>
      <c r="H105" s="37">
        <f t="shared" si="33"/>
        <v>0</v>
      </c>
      <c r="I105" s="37">
        <f t="shared" si="33"/>
        <v>0</v>
      </c>
      <c r="J105" s="37">
        <f t="shared" si="33"/>
        <v>0</v>
      </c>
      <c r="K105" s="37">
        <f t="shared" si="33"/>
        <v>0</v>
      </c>
      <c r="L105" s="37">
        <f t="shared" si="20"/>
        <v>0</v>
      </c>
      <c r="M105" s="118"/>
      <c r="N105" s="127" t="s">
        <v>234</v>
      </c>
      <c r="O105" s="168" t="s">
        <v>63</v>
      </c>
    </row>
    <row r="106" spans="3:16" x14ac:dyDescent="0.25">
      <c r="C106" s="1" t="s">
        <v>1</v>
      </c>
      <c r="D106" s="37">
        <f t="shared" ref="D106:K106" si="34">D65*(1-D86)</f>
        <v>0</v>
      </c>
      <c r="E106" s="37">
        <f t="shared" si="34"/>
        <v>0</v>
      </c>
      <c r="F106" s="37">
        <f t="shared" si="34"/>
        <v>0</v>
      </c>
      <c r="G106" s="37">
        <f t="shared" si="34"/>
        <v>0</v>
      </c>
      <c r="H106" s="37">
        <f t="shared" si="34"/>
        <v>0</v>
      </c>
      <c r="I106" s="37">
        <f t="shared" si="34"/>
        <v>0</v>
      </c>
      <c r="J106" s="37">
        <f t="shared" si="34"/>
        <v>0</v>
      </c>
      <c r="K106" s="37">
        <f t="shared" si="34"/>
        <v>0</v>
      </c>
      <c r="L106" s="37">
        <f t="shared" si="20"/>
        <v>0</v>
      </c>
      <c r="M106" s="118"/>
      <c r="N106" s="128" t="s">
        <v>61</v>
      </c>
      <c r="O106" s="169"/>
    </row>
    <row r="107" spans="3:16" x14ac:dyDescent="0.25">
      <c r="C107" s="111"/>
      <c r="D107" s="10">
        <f>SUM(D90:D106)</f>
        <v>0</v>
      </c>
      <c r="E107" s="10">
        <f t="shared" ref="E107:L107" si="35">SUM(E90:E106)</f>
        <v>0</v>
      </c>
      <c r="F107" s="10">
        <f t="shared" si="35"/>
        <v>0</v>
      </c>
      <c r="G107" s="10">
        <f t="shared" si="35"/>
        <v>0</v>
      </c>
      <c r="H107" s="10">
        <f t="shared" si="35"/>
        <v>0</v>
      </c>
      <c r="I107" s="10">
        <f t="shared" si="35"/>
        <v>0</v>
      </c>
      <c r="J107" s="10">
        <f t="shared" si="35"/>
        <v>0</v>
      </c>
      <c r="K107" s="10">
        <f t="shared" si="35"/>
        <v>363.08999999999992</v>
      </c>
      <c r="L107" s="10">
        <f t="shared" si="35"/>
        <v>363.08999999999992</v>
      </c>
      <c r="N107" s="129">
        <v>363.09</v>
      </c>
      <c r="O107" s="7">
        <f>L107-N107</f>
        <v>0</v>
      </c>
    </row>
    <row r="108" spans="3:16" ht="15.75" thickBot="1" x14ac:dyDescent="0.3">
      <c r="C108" s="1"/>
      <c r="D108" s="9"/>
      <c r="E108" s="9"/>
      <c r="F108" s="9"/>
      <c r="G108" s="9"/>
      <c r="H108" s="9"/>
      <c r="I108" s="9"/>
      <c r="J108" s="9"/>
      <c r="K108" s="9"/>
      <c r="L108" s="9"/>
      <c r="O108" s="7"/>
    </row>
    <row r="109" spans="3:16" ht="15.75" thickBot="1" x14ac:dyDescent="0.3">
      <c r="C109" s="150" t="s">
        <v>64</v>
      </c>
      <c r="D109" s="151"/>
      <c r="E109" s="151"/>
      <c r="F109" s="151"/>
      <c r="G109" s="151"/>
      <c r="H109" s="151"/>
      <c r="I109" s="151"/>
      <c r="J109" s="151"/>
      <c r="K109" s="151"/>
      <c r="L109" s="152"/>
      <c r="O109" s="7">
        <v>106965.52</v>
      </c>
      <c r="P109" t="s">
        <v>408</v>
      </c>
    </row>
    <row r="110" spans="3:16" x14ac:dyDescent="0.25">
      <c r="C110" s="4" t="s">
        <v>16</v>
      </c>
      <c r="D110" s="5" t="s">
        <v>15</v>
      </c>
      <c r="E110" s="5" t="s">
        <v>14</v>
      </c>
      <c r="F110" s="5" t="s">
        <v>13</v>
      </c>
      <c r="G110" s="5" t="s">
        <v>12</v>
      </c>
      <c r="H110" s="5" t="s">
        <v>94</v>
      </c>
      <c r="I110" s="5" t="s">
        <v>95</v>
      </c>
      <c r="J110" s="5" t="s">
        <v>38</v>
      </c>
      <c r="K110" s="5" t="s">
        <v>9</v>
      </c>
      <c r="L110" s="5" t="s">
        <v>0</v>
      </c>
      <c r="M110" s="118"/>
      <c r="N110" s="118"/>
      <c r="O110" s="7"/>
    </row>
    <row r="111" spans="3:16" x14ac:dyDescent="0.25">
      <c r="C111" s="1" t="s">
        <v>49</v>
      </c>
      <c r="D111" s="39">
        <f>D49-D90</f>
        <v>0</v>
      </c>
      <c r="E111" s="39">
        <f t="shared" ref="E111:K111" si="36">E49-E90</f>
        <v>0</v>
      </c>
      <c r="F111" s="39">
        <f t="shared" si="36"/>
        <v>0</v>
      </c>
      <c r="G111" s="39">
        <f t="shared" si="36"/>
        <v>0</v>
      </c>
      <c r="H111" s="39">
        <f t="shared" si="36"/>
        <v>0</v>
      </c>
      <c r="I111" s="39">
        <f t="shared" si="36"/>
        <v>0</v>
      </c>
      <c r="J111" s="39">
        <f t="shared" si="36"/>
        <v>0</v>
      </c>
      <c r="K111" s="39">
        <f t="shared" si="36"/>
        <v>0</v>
      </c>
      <c r="L111" s="39">
        <f>SUM(D111:K111)</f>
        <v>0</v>
      </c>
      <c r="M111" s="118"/>
      <c r="N111" s="118"/>
      <c r="O111" s="7"/>
    </row>
    <row r="112" spans="3:16" x14ac:dyDescent="0.25">
      <c r="C112" s="1" t="s">
        <v>8</v>
      </c>
      <c r="D112" s="39">
        <f t="shared" ref="D112:K112" si="37">D50-D91</f>
        <v>0</v>
      </c>
      <c r="E112" s="39">
        <f t="shared" si="37"/>
        <v>0</v>
      </c>
      <c r="F112" s="39">
        <f t="shared" si="37"/>
        <v>0</v>
      </c>
      <c r="G112" s="39">
        <f t="shared" si="37"/>
        <v>0</v>
      </c>
      <c r="H112" s="39">
        <f t="shared" si="37"/>
        <v>0</v>
      </c>
      <c r="I112" s="39">
        <f t="shared" si="37"/>
        <v>0</v>
      </c>
      <c r="J112" s="39">
        <f t="shared" si="37"/>
        <v>0</v>
      </c>
      <c r="K112" s="39">
        <f t="shared" si="37"/>
        <v>0</v>
      </c>
      <c r="L112" s="39">
        <f t="shared" ref="L112:L127" si="38">SUM(D112:K112)</f>
        <v>0</v>
      </c>
      <c r="M112" s="118"/>
      <c r="N112" s="118"/>
      <c r="O112" s="7"/>
    </row>
    <row r="113" spans="3:15" x14ac:dyDescent="0.25">
      <c r="C113" s="1" t="s">
        <v>7</v>
      </c>
      <c r="D113" s="39">
        <f t="shared" ref="D113:K113" si="39">D51-D92</f>
        <v>0</v>
      </c>
      <c r="E113" s="39">
        <f t="shared" si="39"/>
        <v>0</v>
      </c>
      <c r="F113" s="39">
        <f t="shared" si="39"/>
        <v>0</v>
      </c>
      <c r="G113" s="39">
        <f t="shared" si="39"/>
        <v>0</v>
      </c>
      <c r="H113" s="39">
        <f t="shared" si="39"/>
        <v>0</v>
      </c>
      <c r="I113" s="39">
        <f t="shared" si="39"/>
        <v>0</v>
      </c>
      <c r="J113" s="39">
        <f t="shared" si="39"/>
        <v>0</v>
      </c>
      <c r="K113" s="39">
        <f t="shared" si="39"/>
        <v>0</v>
      </c>
      <c r="L113" s="39">
        <f t="shared" si="38"/>
        <v>0</v>
      </c>
      <c r="M113" s="118"/>
      <c r="N113" s="118"/>
      <c r="O113" s="7"/>
    </row>
    <row r="114" spans="3:15" x14ac:dyDescent="0.25">
      <c r="C114" s="1" t="s">
        <v>42</v>
      </c>
      <c r="D114" s="39">
        <f t="shared" ref="D114:K114" si="40">D52-D93</f>
        <v>0</v>
      </c>
      <c r="E114" s="39">
        <f t="shared" si="40"/>
        <v>0</v>
      </c>
      <c r="F114" s="39">
        <f t="shared" si="40"/>
        <v>0</v>
      </c>
      <c r="G114" s="39">
        <f t="shared" si="40"/>
        <v>0</v>
      </c>
      <c r="H114" s="39">
        <f t="shared" si="40"/>
        <v>0</v>
      </c>
      <c r="I114" s="39">
        <f t="shared" si="40"/>
        <v>0</v>
      </c>
      <c r="J114" s="39">
        <f t="shared" si="40"/>
        <v>0</v>
      </c>
      <c r="K114" s="39">
        <f t="shared" si="40"/>
        <v>0</v>
      </c>
      <c r="L114" s="39">
        <f>SUM(D114:K114)</f>
        <v>0</v>
      </c>
      <c r="M114" s="118"/>
      <c r="N114" s="118"/>
      <c r="O114" s="7"/>
    </row>
    <row r="115" spans="3:15" x14ac:dyDescent="0.25">
      <c r="C115" s="1" t="s">
        <v>6</v>
      </c>
      <c r="D115" s="39">
        <f t="shared" ref="D115:K115" si="41">D53-D94</f>
        <v>0</v>
      </c>
      <c r="E115" s="39">
        <f t="shared" si="41"/>
        <v>0</v>
      </c>
      <c r="F115" s="39">
        <f t="shared" si="41"/>
        <v>0</v>
      </c>
      <c r="G115" s="39">
        <f t="shared" si="41"/>
        <v>0</v>
      </c>
      <c r="H115" s="39">
        <f t="shared" si="41"/>
        <v>0</v>
      </c>
      <c r="I115" s="39">
        <f t="shared" si="41"/>
        <v>0</v>
      </c>
      <c r="J115" s="39">
        <f t="shared" si="41"/>
        <v>0</v>
      </c>
      <c r="K115" s="39">
        <f t="shared" si="41"/>
        <v>0</v>
      </c>
      <c r="L115" s="39">
        <f t="shared" si="38"/>
        <v>0</v>
      </c>
      <c r="M115" s="118"/>
      <c r="N115" s="118"/>
      <c r="O115" s="7"/>
    </row>
    <row r="116" spans="3:15" x14ac:dyDescent="0.25">
      <c r="C116" s="1" t="s">
        <v>50</v>
      </c>
      <c r="D116" s="39">
        <f t="shared" ref="D116:K116" si="42">D54-D95</f>
        <v>0</v>
      </c>
      <c r="E116" s="39">
        <f t="shared" si="42"/>
        <v>0</v>
      </c>
      <c r="F116" s="39">
        <f t="shared" si="42"/>
        <v>0</v>
      </c>
      <c r="G116" s="39">
        <f t="shared" si="42"/>
        <v>0</v>
      </c>
      <c r="H116" s="39">
        <f t="shared" si="42"/>
        <v>0</v>
      </c>
      <c r="I116" s="39">
        <f t="shared" si="42"/>
        <v>0</v>
      </c>
      <c r="J116" s="39">
        <f t="shared" si="42"/>
        <v>0</v>
      </c>
      <c r="K116" s="39">
        <f t="shared" si="42"/>
        <v>0</v>
      </c>
      <c r="L116" s="39">
        <f t="shared" si="38"/>
        <v>0</v>
      </c>
      <c r="M116" s="118"/>
      <c r="N116" s="118"/>
      <c r="O116" s="7"/>
    </row>
    <row r="117" spans="3:15" x14ac:dyDescent="0.25">
      <c r="C117" s="1" t="s">
        <v>89</v>
      </c>
      <c r="D117" s="39">
        <f t="shared" ref="D117:K117" si="43">D55-D96</f>
        <v>0</v>
      </c>
      <c r="E117" s="39">
        <f t="shared" si="43"/>
        <v>0</v>
      </c>
      <c r="F117" s="39">
        <f t="shared" si="43"/>
        <v>0</v>
      </c>
      <c r="G117" s="39">
        <f t="shared" si="43"/>
        <v>0</v>
      </c>
      <c r="H117" s="39">
        <f t="shared" si="43"/>
        <v>0</v>
      </c>
      <c r="I117" s="39">
        <f t="shared" si="43"/>
        <v>0</v>
      </c>
      <c r="J117" s="39">
        <f t="shared" si="43"/>
        <v>0</v>
      </c>
      <c r="K117" s="39">
        <f t="shared" si="43"/>
        <v>0</v>
      </c>
      <c r="L117" s="39">
        <f t="shared" si="38"/>
        <v>0</v>
      </c>
      <c r="M117" s="118"/>
      <c r="N117" s="118"/>
      <c r="O117" s="7"/>
    </row>
    <row r="118" spans="3:15" x14ac:dyDescent="0.25">
      <c r="C118" s="1" t="s">
        <v>5</v>
      </c>
      <c r="D118" s="39">
        <f t="shared" ref="D118:K118" si="44">D56-D97</f>
        <v>0</v>
      </c>
      <c r="E118" s="39">
        <f t="shared" si="44"/>
        <v>0</v>
      </c>
      <c r="F118" s="39">
        <f t="shared" si="44"/>
        <v>0</v>
      </c>
      <c r="G118" s="39">
        <f t="shared" si="44"/>
        <v>0</v>
      </c>
      <c r="H118" s="39">
        <f t="shared" si="44"/>
        <v>0</v>
      </c>
      <c r="I118" s="39">
        <f t="shared" si="44"/>
        <v>0</v>
      </c>
      <c r="J118" s="39">
        <f t="shared" si="44"/>
        <v>0</v>
      </c>
      <c r="K118" s="39">
        <f t="shared" si="44"/>
        <v>0</v>
      </c>
      <c r="L118" s="39">
        <f t="shared" si="38"/>
        <v>0</v>
      </c>
      <c r="M118" s="118"/>
      <c r="N118" s="118"/>
      <c r="O118" s="7"/>
    </row>
    <row r="119" spans="3:15" x14ac:dyDescent="0.25">
      <c r="C119" s="1" t="s">
        <v>84</v>
      </c>
      <c r="D119" s="39">
        <f t="shared" ref="D119:K119" si="45">D57-D98</f>
        <v>0</v>
      </c>
      <c r="E119" s="39">
        <f t="shared" si="45"/>
        <v>0</v>
      </c>
      <c r="F119" s="39">
        <f t="shared" si="45"/>
        <v>0</v>
      </c>
      <c r="G119" s="39">
        <f t="shared" si="45"/>
        <v>0</v>
      </c>
      <c r="H119" s="39">
        <f t="shared" si="45"/>
        <v>0</v>
      </c>
      <c r="I119" s="39">
        <f t="shared" si="45"/>
        <v>0</v>
      </c>
      <c r="J119" s="39">
        <f t="shared" si="45"/>
        <v>0</v>
      </c>
      <c r="K119" s="39">
        <f t="shared" si="45"/>
        <v>0</v>
      </c>
      <c r="L119" s="39">
        <f t="shared" si="38"/>
        <v>0</v>
      </c>
      <c r="M119" s="118"/>
      <c r="N119" s="118"/>
      <c r="O119" s="7"/>
    </row>
    <row r="120" spans="3:15" x14ac:dyDescent="0.25">
      <c r="C120" s="1" t="s">
        <v>4</v>
      </c>
      <c r="D120" s="39">
        <f t="shared" ref="D120:K120" si="46">D58-D99</f>
        <v>0</v>
      </c>
      <c r="E120" s="39">
        <f t="shared" si="46"/>
        <v>0</v>
      </c>
      <c r="F120" s="39">
        <f t="shared" si="46"/>
        <v>0</v>
      </c>
      <c r="G120" s="39">
        <f t="shared" si="46"/>
        <v>0</v>
      </c>
      <c r="H120" s="39">
        <f t="shared" si="46"/>
        <v>0</v>
      </c>
      <c r="I120" s="39">
        <f t="shared" si="46"/>
        <v>0</v>
      </c>
      <c r="J120" s="39">
        <f t="shared" si="46"/>
        <v>0</v>
      </c>
      <c r="K120" s="39">
        <f t="shared" si="46"/>
        <v>0</v>
      </c>
      <c r="L120" s="39">
        <f t="shared" si="38"/>
        <v>0</v>
      </c>
      <c r="M120" s="118"/>
      <c r="N120" s="118"/>
      <c r="O120" s="7"/>
    </row>
    <row r="121" spans="3:15" x14ac:dyDescent="0.25">
      <c r="C121" s="1" t="s">
        <v>51</v>
      </c>
      <c r="D121" s="39">
        <f t="shared" ref="D121:K121" si="47">D59-D100</f>
        <v>0</v>
      </c>
      <c r="E121" s="39">
        <f t="shared" si="47"/>
        <v>0</v>
      </c>
      <c r="F121" s="39">
        <f t="shared" si="47"/>
        <v>0</v>
      </c>
      <c r="G121" s="39">
        <f t="shared" si="47"/>
        <v>0</v>
      </c>
      <c r="H121" s="39">
        <f t="shared" si="47"/>
        <v>0</v>
      </c>
      <c r="I121" s="39">
        <f t="shared" si="47"/>
        <v>0</v>
      </c>
      <c r="J121" s="39">
        <f t="shared" si="47"/>
        <v>0</v>
      </c>
      <c r="K121" s="39">
        <f t="shared" si="47"/>
        <v>0</v>
      </c>
      <c r="L121" s="39">
        <f t="shared" si="38"/>
        <v>0</v>
      </c>
      <c r="M121" s="118"/>
      <c r="N121" s="118"/>
      <c r="O121" s="7"/>
    </row>
    <row r="122" spans="3:15" x14ac:dyDescent="0.25">
      <c r="C122" s="1" t="s">
        <v>85</v>
      </c>
      <c r="D122" s="39">
        <f t="shared" ref="D122:K122" si="48">D60-D101</f>
        <v>0</v>
      </c>
      <c r="E122" s="39">
        <f t="shared" si="48"/>
        <v>0</v>
      </c>
      <c r="F122" s="39">
        <f t="shared" si="48"/>
        <v>0</v>
      </c>
      <c r="G122" s="39">
        <f t="shared" si="48"/>
        <v>0</v>
      </c>
      <c r="H122" s="39">
        <f t="shared" si="48"/>
        <v>0</v>
      </c>
      <c r="I122" s="39">
        <f t="shared" si="48"/>
        <v>0</v>
      </c>
      <c r="J122" s="39">
        <f t="shared" si="48"/>
        <v>0</v>
      </c>
      <c r="K122" s="39">
        <f t="shared" si="48"/>
        <v>0</v>
      </c>
      <c r="L122" s="39">
        <f t="shared" si="38"/>
        <v>0</v>
      </c>
      <c r="M122" s="118"/>
      <c r="N122" s="118"/>
      <c r="O122" s="7"/>
    </row>
    <row r="123" spans="3:15" x14ac:dyDescent="0.25">
      <c r="C123" s="1" t="s">
        <v>2</v>
      </c>
      <c r="D123" s="39">
        <f t="shared" ref="D123:K123" si="49">D61-D102</f>
        <v>-12078.84</v>
      </c>
      <c r="E123" s="39">
        <f t="shared" si="49"/>
        <v>0</v>
      </c>
      <c r="F123" s="39">
        <f t="shared" si="49"/>
        <v>0</v>
      </c>
      <c r="G123" s="39">
        <f t="shared" si="49"/>
        <v>0</v>
      </c>
      <c r="H123" s="39">
        <f t="shared" si="49"/>
        <v>0</v>
      </c>
      <c r="I123" s="39">
        <f t="shared" si="49"/>
        <v>0</v>
      </c>
      <c r="J123" s="39">
        <f t="shared" si="49"/>
        <v>0</v>
      </c>
      <c r="K123" s="39">
        <f t="shared" si="49"/>
        <v>-178.08999999999997</v>
      </c>
      <c r="L123" s="39">
        <f t="shared" si="38"/>
        <v>-12256.93</v>
      </c>
      <c r="M123" s="118"/>
      <c r="N123" s="118"/>
      <c r="O123" s="7"/>
    </row>
    <row r="124" spans="3:15" x14ac:dyDescent="0.25">
      <c r="C124" s="1" t="s">
        <v>86</v>
      </c>
      <c r="D124" s="39">
        <f t="shared" ref="D124:K124" si="50">D62-D103</f>
        <v>0</v>
      </c>
      <c r="E124" s="39">
        <f t="shared" si="50"/>
        <v>0</v>
      </c>
      <c r="F124" s="39">
        <f t="shared" si="50"/>
        <v>0</v>
      </c>
      <c r="G124" s="39">
        <f t="shared" si="50"/>
        <v>0</v>
      </c>
      <c r="H124" s="39">
        <f t="shared" si="50"/>
        <v>0</v>
      </c>
      <c r="I124" s="39">
        <f t="shared" si="50"/>
        <v>0</v>
      </c>
      <c r="J124" s="39">
        <f t="shared" si="50"/>
        <v>0</v>
      </c>
      <c r="K124" s="39">
        <f t="shared" si="50"/>
        <v>0</v>
      </c>
      <c r="L124" s="39">
        <f t="shared" si="38"/>
        <v>0</v>
      </c>
      <c r="M124" s="118"/>
      <c r="N124" s="118"/>
      <c r="O124" s="7"/>
    </row>
    <row r="125" spans="3:15" x14ac:dyDescent="0.25">
      <c r="C125" s="1" t="s">
        <v>29</v>
      </c>
      <c r="D125" s="39">
        <f t="shared" ref="D125:K125" si="51">D63-D104</f>
        <v>0</v>
      </c>
      <c r="E125" s="39">
        <f t="shared" si="51"/>
        <v>0</v>
      </c>
      <c r="F125" s="39">
        <f t="shared" si="51"/>
        <v>0</v>
      </c>
      <c r="G125" s="39">
        <f t="shared" si="51"/>
        <v>0</v>
      </c>
      <c r="H125" s="39">
        <f t="shared" si="51"/>
        <v>0</v>
      </c>
      <c r="I125" s="39">
        <f t="shared" si="51"/>
        <v>0</v>
      </c>
      <c r="J125" s="39">
        <f t="shared" si="51"/>
        <v>0</v>
      </c>
      <c r="K125" s="39">
        <f t="shared" si="51"/>
        <v>0</v>
      </c>
      <c r="L125" s="39">
        <f t="shared" si="38"/>
        <v>0</v>
      </c>
      <c r="M125" s="118"/>
      <c r="N125" s="118"/>
      <c r="O125" s="7"/>
    </row>
    <row r="126" spans="3:15" x14ac:dyDescent="0.25">
      <c r="C126" s="1" t="s">
        <v>52</v>
      </c>
      <c r="D126" s="39">
        <f t="shared" ref="D126:K126" si="52">D64-D105</f>
        <v>0</v>
      </c>
      <c r="E126" s="39">
        <f t="shared" si="52"/>
        <v>0</v>
      </c>
      <c r="F126" s="39">
        <f t="shared" si="52"/>
        <v>0</v>
      </c>
      <c r="G126" s="39">
        <f t="shared" si="52"/>
        <v>0</v>
      </c>
      <c r="H126" s="39">
        <f t="shared" si="52"/>
        <v>0</v>
      </c>
      <c r="I126" s="39">
        <f t="shared" si="52"/>
        <v>0</v>
      </c>
      <c r="J126" s="39">
        <f t="shared" si="52"/>
        <v>0</v>
      </c>
      <c r="K126" s="39">
        <f t="shared" si="52"/>
        <v>0</v>
      </c>
      <c r="L126" s="39">
        <f t="shared" si="38"/>
        <v>0</v>
      </c>
      <c r="M126" s="118"/>
      <c r="N126" s="118"/>
      <c r="O126" s="7"/>
    </row>
    <row r="127" spans="3:15" x14ac:dyDescent="0.25">
      <c r="C127" s="1" t="s">
        <v>1</v>
      </c>
      <c r="D127" s="39">
        <f t="shared" ref="D127:K127" si="53">D65-D106</f>
        <v>0</v>
      </c>
      <c r="E127" s="39">
        <f t="shared" si="53"/>
        <v>0</v>
      </c>
      <c r="F127" s="39">
        <f t="shared" si="53"/>
        <v>0</v>
      </c>
      <c r="G127" s="39">
        <f t="shared" si="53"/>
        <v>0</v>
      </c>
      <c r="H127" s="39">
        <f t="shared" si="53"/>
        <v>0</v>
      </c>
      <c r="I127" s="39">
        <f t="shared" si="53"/>
        <v>0</v>
      </c>
      <c r="J127" s="39">
        <f t="shared" si="53"/>
        <v>0</v>
      </c>
      <c r="K127" s="39">
        <f t="shared" si="53"/>
        <v>0</v>
      </c>
      <c r="L127" s="40">
        <f t="shared" si="38"/>
        <v>0</v>
      </c>
      <c r="M127" s="118"/>
      <c r="N127" s="118"/>
      <c r="O127" s="7"/>
    </row>
    <row r="128" spans="3:15" x14ac:dyDescent="0.25">
      <c r="C128" s="74"/>
      <c r="D128" s="66">
        <f>SUM(D111:D127)</f>
        <v>-12078.84</v>
      </c>
      <c r="E128" s="66">
        <f t="shared" ref="E128:K128" si="54">SUM(E111:E127)</f>
        <v>0</v>
      </c>
      <c r="F128" s="66">
        <f t="shared" si="54"/>
        <v>0</v>
      </c>
      <c r="G128" s="66">
        <f t="shared" si="54"/>
        <v>0</v>
      </c>
      <c r="H128" s="66">
        <f t="shared" si="54"/>
        <v>0</v>
      </c>
      <c r="I128" s="66">
        <f t="shared" si="54"/>
        <v>0</v>
      </c>
      <c r="J128" s="66">
        <f t="shared" si="54"/>
        <v>0</v>
      </c>
      <c r="K128" s="66">
        <f t="shared" si="54"/>
        <v>-178.08999999999997</v>
      </c>
      <c r="L128" s="39">
        <f>SUM(L111:L127)</f>
        <v>-12256.93</v>
      </c>
      <c r="M128" s="118"/>
      <c r="N128" s="118"/>
      <c r="O128" s="7"/>
    </row>
    <row r="129" spans="3:15" ht="15.75" thickBot="1" x14ac:dyDescent="0.3">
      <c r="C129" s="4"/>
      <c r="D129" s="39"/>
      <c r="E129" s="39"/>
      <c r="F129" s="39"/>
      <c r="G129" s="39"/>
      <c r="H129" s="39"/>
      <c r="I129" s="39"/>
      <c r="J129" s="39"/>
      <c r="K129" s="39"/>
      <c r="L129" s="39"/>
      <c r="M129" s="118"/>
      <c r="N129" s="118"/>
      <c r="O129" s="7"/>
    </row>
    <row r="130" spans="3:15" ht="15.75" thickBot="1" x14ac:dyDescent="0.3">
      <c r="C130" s="153" t="s">
        <v>59</v>
      </c>
      <c r="D130" s="154"/>
      <c r="E130" s="154"/>
      <c r="F130" s="154"/>
      <c r="G130" s="154"/>
      <c r="H130" s="154"/>
      <c r="I130" s="154"/>
      <c r="J130" s="154"/>
      <c r="K130" s="154"/>
      <c r="L130" s="155"/>
      <c r="M130" s="118"/>
      <c r="N130" s="118"/>
      <c r="O130" s="7"/>
    </row>
    <row r="131" spans="3:15" x14ac:dyDescent="0.25">
      <c r="C131" s="4" t="s">
        <v>16</v>
      </c>
      <c r="D131" s="5" t="s">
        <v>15</v>
      </c>
      <c r="E131" s="5" t="s">
        <v>14</v>
      </c>
      <c r="F131" s="5" t="s">
        <v>13</v>
      </c>
      <c r="G131" s="5" t="s">
        <v>12</v>
      </c>
      <c r="H131" s="5" t="s">
        <v>94</v>
      </c>
      <c r="I131" s="5" t="s">
        <v>95</v>
      </c>
      <c r="J131" s="5" t="s">
        <v>38</v>
      </c>
      <c r="K131" s="5" t="s">
        <v>9</v>
      </c>
      <c r="L131" s="5" t="s">
        <v>0</v>
      </c>
      <c r="M131" s="118"/>
      <c r="N131" s="118"/>
      <c r="O131" s="7"/>
    </row>
    <row r="132" spans="3:15" x14ac:dyDescent="0.25">
      <c r="C132" s="1" t="s">
        <v>49</v>
      </c>
      <c r="D132" s="41">
        <v>0</v>
      </c>
      <c r="E132" s="41">
        <v>0</v>
      </c>
      <c r="F132" s="41">
        <v>0</v>
      </c>
      <c r="G132" s="41">
        <v>0.1</v>
      </c>
      <c r="H132" s="41">
        <v>0.15</v>
      </c>
      <c r="I132" s="41">
        <v>0.15</v>
      </c>
      <c r="J132" s="41">
        <v>0.2</v>
      </c>
      <c r="K132" s="41">
        <v>0.3</v>
      </c>
      <c r="L132" s="39"/>
      <c r="M132" s="118"/>
      <c r="N132" s="118"/>
      <c r="O132" s="7"/>
    </row>
    <row r="133" spans="3:15" x14ac:dyDescent="0.25">
      <c r="C133" s="1" t="s">
        <v>8</v>
      </c>
      <c r="D133" s="41">
        <v>0</v>
      </c>
      <c r="E133" s="41">
        <v>0</v>
      </c>
      <c r="F133" s="41">
        <v>0</v>
      </c>
      <c r="G133" s="41">
        <v>0.1</v>
      </c>
      <c r="H133" s="41">
        <v>0.15</v>
      </c>
      <c r="I133" s="41">
        <v>0.15</v>
      </c>
      <c r="J133" s="41">
        <v>0.2</v>
      </c>
      <c r="K133" s="41">
        <v>1</v>
      </c>
      <c r="L133" s="39"/>
      <c r="M133" s="118"/>
      <c r="N133" s="118"/>
      <c r="O133" s="7"/>
    </row>
    <row r="134" spans="3:15" x14ac:dyDescent="0.25">
      <c r="C134" s="1" t="s">
        <v>7</v>
      </c>
      <c r="D134" s="41">
        <v>0</v>
      </c>
      <c r="E134" s="41">
        <v>0</v>
      </c>
      <c r="F134" s="41">
        <v>0</v>
      </c>
      <c r="G134" s="41">
        <v>0.1</v>
      </c>
      <c r="H134" s="41">
        <v>0.15</v>
      </c>
      <c r="I134" s="41">
        <v>0.15</v>
      </c>
      <c r="J134" s="41">
        <v>0.2</v>
      </c>
      <c r="K134" s="41">
        <v>1</v>
      </c>
      <c r="L134" s="39"/>
      <c r="M134" s="118"/>
      <c r="N134" s="118"/>
      <c r="O134" s="7"/>
    </row>
    <row r="135" spans="3:15" x14ac:dyDescent="0.25">
      <c r="C135" s="1" t="s">
        <v>42</v>
      </c>
      <c r="D135" s="41">
        <v>0</v>
      </c>
      <c r="E135" s="41">
        <v>0</v>
      </c>
      <c r="F135" s="41">
        <v>0</v>
      </c>
      <c r="G135" s="41">
        <v>0.1</v>
      </c>
      <c r="H135" s="41">
        <v>0.15</v>
      </c>
      <c r="I135" s="41">
        <v>0.15</v>
      </c>
      <c r="J135" s="41">
        <v>0.2</v>
      </c>
      <c r="K135" s="41">
        <v>1</v>
      </c>
      <c r="L135" s="39"/>
      <c r="M135" s="118"/>
      <c r="N135" s="118"/>
      <c r="O135" s="7"/>
    </row>
    <row r="136" spans="3:15" x14ac:dyDescent="0.25">
      <c r="C136" s="1" t="s">
        <v>6</v>
      </c>
      <c r="D136" s="41">
        <v>0</v>
      </c>
      <c r="E136" s="41">
        <v>0</v>
      </c>
      <c r="F136" s="41">
        <v>0</v>
      </c>
      <c r="G136" s="41">
        <v>0.1</v>
      </c>
      <c r="H136" s="41">
        <v>0.15</v>
      </c>
      <c r="I136" s="41">
        <v>0.15</v>
      </c>
      <c r="J136" s="41">
        <v>0.2</v>
      </c>
      <c r="K136" s="41">
        <v>1</v>
      </c>
      <c r="L136" s="39"/>
      <c r="M136" s="118"/>
      <c r="N136" s="118"/>
      <c r="O136" s="7"/>
    </row>
    <row r="137" spans="3:15" x14ac:dyDescent="0.25">
      <c r="C137" s="1" t="s">
        <v>50</v>
      </c>
      <c r="D137" s="41">
        <v>0</v>
      </c>
      <c r="E137" s="41">
        <v>0</v>
      </c>
      <c r="F137" s="41">
        <v>0</v>
      </c>
      <c r="G137" s="41">
        <v>0.1</v>
      </c>
      <c r="H137" s="41">
        <v>0.15</v>
      </c>
      <c r="I137" s="41">
        <v>0.15</v>
      </c>
      <c r="J137" s="41">
        <v>0.2</v>
      </c>
      <c r="K137" s="41">
        <v>1</v>
      </c>
      <c r="L137" s="39"/>
      <c r="M137" s="118"/>
      <c r="N137" s="118"/>
      <c r="O137" s="7"/>
    </row>
    <row r="138" spans="3:15" x14ac:dyDescent="0.25">
      <c r="C138" s="1" t="s">
        <v>89</v>
      </c>
      <c r="D138" s="41">
        <v>0</v>
      </c>
      <c r="E138" s="41">
        <v>0</v>
      </c>
      <c r="F138" s="41">
        <v>0</v>
      </c>
      <c r="G138" s="41">
        <v>0.1</v>
      </c>
      <c r="H138" s="41">
        <v>0.15</v>
      </c>
      <c r="I138" s="41">
        <v>0.15</v>
      </c>
      <c r="J138" s="41">
        <v>0.2</v>
      </c>
      <c r="K138" s="41">
        <v>0.3</v>
      </c>
      <c r="L138" s="39"/>
      <c r="M138" s="118"/>
      <c r="N138" s="118"/>
      <c r="O138" s="7"/>
    </row>
    <row r="139" spans="3:15" x14ac:dyDescent="0.25">
      <c r="C139" s="1" t="s">
        <v>5</v>
      </c>
      <c r="D139" s="41">
        <v>0</v>
      </c>
      <c r="E139" s="41">
        <v>0</v>
      </c>
      <c r="F139" s="41">
        <v>0</v>
      </c>
      <c r="G139" s="41">
        <v>0.1</v>
      </c>
      <c r="H139" s="41">
        <v>0.15</v>
      </c>
      <c r="I139" s="41">
        <v>0.15</v>
      </c>
      <c r="J139" s="41">
        <v>0.2</v>
      </c>
      <c r="K139" s="41">
        <v>1</v>
      </c>
      <c r="L139" s="39"/>
      <c r="M139" s="118"/>
      <c r="N139" s="118"/>
      <c r="O139" s="7"/>
    </row>
    <row r="140" spans="3:15" x14ac:dyDescent="0.25">
      <c r="C140" s="1" t="s">
        <v>84</v>
      </c>
      <c r="D140" s="41">
        <v>0</v>
      </c>
      <c r="E140" s="41">
        <v>0</v>
      </c>
      <c r="F140" s="41">
        <v>0</v>
      </c>
      <c r="G140" s="41">
        <v>0.1</v>
      </c>
      <c r="H140" s="41">
        <v>0.15</v>
      </c>
      <c r="I140" s="41">
        <v>0.15</v>
      </c>
      <c r="J140" s="41">
        <v>0.2</v>
      </c>
      <c r="K140" s="41">
        <v>1</v>
      </c>
      <c r="L140" s="39"/>
      <c r="M140" s="118"/>
      <c r="N140" s="118"/>
      <c r="O140" s="7"/>
    </row>
    <row r="141" spans="3:15" x14ac:dyDescent="0.25">
      <c r="C141" s="1" t="s">
        <v>4</v>
      </c>
      <c r="D141" s="41">
        <v>0</v>
      </c>
      <c r="E141" s="41">
        <v>0</v>
      </c>
      <c r="F141" s="41">
        <v>0</v>
      </c>
      <c r="G141" s="41">
        <v>0.1</v>
      </c>
      <c r="H141" s="41">
        <v>0.15</v>
      </c>
      <c r="I141" s="41">
        <v>0.15</v>
      </c>
      <c r="J141" s="41">
        <v>0.2</v>
      </c>
      <c r="K141" s="41">
        <v>1</v>
      </c>
      <c r="L141" s="39"/>
      <c r="M141" s="118"/>
      <c r="N141" s="118"/>
      <c r="O141" s="7"/>
    </row>
    <row r="142" spans="3:15" x14ac:dyDescent="0.25">
      <c r="C142" s="1" t="s">
        <v>51</v>
      </c>
      <c r="D142" s="41">
        <v>0</v>
      </c>
      <c r="E142" s="41">
        <v>0</v>
      </c>
      <c r="F142" s="41">
        <v>0</v>
      </c>
      <c r="G142" s="41">
        <v>0.1</v>
      </c>
      <c r="H142" s="41">
        <v>0.15</v>
      </c>
      <c r="I142" s="41">
        <v>0.15</v>
      </c>
      <c r="J142" s="41">
        <v>0.2</v>
      </c>
      <c r="K142" s="41">
        <v>1</v>
      </c>
      <c r="L142" s="39"/>
      <c r="M142" s="118"/>
      <c r="N142" s="118"/>
      <c r="O142" s="7"/>
    </row>
    <row r="143" spans="3:15" x14ac:dyDescent="0.25">
      <c r="C143" s="1" t="s">
        <v>85</v>
      </c>
      <c r="D143" s="41">
        <v>0</v>
      </c>
      <c r="E143" s="41">
        <v>0</v>
      </c>
      <c r="F143" s="41">
        <v>0</v>
      </c>
      <c r="G143" s="41">
        <v>0.1</v>
      </c>
      <c r="H143" s="41">
        <v>0.15</v>
      </c>
      <c r="I143" s="41">
        <v>0.15</v>
      </c>
      <c r="J143" s="41">
        <v>0.2</v>
      </c>
      <c r="K143" s="41">
        <v>1</v>
      </c>
      <c r="L143" s="39"/>
      <c r="M143" s="118"/>
      <c r="N143" s="118"/>
      <c r="O143" s="7"/>
    </row>
    <row r="144" spans="3:15" x14ac:dyDescent="0.25">
      <c r="C144" s="1" t="s">
        <v>2</v>
      </c>
      <c r="D144" s="41">
        <v>0</v>
      </c>
      <c r="E144" s="41">
        <v>0</v>
      </c>
      <c r="F144" s="41">
        <v>0.1</v>
      </c>
      <c r="G144" s="41">
        <v>0.5</v>
      </c>
      <c r="H144" s="41">
        <v>1</v>
      </c>
      <c r="I144" s="41">
        <v>1</v>
      </c>
      <c r="J144" s="41">
        <v>1</v>
      </c>
      <c r="K144" s="41">
        <v>1</v>
      </c>
      <c r="L144" s="39"/>
      <c r="M144" s="118"/>
      <c r="N144" s="118"/>
      <c r="O144" s="7"/>
    </row>
    <row r="145" spans="3:15" x14ac:dyDescent="0.25">
      <c r="C145" s="1" t="s">
        <v>86</v>
      </c>
      <c r="D145" s="41">
        <v>0</v>
      </c>
      <c r="E145" s="41">
        <v>0</v>
      </c>
      <c r="F145" s="41">
        <v>0</v>
      </c>
      <c r="G145" s="41">
        <v>0.1</v>
      </c>
      <c r="H145" s="41">
        <v>0.15</v>
      </c>
      <c r="I145" s="41">
        <v>0.15</v>
      </c>
      <c r="J145" s="41">
        <v>0.2</v>
      </c>
      <c r="K145" s="41">
        <v>1</v>
      </c>
      <c r="L145" s="39"/>
      <c r="M145" s="118"/>
      <c r="N145" s="118"/>
      <c r="O145" s="7"/>
    </row>
    <row r="146" spans="3:15" x14ac:dyDescent="0.25">
      <c r="C146" s="1" t="s">
        <v>29</v>
      </c>
      <c r="D146" s="41">
        <v>0</v>
      </c>
      <c r="E146" s="41">
        <v>0</v>
      </c>
      <c r="F146" s="41">
        <v>0</v>
      </c>
      <c r="G146" s="41">
        <v>0.1</v>
      </c>
      <c r="H146" s="41">
        <v>0.15</v>
      </c>
      <c r="I146" s="41">
        <v>0.15</v>
      </c>
      <c r="J146" s="41">
        <v>0.2</v>
      </c>
      <c r="K146" s="41">
        <v>1</v>
      </c>
      <c r="L146" s="39"/>
      <c r="M146" s="118"/>
      <c r="N146" s="118"/>
      <c r="O146" s="7"/>
    </row>
    <row r="147" spans="3:15" x14ac:dyDescent="0.25">
      <c r="C147" s="1" t="s">
        <v>52</v>
      </c>
      <c r="D147" s="41">
        <v>0</v>
      </c>
      <c r="E147" s="41">
        <v>0</v>
      </c>
      <c r="F147" s="41">
        <v>0</v>
      </c>
      <c r="G147" s="41">
        <v>0.1</v>
      </c>
      <c r="H147" s="41">
        <v>0.15</v>
      </c>
      <c r="I147" s="41">
        <v>0.15</v>
      </c>
      <c r="J147" s="41">
        <v>0.2</v>
      </c>
      <c r="K147" s="41">
        <v>1</v>
      </c>
      <c r="L147" s="39"/>
      <c r="M147" s="118"/>
      <c r="N147" s="118"/>
      <c r="O147" s="7"/>
    </row>
    <row r="148" spans="3:15" x14ac:dyDescent="0.25">
      <c r="C148" s="1" t="s">
        <v>1</v>
      </c>
      <c r="D148" s="41">
        <v>0</v>
      </c>
      <c r="E148" s="41">
        <v>0</v>
      </c>
      <c r="F148" s="41">
        <v>0</v>
      </c>
      <c r="G148" s="41">
        <v>0.1</v>
      </c>
      <c r="H148" s="41">
        <v>0.15</v>
      </c>
      <c r="I148" s="41">
        <v>0.15</v>
      </c>
      <c r="J148" s="41">
        <v>0.2</v>
      </c>
      <c r="K148" s="41">
        <v>1</v>
      </c>
      <c r="L148" s="39"/>
      <c r="M148" s="118"/>
      <c r="N148" s="118"/>
      <c r="O148" s="7"/>
    </row>
    <row r="149" spans="3:15" ht="15.75" thickBot="1" x14ac:dyDescent="0.3">
      <c r="C149" s="4"/>
      <c r="D149" s="39"/>
      <c r="E149" s="39"/>
      <c r="F149" s="39"/>
      <c r="G149" s="39"/>
      <c r="H149" s="39"/>
      <c r="I149" s="39"/>
      <c r="J149" s="39"/>
      <c r="K149" s="39"/>
      <c r="L149" s="39"/>
      <c r="M149" s="118"/>
      <c r="N149" s="118"/>
      <c r="O149" s="7"/>
    </row>
    <row r="150" spans="3:15" ht="15.75" thickBot="1" x14ac:dyDescent="0.3">
      <c r="C150" s="150" t="s">
        <v>60</v>
      </c>
      <c r="D150" s="151"/>
      <c r="E150" s="151"/>
      <c r="F150" s="151"/>
      <c r="G150" s="151"/>
      <c r="H150" s="151"/>
      <c r="I150" s="151"/>
      <c r="J150" s="151"/>
      <c r="K150" s="151"/>
      <c r="L150" s="152"/>
      <c r="M150" s="118"/>
      <c r="N150" s="118"/>
      <c r="O150" s="7"/>
    </row>
    <row r="151" spans="3:15" x14ac:dyDescent="0.25">
      <c r="C151" s="4" t="s">
        <v>16</v>
      </c>
      <c r="D151" s="4" t="s">
        <v>15</v>
      </c>
      <c r="E151" s="4" t="s">
        <v>14</v>
      </c>
      <c r="F151" s="4" t="s">
        <v>13</v>
      </c>
      <c r="G151" s="4" t="s">
        <v>12</v>
      </c>
      <c r="H151" s="4" t="s">
        <v>94</v>
      </c>
      <c r="I151" s="4" t="s">
        <v>95</v>
      </c>
      <c r="J151" s="4" t="s">
        <v>38</v>
      </c>
      <c r="K151" s="4" t="s">
        <v>9</v>
      </c>
      <c r="L151" s="5" t="s">
        <v>0</v>
      </c>
      <c r="M151" s="118"/>
      <c r="N151" s="118"/>
      <c r="O151" s="7"/>
    </row>
    <row r="152" spans="3:15" x14ac:dyDescent="0.25">
      <c r="C152" s="1" t="s">
        <v>49</v>
      </c>
      <c r="D152" s="66">
        <f>D111*D132</f>
        <v>0</v>
      </c>
      <c r="E152" s="66">
        <f t="shared" ref="E152:K152" si="55">E111*E132</f>
        <v>0</v>
      </c>
      <c r="F152" s="66">
        <f t="shared" si="55"/>
        <v>0</v>
      </c>
      <c r="G152" s="66">
        <f t="shared" si="55"/>
        <v>0</v>
      </c>
      <c r="H152" s="66">
        <f t="shared" si="55"/>
        <v>0</v>
      </c>
      <c r="I152" s="66">
        <f t="shared" si="55"/>
        <v>0</v>
      </c>
      <c r="J152" s="66">
        <f t="shared" si="55"/>
        <v>0</v>
      </c>
      <c r="K152" s="66">
        <f t="shared" si="55"/>
        <v>0</v>
      </c>
      <c r="L152" s="66">
        <f>SUM(D152:K152)</f>
        <v>0</v>
      </c>
      <c r="M152" s="118"/>
      <c r="N152" s="118"/>
      <c r="O152" s="7"/>
    </row>
    <row r="153" spans="3:15" x14ac:dyDescent="0.25">
      <c r="C153" s="1" t="s">
        <v>8</v>
      </c>
      <c r="D153" s="39">
        <f t="shared" ref="D153:K168" si="56">D112*D133</f>
        <v>0</v>
      </c>
      <c r="E153" s="39">
        <f t="shared" si="56"/>
        <v>0</v>
      </c>
      <c r="F153" s="39">
        <f t="shared" si="56"/>
        <v>0</v>
      </c>
      <c r="G153" s="39">
        <f t="shared" si="56"/>
        <v>0</v>
      </c>
      <c r="H153" s="39">
        <f t="shared" si="56"/>
        <v>0</v>
      </c>
      <c r="I153" s="39">
        <f t="shared" si="56"/>
        <v>0</v>
      </c>
      <c r="J153" s="39">
        <f t="shared" si="56"/>
        <v>0</v>
      </c>
      <c r="K153" s="39">
        <f t="shared" si="56"/>
        <v>0</v>
      </c>
      <c r="L153" s="39">
        <f t="shared" ref="L153:L168" si="57">SUM(D153:K153)</f>
        <v>0</v>
      </c>
      <c r="M153" s="118"/>
      <c r="N153" s="118"/>
      <c r="O153" s="7"/>
    </row>
    <row r="154" spans="3:15" x14ac:dyDescent="0.25">
      <c r="C154" s="1" t="s">
        <v>7</v>
      </c>
      <c r="D154" s="39">
        <f t="shared" si="56"/>
        <v>0</v>
      </c>
      <c r="E154" s="39">
        <f t="shared" si="56"/>
        <v>0</v>
      </c>
      <c r="F154" s="39">
        <f t="shared" si="56"/>
        <v>0</v>
      </c>
      <c r="G154" s="39">
        <f t="shared" si="56"/>
        <v>0</v>
      </c>
      <c r="H154" s="39">
        <f t="shared" si="56"/>
        <v>0</v>
      </c>
      <c r="I154" s="39">
        <f t="shared" si="56"/>
        <v>0</v>
      </c>
      <c r="J154" s="39">
        <f t="shared" si="56"/>
        <v>0</v>
      </c>
      <c r="K154" s="39">
        <f t="shared" si="56"/>
        <v>0</v>
      </c>
      <c r="L154" s="39">
        <f t="shared" si="57"/>
        <v>0</v>
      </c>
      <c r="M154" s="118"/>
      <c r="N154" s="118"/>
      <c r="O154" s="7"/>
    </row>
    <row r="155" spans="3:15" x14ac:dyDescent="0.25">
      <c r="C155" s="1" t="s">
        <v>42</v>
      </c>
      <c r="D155" s="39">
        <f t="shared" si="56"/>
        <v>0</v>
      </c>
      <c r="E155" s="39">
        <f t="shared" si="56"/>
        <v>0</v>
      </c>
      <c r="F155" s="39">
        <f t="shared" si="56"/>
        <v>0</v>
      </c>
      <c r="G155" s="39">
        <f t="shared" si="56"/>
        <v>0</v>
      </c>
      <c r="H155" s="39">
        <f t="shared" si="56"/>
        <v>0</v>
      </c>
      <c r="I155" s="39">
        <f t="shared" si="56"/>
        <v>0</v>
      </c>
      <c r="J155" s="39">
        <f t="shared" si="56"/>
        <v>0</v>
      </c>
      <c r="K155" s="39">
        <f t="shared" si="56"/>
        <v>0</v>
      </c>
      <c r="L155" s="39">
        <f t="shared" si="57"/>
        <v>0</v>
      </c>
      <c r="M155" s="118"/>
      <c r="N155" s="118"/>
      <c r="O155" s="7"/>
    </row>
    <row r="156" spans="3:15" x14ac:dyDescent="0.25">
      <c r="C156" s="1" t="s">
        <v>6</v>
      </c>
      <c r="D156" s="39">
        <f t="shared" si="56"/>
        <v>0</v>
      </c>
      <c r="E156" s="39">
        <f t="shared" si="56"/>
        <v>0</v>
      </c>
      <c r="F156" s="39">
        <f t="shared" si="56"/>
        <v>0</v>
      </c>
      <c r="G156" s="39">
        <f t="shared" si="56"/>
        <v>0</v>
      </c>
      <c r="H156" s="39">
        <f t="shared" si="56"/>
        <v>0</v>
      </c>
      <c r="I156" s="39">
        <f t="shared" si="56"/>
        <v>0</v>
      </c>
      <c r="J156" s="39">
        <f t="shared" si="56"/>
        <v>0</v>
      </c>
      <c r="K156" s="39">
        <f t="shared" si="56"/>
        <v>0</v>
      </c>
      <c r="L156" s="39">
        <f t="shared" si="57"/>
        <v>0</v>
      </c>
      <c r="M156" s="118"/>
      <c r="N156" s="118"/>
      <c r="O156" s="7"/>
    </row>
    <row r="157" spans="3:15" x14ac:dyDescent="0.25">
      <c r="C157" s="1" t="s">
        <v>50</v>
      </c>
      <c r="D157" s="39">
        <f t="shared" si="56"/>
        <v>0</v>
      </c>
      <c r="E157" s="39">
        <f t="shared" si="56"/>
        <v>0</v>
      </c>
      <c r="F157" s="39">
        <f t="shared" si="56"/>
        <v>0</v>
      </c>
      <c r="G157" s="39">
        <f t="shared" si="56"/>
        <v>0</v>
      </c>
      <c r="H157" s="39">
        <f t="shared" si="56"/>
        <v>0</v>
      </c>
      <c r="I157" s="39">
        <f t="shared" si="56"/>
        <v>0</v>
      </c>
      <c r="J157" s="39">
        <f t="shared" si="56"/>
        <v>0</v>
      </c>
      <c r="K157" s="39">
        <f t="shared" si="56"/>
        <v>0</v>
      </c>
      <c r="L157" s="39">
        <f t="shared" si="57"/>
        <v>0</v>
      </c>
      <c r="M157" s="118"/>
      <c r="N157" s="118"/>
      <c r="O157" s="7"/>
    </row>
    <row r="158" spans="3:15" x14ac:dyDescent="0.25">
      <c r="C158" s="1" t="s">
        <v>89</v>
      </c>
      <c r="D158" s="39">
        <f t="shared" si="56"/>
        <v>0</v>
      </c>
      <c r="E158" s="39">
        <f t="shared" si="56"/>
        <v>0</v>
      </c>
      <c r="F158" s="39">
        <f t="shared" si="56"/>
        <v>0</v>
      </c>
      <c r="G158" s="39">
        <f t="shared" si="56"/>
        <v>0</v>
      </c>
      <c r="H158" s="39">
        <f t="shared" si="56"/>
        <v>0</v>
      </c>
      <c r="I158" s="39">
        <f t="shared" si="56"/>
        <v>0</v>
      </c>
      <c r="J158" s="39">
        <f t="shared" si="56"/>
        <v>0</v>
      </c>
      <c r="K158" s="39">
        <f t="shared" si="56"/>
        <v>0</v>
      </c>
      <c r="L158" s="39">
        <f t="shared" si="57"/>
        <v>0</v>
      </c>
      <c r="M158" s="118"/>
      <c r="N158" s="118"/>
      <c r="O158" s="7"/>
    </row>
    <row r="159" spans="3:15" x14ac:dyDescent="0.25">
      <c r="C159" s="1" t="s">
        <v>5</v>
      </c>
      <c r="D159" s="39">
        <f t="shared" si="56"/>
        <v>0</v>
      </c>
      <c r="E159" s="39">
        <f t="shared" si="56"/>
        <v>0</v>
      </c>
      <c r="F159" s="39">
        <f t="shared" si="56"/>
        <v>0</v>
      </c>
      <c r="G159" s="39">
        <f t="shared" si="56"/>
        <v>0</v>
      </c>
      <c r="H159" s="39">
        <f t="shared" si="56"/>
        <v>0</v>
      </c>
      <c r="I159" s="39">
        <f t="shared" si="56"/>
        <v>0</v>
      </c>
      <c r="J159" s="39">
        <f t="shared" si="56"/>
        <v>0</v>
      </c>
      <c r="K159" s="39">
        <f t="shared" si="56"/>
        <v>0</v>
      </c>
      <c r="L159" s="39">
        <f t="shared" si="57"/>
        <v>0</v>
      </c>
      <c r="M159" s="118"/>
      <c r="N159" s="118"/>
      <c r="O159" s="7"/>
    </row>
    <row r="160" spans="3:15" x14ac:dyDescent="0.25">
      <c r="C160" s="1" t="s">
        <v>84</v>
      </c>
      <c r="D160" s="39">
        <f t="shared" si="56"/>
        <v>0</v>
      </c>
      <c r="E160" s="39">
        <f t="shared" si="56"/>
        <v>0</v>
      </c>
      <c r="F160" s="39">
        <f t="shared" si="56"/>
        <v>0</v>
      </c>
      <c r="G160" s="39">
        <f t="shared" si="56"/>
        <v>0</v>
      </c>
      <c r="H160" s="39">
        <f t="shared" si="56"/>
        <v>0</v>
      </c>
      <c r="I160" s="39">
        <f t="shared" si="56"/>
        <v>0</v>
      </c>
      <c r="J160" s="39">
        <f t="shared" si="56"/>
        <v>0</v>
      </c>
      <c r="K160" s="39">
        <f t="shared" si="56"/>
        <v>0</v>
      </c>
      <c r="L160" s="39">
        <f t="shared" si="57"/>
        <v>0</v>
      </c>
      <c r="M160" s="118"/>
      <c r="N160" s="118"/>
      <c r="O160" s="7"/>
    </row>
    <row r="161" spans="3:16" x14ac:dyDescent="0.25">
      <c r="C161" s="1" t="s">
        <v>4</v>
      </c>
      <c r="D161" s="39">
        <f t="shared" si="56"/>
        <v>0</v>
      </c>
      <c r="E161" s="39">
        <f t="shared" si="56"/>
        <v>0</v>
      </c>
      <c r="F161" s="39">
        <f t="shared" si="56"/>
        <v>0</v>
      </c>
      <c r="G161" s="39">
        <f t="shared" si="56"/>
        <v>0</v>
      </c>
      <c r="H161" s="39">
        <f t="shared" si="56"/>
        <v>0</v>
      </c>
      <c r="I161" s="39">
        <f t="shared" si="56"/>
        <v>0</v>
      </c>
      <c r="J161" s="39">
        <f t="shared" si="56"/>
        <v>0</v>
      </c>
      <c r="K161" s="39">
        <f t="shared" si="56"/>
        <v>0</v>
      </c>
      <c r="L161" s="39">
        <f>SUM(D161:K161)</f>
        <v>0</v>
      </c>
      <c r="M161" s="118"/>
      <c r="N161" s="118"/>
      <c r="O161" s="7"/>
    </row>
    <row r="162" spans="3:16" x14ac:dyDescent="0.25">
      <c r="C162" s="1" t="s">
        <v>51</v>
      </c>
      <c r="D162" s="39">
        <f t="shared" si="56"/>
        <v>0</v>
      </c>
      <c r="E162" s="39">
        <f t="shared" si="56"/>
        <v>0</v>
      </c>
      <c r="F162" s="39">
        <f t="shared" si="56"/>
        <v>0</v>
      </c>
      <c r="G162" s="39">
        <f t="shared" si="56"/>
        <v>0</v>
      </c>
      <c r="H162" s="39">
        <f t="shared" si="56"/>
        <v>0</v>
      </c>
      <c r="I162" s="39">
        <f t="shared" si="56"/>
        <v>0</v>
      </c>
      <c r="J162" s="39">
        <f t="shared" si="56"/>
        <v>0</v>
      </c>
      <c r="K162" s="39">
        <f t="shared" si="56"/>
        <v>0</v>
      </c>
      <c r="L162" s="39">
        <f t="shared" si="57"/>
        <v>0</v>
      </c>
      <c r="M162" s="118"/>
      <c r="N162" s="118"/>
      <c r="O162" s="7"/>
    </row>
    <row r="163" spans="3:16" x14ac:dyDescent="0.25">
      <c r="C163" s="1" t="s">
        <v>85</v>
      </c>
      <c r="D163" s="39">
        <f t="shared" si="56"/>
        <v>0</v>
      </c>
      <c r="E163" s="39">
        <f t="shared" si="56"/>
        <v>0</v>
      </c>
      <c r="F163" s="39">
        <f t="shared" si="56"/>
        <v>0</v>
      </c>
      <c r="G163" s="39">
        <f t="shared" si="56"/>
        <v>0</v>
      </c>
      <c r="H163" s="39">
        <f t="shared" si="56"/>
        <v>0</v>
      </c>
      <c r="I163" s="39">
        <f t="shared" si="56"/>
        <v>0</v>
      </c>
      <c r="J163" s="39">
        <f t="shared" si="56"/>
        <v>0</v>
      </c>
      <c r="K163" s="39">
        <f t="shared" si="56"/>
        <v>0</v>
      </c>
      <c r="L163" s="39">
        <f t="shared" si="57"/>
        <v>0</v>
      </c>
      <c r="M163" s="118"/>
      <c r="N163" s="118"/>
      <c r="O163" s="7"/>
    </row>
    <row r="164" spans="3:16" x14ac:dyDescent="0.25">
      <c r="C164" s="1" t="s">
        <v>2</v>
      </c>
      <c r="D164" s="39">
        <f t="shared" si="56"/>
        <v>0</v>
      </c>
      <c r="E164" s="39">
        <f t="shared" si="56"/>
        <v>0</v>
      </c>
      <c r="F164" s="39">
        <f t="shared" si="56"/>
        <v>0</v>
      </c>
      <c r="G164" s="39">
        <f t="shared" si="56"/>
        <v>0</v>
      </c>
      <c r="H164" s="39">
        <f t="shared" si="56"/>
        <v>0</v>
      </c>
      <c r="I164" s="39">
        <f t="shared" si="56"/>
        <v>0</v>
      </c>
      <c r="J164" s="39">
        <f t="shared" si="56"/>
        <v>0</v>
      </c>
      <c r="K164" s="39">
        <f t="shared" si="56"/>
        <v>-178.08999999999997</v>
      </c>
      <c r="L164" s="39">
        <f t="shared" si="57"/>
        <v>-178.08999999999997</v>
      </c>
      <c r="M164" s="118"/>
      <c r="N164" s="118"/>
      <c r="O164" s="7"/>
    </row>
    <row r="165" spans="3:16" x14ac:dyDescent="0.25">
      <c r="C165" s="1" t="s">
        <v>86</v>
      </c>
      <c r="D165" s="39">
        <f t="shared" si="56"/>
        <v>0</v>
      </c>
      <c r="E165" s="39">
        <f t="shared" si="56"/>
        <v>0</v>
      </c>
      <c r="F165" s="39">
        <f t="shared" si="56"/>
        <v>0</v>
      </c>
      <c r="G165" s="39">
        <f t="shared" si="56"/>
        <v>0</v>
      </c>
      <c r="H165" s="39">
        <f t="shared" si="56"/>
        <v>0</v>
      </c>
      <c r="I165" s="39">
        <f t="shared" si="56"/>
        <v>0</v>
      </c>
      <c r="J165" s="39">
        <f t="shared" si="56"/>
        <v>0</v>
      </c>
      <c r="K165" s="39">
        <f t="shared" si="56"/>
        <v>0</v>
      </c>
      <c r="L165" s="39">
        <f t="shared" si="57"/>
        <v>0</v>
      </c>
      <c r="M165" s="118"/>
      <c r="N165" s="118"/>
      <c r="O165" s="168" t="s">
        <v>62</v>
      </c>
    </row>
    <row r="166" spans="3:16" x14ac:dyDescent="0.25">
      <c r="C166" s="1" t="s">
        <v>29</v>
      </c>
      <c r="D166" s="39">
        <f t="shared" si="56"/>
        <v>0</v>
      </c>
      <c r="E166" s="39">
        <f t="shared" si="56"/>
        <v>0</v>
      </c>
      <c r="F166" s="39">
        <f t="shared" si="56"/>
        <v>0</v>
      </c>
      <c r="G166" s="39">
        <f t="shared" si="56"/>
        <v>0</v>
      </c>
      <c r="H166" s="39">
        <f t="shared" si="56"/>
        <v>0</v>
      </c>
      <c r="I166" s="39">
        <f t="shared" si="56"/>
        <v>0</v>
      </c>
      <c r="J166" s="39">
        <f t="shared" si="56"/>
        <v>0</v>
      </c>
      <c r="K166" s="39">
        <f t="shared" si="56"/>
        <v>0</v>
      </c>
      <c r="L166" s="39">
        <f t="shared" si="57"/>
        <v>0</v>
      </c>
      <c r="M166" s="118"/>
      <c r="N166" s="118"/>
      <c r="O166" s="168"/>
    </row>
    <row r="167" spans="3:16" x14ac:dyDescent="0.25">
      <c r="C167" s="1" t="s">
        <v>52</v>
      </c>
      <c r="D167" s="39">
        <f t="shared" si="56"/>
        <v>0</v>
      </c>
      <c r="E167" s="39">
        <f t="shared" si="56"/>
        <v>0</v>
      </c>
      <c r="F167" s="39">
        <f t="shared" si="56"/>
        <v>0</v>
      </c>
      <c r="G167" s="39">
        <f t="shared" si="56"/>
        <v>0</v>
      </c>
      <c r="H167" s="39">
        <f t="shared" si="56"/>
        <v>0</v>
      </c>
      <c r="I167" s="39">
        <f t="shared" si="56"/>
        <v>0</v>
      </c>
      <c r="J167" s="39">
        <f t="shared" si="56"/>
        <v>0</v>
      </c>
      <c r="K167" s="39">
        <f t="shared" si="56"/>
        <v>0</v>
      </c>
      <c r="L167" s="39">
        <f t="shared" si="57"/>
        <v>0</v>
      </c>
      <c r="M167" s="118"/>
      <c r="N167" s="127" t="s">
        <v>235</v>
      </c>
      <c r="O167" s="168" t="s">
        <v>63</v>
      </c>
    </row>
    <row r="168" spans="3:16" x14ac:dyDescent="0.25">
      <c r="C168" s="1" t="s">
        <v>1</v>
      </c>
      <c r="D168" s="40">
        <f t="shared" si="56"/>
        <v>0</v>
      </c>
      <c r="E168" s="40">
        <f t="shared" si="56"/>
        <v>0</v>
      </c>
      <c r="F168" s="40">
        <f t="shared" si="56"/>
        <v>0</v>
      </c>
      <c r="G168" s="40">
        <f t="shared" si="56"/>
        <v>0</v>
      </c>
      <c r="H168" s="40">
        <f t="shared" si="56"/>
        <v>0</v>
      </c>
      <c r="I168" s="40">
        <f t="shared" si="56"/>
        <v>0</v>
      </c>
      <c r="J168" s="40">
        <f t="shared" si="56"/>
        <v>0</v>
      </c>
      <c r="K168" s="40">
        <f t="shared" si="56"/>
        <v>0</v>
      </c>
      <c r="L168" s="40">
        <f t="shared" si="57"/>
        <v>0</v>
      </c>
      <c r="M168" s="118"/>
      <c r="N168" s="128" t="s">
        <v>61</v>
      </c>
      <c r="O168" s="169"/>
    </row>
    <row r="169" spans="3:16" x14ac:dyDescent="0.25">
      <c r="C169" s="4"/>
      <c r="D169" s="39">
        <f>SUM(D152:D168)</f>
        <v>0</v>
      </c>
      <c r="E169" s="39">
        <f t="shared" ref="E169:L169" si="58">SUM(E152:E168)</f>
        <v>0</v>
      </c>
      <c r="F169" s="39">
        <f t="shared" si="58"/>
        <v>0</v>
      </c>
      <c r="G169" s="39">
        <f t="shared" si="58"/>
        <v>0</v>
      </c>
      <c r="H169" s="39">
        <f t="shared" si="58"/>
        <v>0</v>
      </c>
      <c r="I169" s="39">
        <f t="shared" si="58"/>
        <v>0</v>
      </c>
      <c r="J169" s="39">
        <f t="shared" si="58"/>
        <v>0</v>
      </c>
      <c r="K169" s="39">
        <f t="shared" si="58"/>
        <v>-178.08999999999997</v>
      </c>
      <c r="L169" s="39">
        <f t="shared" si="58"/>
        <v>-178.08999999999997</v>
      </c>
      <c r="M169" s="118"/>
      <c r="N169" s="129">
        <v>-178.09</v>
      </c>
      <c r="O169" s="7">
        <f>L169-N169</f>
        <v>0</v>
      </c>
    </row>
    <row r="170" spans="3:16" ht="15.75" thickBot="1" x14ac:dyDescent="0.3">
      <c r="C170" s="4"/>
      <c r="D170" s="39"/>
      <c r="E170" s="39"/>
      <c r="F170" s="39"/>
      <c r="G170" s="39"/>
      <c r="H170" s="39"/>
      <c r="I170" s="39"/>
      <c r="J170" s="39"/>
      <c r="K170" s="39"/>
      <c r="L170" s="39"/>
      <c r="M170" s="118"/>
      <c r="O170" s="7"/>
    </row>
    <row r="171" spans="3:16" ht="15.75" thickBot="1" x14ac:dyDescent="0.3">
      <c r="C171" s="150" t="s">
        <v>30</v>
      </c>
      <c r="D171" s="151"/>
      <c r="E171" s="151"/>
      <c r="F171" s="151"/>
      <c r="G171" s="151"/>
      <c r="H171" s="151"/>
      <c r="I171" s="151"/>
      <c r="J171" s="151"/>
      <c r="K171" s="151"/>
      <c r="L171" s="152"/>
      <c r="M171" s="118"/>
      <c r="N171" s="118"/>
      <c r="O171" s="7">
        <v>7509.49</v>
      </c>
      <c r="P171" t="s">
        <v>408</v>
      </c>
    </row>
    <row r="172" spans="3:16" x14ac:dyDescent="0.25">
      <c r="C172" s="4" t="s">
        <v>16</v>
      </c>
      <c r="D172" s="5" t="s">
        <v>15</v>
      </c>
      <c r="E172" s="5" t="s">
        <v>14</v>
      </c>
      <c r="F172" s="5" t="s">
        <v>13</v>
      </c>
      <c r="G172" s="5" t="s">
        <v>12</v>
      </c>
      <c r="H172" s="5" t="s">
        <v>94</v>
      </c>
      <c r="I172" s="5" t="s">
        <v>95</v>
      </c>
      <c r="J172" s="5" t="s">
        <v>38</v>
      </c>
      <c r="K172" s="5" t="s">
        <v>9</v>
      </c>
      <c r="L172" s="5" t="s">
        <v>0</v>
      </c>
      <c r="M172" s="118"/>
      <c r="N172" s="118"/>
      <c r="O172" s="7"/>
    </row>
    <row r="173" spans="3:16" x14ac:dyDescent="0.25">
      <c r="C173" s="1" t="s">
        <v>49</v>
      </c>
      <c r="D173" s="39">
        <f>D111-D152</f>
        <v>0</v>
      </c>
      <c r="E173" s="39">
        <f t="shared" ref="E173:K173" si="59">E111-E152</f>
        <v>0</v>
      </c>
      <c r="F173" s="39">
        <f t="shared" si="59"/>
        <v>0</v>
      </c>
      <c r="G173" s="39">
        <f t="shared" si="59"/>
        <v>0</v>
      </c>
      <c r="H173" s="39">
        <f t="shared" si="59"/>
        <v>0</v>
      </c>
      <c r="I173" s="39">
        <f t="shared" si="59"/>
        <v>0</v>
      </c>
      <c r="J173" s="39">
        <f t="shared" si="59"/>
        <v>0</v>
      </c>
      <c r="K173" s="39">
        <f t="shared" si="59"/>
        <v>0</v>
      </c>
      <c r="L173" s="66">
        <f>SUM(D173:K173)</f>
        <v>0</v>
      </c>
      <c r="M173" s="118"/>
      <c r="N173" s="118"/>
      <c r="O173" s="7"/>
    </row>
    <row r="174" spans="3:16" x14ac:dyDescent="0.25">
      <c r="C174" s="1" t="s">
        <v>8</v>
      </c>
      <c r="D174" s="39">
        <f>D112-D153</f>
        <v>0</v>
      </c>
      <c r="E174" s="39">
        <f t="shared" ref="E174:K174" si="60">E112-E153</f>
        <v>0</v>
      </c>
      <c r="F174" s="39">
        <f t="shared" si="60"/>
        <v>0</v>
      </c>
      <c r="G174" s="39">
        <f t="shared" si="60"/>
        <v>0</v>
      </c>
      <c r="H174" s="39">
        <f t="shared" si="60"/>
        <v>0</v>
      </c>
      <c r="I174" s="39">
        <f t="shared" si="60"/>
        <v>0</v>
      </c>
      <c r="J174" s="39">
        <f t="shared" si="60"/>
        <v>0</v>
      </c>
      <c r="K174" s="39">
        <f t="shared" si="60"/>
        <v>0</v>
      </c>
      <c r="L174" s="39">
        <f t="shared" ref="L174:L189" si="61">SUM(D174:K174)</f>
        <v>0</v>
      </c>
      <c r="M174" s="118"/>
      <c r="N174" s="118"/>
      <c r="O174" s="7"/>
    </row>
    <row r="175" spans="3:16" x14ac:dyDescent="0.25">
      <c r="C175" s="1" t="s">
        <v>7</v>
      </c>
      <c r="D175" s="39">
        <f>D113-D154</f>
        <v>0</v>
      </c>
      <c r="E175" s="39">
        <f t="shared" ref="E175:K175" si="62">E113-E154</f>
        <v>0</v>
      </c>
      <c r="F175" s="39">
        <f t="shared" si="62"/>
        <v>0</v>
      </c>
      <c r="G175" s="39">
        <f t="shared" si="62"/>
        <v>0</v>
      </c>
      <c r="H175" s="39">
        <f t="shared" si="62"/>
        <v>0</v>
      </c>
      <c r="I175" s="39">
        <f t="shared" si="62"/>
        <v>0</v>
      </c>
      <c r="J175" s="39">
        <f t="shared" si="62"/>
        <v>0</v>
      </c>
      <c r="K175" s="39">
        <f t="shared" si="62"/>
        <v>0</v>
      </c>
      <c r="L175" s="39">
        <f t="shared" si="61"/>
        <v>0</v>
      </c>
      <c r="M175" s="118"/>
      <c r="N175" s="118"/>
      <c r="O175" s="7"/>
    </row>
    <row r="176" spans="3:16" x14ac:dyDescent="0.25">
      <c r="C176" s="1" t="s">
        <v>42</v>
      </c>
      <c r="D176" s="39">
        <f t="shared" ref="D176:K186" si="63">D114-D155</f>
        <v>0</v>
      </c>
      <c r="E176" s="39">
        <f t="shared" si="63"/>
        <v>0</v>
      </c>
      <c r="F176" s="39">
        <f t="shared" si="63"/>
        <v>0</v>
      </c>
      <c r="G176" s="39">
        <f t="shared" si="63"/>
        <v>0</v>
      </c>
      <c r="H176" s="39">
        <f t="shared" si="63"/>
        <v>0</v>
      </c>
      <c r="I176" s="39">
        <f t="shared" si="63"/>
        <v>0</v>
      </c>
      <c r="J176" s="39">
        <f t="shared" si="63"/>
        <v>0</v>
      </c>
      <c r="K176" s="39">
        <f t="shared" si="63"/>
        <v>0</v>
      </c>
      <c r="L176" s="39">
        <f t="shared" si="61"/>
        <v>0</v>
      </c>
      <c r="M176" s="118"/>
      <c r="N176" s="118"/>
      <c r="O176" s="7"/>
    </row>
    <row r="177" spans="3:15" x14ac:dyDescent="0.25">
      <c r="C177" s="1" t="s">
        <v>6</v>
      </c>
      <c r="D177" s="39">
        <f t="shared" si="63"/>
        <v>0</v>
      </c>
      <c r="E177" s="39">
        <f t="shared" si="63"/>
        <v>0</v>
      </c>
      <c r="F177" s="39">
        <f t="shared" si="63"/>
        <v>0</v>
      </c>
      <c r="G177" s="39">
        <f t="shared" si="63"/>
        <v>0</v>
      </c>
      <c r="H177" s="39">
        <f t="shared" si="63"/>
        <v>0</v>
      </c>
      <c r="I177" s="39">
        <f t="shared" si="63"/>
        <v>0</v>
      </c>
      <c r="J177" s="39">
        <f t="shared" si="63"/>
        <v>0</v>
      </c>
      <c r="K177" s="39">
        <f t="shared" si="63"/>
        <v>0</v>
      </c>
      <c r="L177" s="39">
        <f t="shared" si="61"/>
        <v>0</v>
      </c>
      <c r="M177" s="118"/>
      <c r="N177" s="118"/>
      <c r="O177" s="7"/>
    </row>
    <row r="178" spans="3:15" x14ac:dyDescent="0.25">
      <c r="C178" s="1" t="s">
        <v>50</v>
      </c>
      <c r="D178" s="39">
        <f t="shared" si="63"/>
        <v>0</v>
      </c>
      <c r="E178" s="39">
        <f t="shared" si="63"/>
        <v>0</v>
      </c>
      <c r="F178" s="39">
        <f t="shared" si="63"/>
        <v>0</v>
      </c>
      <c r="G178" s="39">
        <f t="shared" si="63"/>
        <v>0</v>
      </c>
      <c r="H178" s="39">
        <f t="shared" si="63"/>
        <v>0</v>
      </c>
      <c r="I178" s="39">
        <f t="shared" si="63"/>
        <v>0</v>
      </c>
      <c r="J178" s="39">
        <f t="shared" si="63"/>
        <v>0</v>
      </c>
      <c r="K178" s="39">
        <f t="shared" si="63"/>
        <v>0</v>
      </c>
      <c r="L178" s="39">
        <f t="shared" si="61"/>
        <v>0</v>
      </c>
      <c r="M178" s="118"/>
      <c r="N178" s="118"/>
      <c r="O178" s="7"/>
    </row>
    <row r="179" spans="3:15" x14ac:dyDescent="0.25">
      <c r="C179" s="1" t="s">
        <v>89</v>
      </c>
      <c r="D179" s="39">
        <f t="shared" si="63"/>
        <v>0</v>
      </c>
      <c r="E179" s="39">
        <f t="shared" si="63"/>
        <v>0</v>
      </c>
      <c r="F179" s="39">
        <f t="shared" si="63"/>
        <v>0</v>
      </c>
      <c r="G179" s="39">
        <f t="shared" si="63"/>
        <v>0</v>
      </c>
      <c r="H179" s="39">
        <f t="shared" si="63"/>
        <v>0</v>
      </c>
      <c r="I179" s="39">
        <f t="shared" si="63"/>
        <v>0</v>
      </c>
      <c r="J179" s="39">
        <f t="shared" si="63"/>
        <v>0</v>
      </c>
      <c r="K179" s="39">
        <f t="shared" si="63"/>
        <v>0</v>
      </c>
      <c r="L179" s="39">
        <f t="shared" si="61"/>
        <v>0</v>
      </c>
      <c r="M179" s="118"/>
      <c r="N179" s="118"/>
      <c r="O179" s="7"/>
    </row>
    <row r="180" spans="3:15" x14ac:dyDescent="0.25">
      <c r="C180" s="1" t="s">
        <v>5</v>
      </c>
      <c r="D180" s="39">
        <f t="shared" si="63"/>
        <v>0</v>
      </c>
      <c r="E180" s="39">
        <f t="shared" si="63"/>
        <v>0</v>
      </c>
      <c r="F180" s="39">
        <f t="shared" si="63"/>
        <v>0</v>
      </c>
      <c r="G180" s="39">
        <f t="shared" si="63"/>
        <v>0</v>
      </c>
      <c r="H180" s="39">
        <f t="shared" si="63"/>
        <v>0</v>
      </c>
      <c r="I180" s="39">
        <f t="shared" si="63"/>
        <v>0</v>
      </c>
      <c r="J180" s="39">
        <f t="shared" si="63"/>
        <v>0</v>
      </c>
      <c r="K180" s="39">
        <f t="shared" si="63"/>
        <v>0</v>
      </c>
      <c r="L180" s="39">
        <f>SUM(D180:K180)</f>
        <v>0</v>
      </c>
      <c r="M180" s="118"/>
      <c r="N180" s="118"/>
      <c r="O180" s="7"/>
    </row>
    <row r="181" spans="3:15" x14ac:dyDescent="0.25">
      <c r="C181" s="1" t="s">
        <v>84</v>
      </c>
      <c r="D181" s="39">
        <f t="shared" si="63"/>
        <v>0</v>
      </c>
      <c r="E181" s="39">
        <f t="shared" si="63"/>
        <v>0</v>
      </c>
      <c r="F181" s="39">
        <f t="shared" si="63"/>
        <v>0</v>
      </c>
      <c r="G181" s="39">
        <f t="shared" si="63"/>
        <v>0</v>
      </c>
      <c r="H181" s="39">
        <f t="shared" si="63"/>
        <v>0</v>
      </c>
      <c r="I181" s="39">
        <f t="shared" si="63"/>
        <v>0</v>
      </c>
      <c r="J181" s="39">
        <f t="shared" si="63"/>
        <v>0</v>
      </c>
      <c r="K181" s="39">
        <f t="shared" si="63"/>
        <v>0</v>
      </c>
      <c r="L181" s="39">
        <f t="shared" si="61"/>
        <v>0</v>
      </c>
      <c r="M181" s="118"/>
      <c r="N181" s="118"/>
      <c r="O181" s="7"/>
    </row>
    <row r="182" spans="3:15" x14ac:dyDescent="0.25">
      <c r="C182" s="1" t="s">
        <v>4</v>
      </c>
      <c r="D182" s="39">
        <f t="shared" si="63"/>
        <v>0</v>
      </c>
      <c r="E182" s="39">
        <f t="shared" si="63"/>
        <v>0</v>
      </c>
      <c r="F182" s="39">
        <f t="shared" si="63"/>
        <v>0</v>
      </c>
      <c r="G182" s="39">
        <f t="shared" si="63"/>
        <v>0</v>
      </c>
      <c r="H182" s="39">
        <f t="shared" si="63"/>
        <v>0</v>
      </c>
      <c r="I182" s="39">
        <f t="shared" si="63"/>
        <v>0</v>
      </c>
      <c r="J182" s="39">
        <f t="shared" si="63"/>
        <v>0</v>
      </c>
      <c r="K182" s="39">
        <f t="shared" si="63"/>
        <v>0</v>
      </c>
      <c r="L182" s="39">
        <f t="shared" si="61"/>
        <v>0</v>
      </c>
      <c r="M182" s="118"/>
      <c r="N182" s="118"/>
      <c r="O182" s="7"/>
    </row>
    <row r="183" spans="3:15" x14ac:dyDescent="0.25">
      <c r="C183" s="1" t="s">
        <v>51</v>
      </c>
      <c r="D183" s="39">
        <f t="shared" si="63"/>
        <v>0</v>
      </c>
      <c r="E183" s="39">
        <f t="shared" si="63"/>
        <v>0</v>
      </c>
      <c r="F183" s="39">
        <f t="shared" si="63"/>
        <v>0</v>
      </c>
      <c r="G183" s="39">
        <f t="shared" si="63"/>
        <v>0</v>
      </c>
      <c r="H183" s="39">
        <f t="shared" si="63"/>
        <v>0</v>
      </c>
      <c r="I183" s="39">
        <f t="shared" si="63"/>
        <v>0</v>
      </c>
      <c r="J183" s="39">
        <f t="shared" si="63"/>
        <v>0</v>
      </c>
      <c r="K183" s="39">
        <f t="shared" si="63"/>
        <v>0</v>
      </c>
      <c r="L183" s="39">
        <f t="shared" si="61"/>
        <v>0</v>
      </c>
      <c r="M183" s="118"/>
      <c r="N183" s="118"/>
      <c r="O183" s="7"/>
    </row>
    <row r="184" spans="3:15" x14ac:dyDescent="0.25">
      <c r="C184" s="1" t="s">
        <v>85</v>
      </c>
      <c r="D184" s="39">
        <f t="shared" si="63"/>
        <v>0</v>
      </c>
      <c r="E184" s="39">
        <f t="shared" si="63"/>
        <v>0</v>
      </c>
      <c r="F184" s="39">
        <f t="shared" si="63"/>
        <v>0</v>
      </c>
      <c r="G184" s="39">
        <f t="shared" si="63"/>
        <v>0</v>
      </c>
      <c r="H184" s="39">
        <f t="shared" si="63"/>
        <v>0</v>
      </c>
      <c r="I184" s="39">
        <f t="shared" si="63"/>
        <v>0</v>
      </c>
      <c r="J184" s="39">
        <f t="shared" si="63"/>
        <v>0</v>
      </c>
      <c r="K184" s="39">
        <f t="shared" si="63"/>
        <v>0</v>
      </c>
      <c r="L184" s="39">
        <f t="shared" si="61"/>
        <v>0</v>
      </c>
      <c r="M184" s="118"/>
      <c r="N184" s="118"/>
      <c r="O184" s="7"/>
    </row>
    <row r="185" spans="3:15" x14ac:dyDescent="0.25">
      <c r="C185" s="1" t="s">
        <v>2</v>
      </c>
      <c r="D185" s="39">
        <f t="shared" si="63"/>
        <v>-12078.84</v>
      </c>
      <c r="E185" s="39">
        <f t="shared" si="63"/>
        <v>0</v>
      </c>
      <c r="F185" s="39">
        <f t="shared" si="63"/>
        <v>0</v>
      </c>
      <c r="G185" s="39">
        <f t="shared" si="63"/>
        <v>0</v>
      </c>
      <c r="H185" s="39">
        <f t="shared" si="63"/>
        <v>0</v>
      </c>
      <c r="I185" s="39">
        <f t="shared" si="63"/>
        <v>0</v>
      </c>
      <c r="J185" s="39">
        <f t="shared" si="63"/>
        <v>0</v>
      </c>
      <c r="K185" s="39">
        <f t="shared" si="63"/>
        <v>0</v>
      </c>
      <c r="L185" s="39">
        <f t="shared" si="61"/>
        <v>-12078.84</v>
      </c>
      <c r="M185" s="118"/>
      <c r="N185" s="118"/>
      <c r="O185" s="7"/>
    </row>
    <row r="186" spans="3:15" x14ac:dyDescent="0.25">
      <c r="C186" s="1" t="s">
        <v>86</v>
      </c>
      <c r="D186" s="39">
        <f t="shared" si="63"/>
        <v>0</v>
      </c>
      <c r="E186" s="39">
        <f t="shared" si="63"/>
        <v>0</v>
      </c>
      <c r="F186" s="39">
        <f t="shared" si="63"/>
        <v>0</v>
      </c>
      <c r="G186" s="39">
        <f t="shared" si="63"/>
        <v>0</v>
      </c>
      <c r="H186" s="39">
        <f t="shared" si="63"/>
        <v>0</v>
      </c>
      <c r="I186" s="39">
        <f t="shared" si="63"/>
        <v>0</v>
      </c>
      <c r="J186" s="39">
        <f t="shared" si="63"/>
        <v>0</v>
      </c>
      <c r="K186" s="39">
        <f t="shared" si="63"/>
        <v>0</v>
      </c>
      <c r="L186" s="39">
        <f t="shared" si="61"/>
        <v>0</v>
      </c>
      <c r="M186" s="118"/>
      <c r="N186" s="118"/>
      <c r="O186" s="7"/>
    </row>
    <row r="187" spans="3:15" x14ac:dyDescent="0.25">
      <c r="C187" s="1" t="s">
        <v>29</v>
      </c>
      <c r="D187" s="39">
        <f t="shared" ref="D187:K189" si="64">D125-D166</f>
        <v>0</v>
      </c>
      <c r="E187" s="39">
        <f t="shared" si="64"/>
        <v>0</v>
      </c>
      <c r="F187" s="39">
        <f t="shared" si="64"/>
        <v>0</v>
      </c>
      <c r="G187" s="39">
        <f t="shared" si="64"/>
        <v>0</v>
      </c>
      <c r="H187" s="39">
        <f t="shared" si="64"/>
        <v>0</v>
      </c>
      <c r="I187" s="39">
        <f t="shared" si="64"/>
        <v>0</v>
      </c>
      <c r="J187" s="39">
        <f t="shared" si="64"/>
        <v>0</v>
      </c>
      <c r="K187" s="39">
        <f t="shared" si="64"/>
        <v>0</v>
      </c>
      <c r="L187" s="39">
        <f t="shared" si="61"/>
        <v>0</v>
      </c>
      <c r="M187" s="118"/>
      <c r="N187" s="118"/>
      <c r="O187" s="7"/>
    </row>
    <row r="188" spans="3:15" x14ac:dyDescent="0.25">
      <c r="C188" s="1" t="s">
        <v>52</v>
      </c>
      <c r="D188" s="39">
        <f t="shared" si="64"/>
        <v>0</v>
      </c>
      <c r="E188" s="39">
        <f t="shared" si="64"/>
        <v>0</v>
      </c>
      <c r="F188" s="39">
        <f t="shared" si="64"/>
        <v>0</v>
      </c>
      <c r="G188" s="39">
        <f t="shared" si="64"/>
        <v>0</v>
      </c>
      <c r="H188" s="39">
        <f t="shared" si="64"/>
        <v>0</v>
      </c>
      <c r="I188" s="39">
        <f t="shared" si="64"/>
        <v>0</v>
      </c>
      <c r="J188" s="39">
        <f t="shared" si="64"/>
        <v>0</v>
      </c>
      <c r="K188" s="39">
        <f t="shared" si="64"/>
        <v>0</v>
      </c>
      <c r="L188" s="39">
        <f t="shared" si="61"/>
        <v>0</v>
      </c>
      <c r="M188" s="118"/>
      <c r="N188" s="118"/>
      <c r="O188" s="7"/>
    </row>
    <row r="189" spans="3:15" x14ac:dyDescent="0.25">
      <c r="C189" s="1" t="s">
        <v>1</v>
      </c>
      <c r="D189" s="40">
        <f t="shared" si="64"/>
        <v>0</v>
      </c>
      <c r="E189" s="40">
        <f t="shared" si="64"/>
        <v>0</v>
      </c>
      <c r="F189" s="40">
        <f t="shared" si="64"/>
        <v>0</v>
      </c>
      <c r="G189" s="40">
        <f t="shared" si="64"/>
        <v>0</v>
      </c>
      <c r="H189" s="40">
        <f t="shared" si="64"/>
        <v>0</v>
      </c>
      <c r="I189" s="40">
        <f t="shared" si="64"/>
        <v>0</v>
      </c>
      <c r="J189" s="40">
        <f t="shared" si="64"/>
        <v>0</v>
      </c>
      <c r="K189" s="40">
        <f t="shared" si="64"/>
        <v>0</v>
      </c>
      <c r="L189" s="40">
        <f t="shared" si="61"/>
        <v>0</v>
      </c>
      <c r="M189" s="118"/>
      <c r="N189" s="118"/>
      <c r="O189" s="7"/>
    </row>
    <row r="190" spans="3:15" x14ac:dyDescent="0.25">
      <c r="C190" s="4"/>
      <c r="D190" s="39">
        <f>SUM(D173:D189)</f>
        <v>-12078.84</v>
      </c>
      <c r="E190" s="39">
        <f t="shared" ref="E190:L190" si="65">SUM(E173:E189)</f>
        <v>0</v>
      </c>
      <c r="F190" s="39">
        <f t="shared" si="65"/>
        <v>0</v>
      </c>
      <c r="G190" s="39">
        <f t="shared" si="65"/>
        <v>0</v>
      </c>
      <c r="H190" s="39">
        <f t="shared" si="65"/>
        <v>0</v>
      </c>
      <c r="I190" s="39">
        <f t="shared" si="65"/>
        <v>0</v>
      </c>
      <c r="J190" s="39">
        <f t="shared" si="65"/>
        <v>0</v>
      </c>
      <c r="K190" s="39">
        <f t="shared" si="65"/>
        <v>0</v>
      </c>
      <c r="L190" s="39">
        <f t="shared" si="65"/>
        <v>-12078.84</v>
      </c>
      <c r="M190" s="118"/>
      <c r="N190" s="118"/>
      <c r="O190" s="7"/>
    </row>
    <row r="191" spans="3:15" x14ac:dyDescent="0.25">
      <c r="C191" s="4"/>
      <c r="D191" s="39"/>
      <c r="E191" s="39"/>
      <c r="F191" s="39"/>
      <c r="G191" s="39"/>
      <c r="H191" s="39"/>
      <c r="I191" s="39"/>
      <c r="J191" s="39"/>
      <c r="K191" s="39"/>
      <c r="L191" s="39"/>
      <c r="M191" s="118"/>
      <c r="N191" s="118"/>
      <c r="O191" s="7"/>
    </row>
    <row r="192" spans="3:15" x14ac:dyDescent="0.25">
      <c r="C192" s="4"/>
      <c r="D192" s="39"/>
      <c r="E192" s="39"/>
      <c r="F192" s="39"/>
      <c r="G192" s="39"/>
      <c r="H192" s="39"/>
      <c r="I192" s="39"/>
      <c r="J192" s="39"/>
      <c r="K192" s="39"/>
      <c r="L192" s="39"/>
      <c r="M192" s="118"/>
      <c r="N192" s="118"/>
      <c r="O192" s="7"/>
    </row>
    <row r="193" spans="3:15" x14ac:dyDescent="0.25">
      <c r="C193" s="4"/>
      <c r="D193" s="39"/>
      <c r="E193" s="39"/>
      <c r="F193" s="39"/>
      <c r="G193" s="39"/>
      <c r="H193" s="39"/>
      <c r="I193" s="39"/>
      <c r="J193" s="39"/>
      <c r="K193" s="39"/>
      <c r="L193" s="39"/>
      <c r="M193" s="118"/>
      <c r="N193" s="118"/>
      <c r="O193" s="7"/>
    </row>
    <row r="194" spans="3:15" x14ac:dyDescent="0.25">
      <c r="C194" s="4"/>
      <c r="D194" s="39"/>
      <c r="E194" s="39"/>
      <c r="F194" s="39"/>
      <c r="G194" s="39"/>
      <c r="H194" s="39"/>
      <c r="I194" s="39"/>
      <c r="J194" s="39"/>
      <c r="K194" s="39"/>
      <c r="L194" s="39"/>
      <c r="M194" s="118"/>
      <c r="N194" s="118"/>
      <c r="O194" s="7"/>
    </row>
    <row r="195" spans="3:15" x14ac:dyDescent="0.25">
      <c r="C195" s="4"/>
      <c r="D195" s="39"/>
      <c r="E195" s="39"/>
      <c r="F195" s="39"/>
      <c r="G195" s="39"/>
      <c r="H195" s="39"/>
      <c r="I195" s="39"/>
      <c r="J195" s="39"/>
      <c r="K195" s="39"/>
      <c r="L195" s="39"/>
      <c r="M195" s="118"/>
      <c r="N195" s="118"/>
      <c r="O195" s="7"/>
    </row>
    <row r="196" spans="3:15" x14ac:dyDescent="0.25">
      <c r="C196" s="4"/>
      <c r="D196" s="39"/>
      <c r="E196" s="39"/>
      <c r="F196" s="39"/>
      <c r="G196" s="39"/>
      <c r="H196" s="39"/>
      <c r="I196" s="39"/>
      <c r="J196" s="39"/>
      <c r="K196" s="39"/>
      <c r="L196" s="39"/>
      <c r="M196" s="118"/>
      <c r="N196" s="118"/>
      <c r="O196" s="7"/>
    </row>
    <row r="197" spans="3:15" x14ac:dyDescent="0.25">
      <c r="C197" s="4"/>
      <c r="D197" s="39"/>
      <c r="E197" s="39"/>
      <c r="F197" s="39"/>
      <c r="G197" s="39"/>
      <c r="H197" s="39"/>
      <c r="I197" s="39"/>
      <c r="J197" s="39"/>
      <c r="K197" s="39"/>
      <c r="L197" s="39"/>
      <c r="M197" s="118"/>
      <c r="N197" s="118"/>
      <c r="O197" s="7"/>
    </row>
    <row r="198" spans="3:15" x14ac:dyDescent="0.25">
      <c r="C198" s="1"/>
      <c r="D198" s="9"/>
      <c r="E198" s="9"/>
      <c r="F198" s="9"/>
      <c r="G198" s="9"/>
      <c r="H198" s="9"/>
      <c r="I198" s="9"/>
      <c r="J198" s="9"/>
      <c r="K198" s="9"/>
      <c r="L198" s="9"/>
      <c r="O198" s="7"/>
    </row>
    <row r="199" spans="3:15" x14ac:dyDescent="0.25">
      <c r="C199" s="1"/>
      <c r="D199" s="9"/>
      <c r="E199" s="9"/>
      <c r="F199" s="9"/>
      <c r="G199" s="9"/>
      <c r="H199" s="9"/>
      <c r="I199" s="9"/>
      <c r="J199" s="9"/>
      <c r="K199" s="9"/>
      <c r="L199" s="9"/>
      <c r="O199" s="7"/>
    </row>
  </sheetData>
  <mergeCells count="18">
    <mergeCell ref="C26:L26"/>
    <mergeCell ref="C47:L47"/>
    <mergeCell ref="C171:L171"/>
    <mergeCell ref="O103:O104"/>
    <mergeCell ref="O105:O106"/>
    <mergeCell ref="C68:L68"/>
    <mergeCell ref="C88:L88"/>
    <mergeCell ref="C109:L109"/>
    <mergeCell ref="C130:L130"/>
    <mergeCell ref="C150:L150"/>
    <mergeCell ref="O165:O166"/>
    <mergeCell ref="O167:O168"/>
    <mergeCell ref="N5:O5"/>
    <mergeCell ref="C1:O1"/>
    <mergeCell ref="C2:O2"/>
    <mergeCell ref="C3:O3"/>
    <mergeCell ref="C4:O4"/>
    <mergeCell ref="C5:L5"/>
  </mergeCells>
  <pageMargins left="0.7" right="0.7" top="0.75" bottom="0.75" header="0.3" footer="0.3"/>
  <pageSetup scale="3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Z64"/>
  <sheetViews>
    <sheetView workbookViewId="0">
      <selection sqref="A1:I1"/>
    </sheetView>
  </sheetViews>
  <sheetFormatPr defaultColWidth="9.140625" defaultRowHeight="15" x14ac:dyDescent="0.25"/>
  <cols>
    <col min="1" max="1" width="38.85546875" bestFit="1" customWidth="1"/>
    <col min="2" max="2" width="14.28515625" bestFit="1" customWidth="1"/>
    <col min="3" max="3" width="13.28515625" bestFit="1" customWidth="1"/>
    <col min="4" max="4" width="11.28515625" bestFit="1" customWidth="1"/>
    <col min="5" max="5" width="14.28515625" bestFit="1" customWidth="1"/>
    <col min="6" max="7" width="12.28515625" bestFit="1" customWidth="1"/>
    <col min="8" max="8" width="9.5703125" bestFit="1" customWidth="1"/>
    <col min="9" max="9" width="15" bestFit="1" customWidth="1"/>
    <col min="10" max="10" width="2.7109375" customWidth="1"/>
    <col min="11" max="11" width="11.5703125" bestFit="1" customWidth="1"/>
    <col min="12" max="12" width="18.85546875" customWidth="1"/>
    <col min="13" max="13" width="11.5703125" bestFit="1" customWidth="1"/>
    <col min="14" max="14" width="11.28515625" bestFit="1" customWidth="1"/>
    <col min="15" max="16" width="12.28515625" bestFit="1" customWidth="1"/>
    <col min="17" max="17" width="9.5703125" bestFit="1" customWidth="1"/>
    <col min="19" max="20" width="10.5703125" bestFit="1" customWidth="1"/>
    <col min="21" max="21" width="11" customWidth="1"/>
    <col min="22" max="22" width="10.28515625" customWidth="1"/>
    <col min="23" max="23" width="11.5703125" customWidth="1"/>
    <col min="24" max="24" width="11.42578125" customWidth="1"/>
    <col min="25" max="25" width="11.5703125" customWidth="1"/>
    <col min="26" max="26" width="11.7109375" customWidth="1"/>
  </cols>
  <sheetData>
    <row r="1" spans="1:22" ht="18.75" x14ac:dyDescent="0.3">
      <c r="A1" s="162" t="s">
        <v>17</v>
      </c>
      <c r="B1" s="162"/>
      <c r="C1" s="162"/>
      <c r="D1" s="162"/>
      <c r="E1" s="162"/>
      <c r="F1" s="162"/>
      <c r="G1" s="162"/>
      <c r="H1" s="162"/>
      <c r="I1" s="162"/>
    </row>
    <row r="2" spans="1:22" ht="15.75" x14ac:dyDescent="0.25">
      <c r="A2" s="170" t="s">
        <v>40</v>
      </c>
      <c r="B2" s="170"/>
      <c r="C2" s="170"/>
      <c r="D2" s="170"/>
      <c r="E2" s="170"/>
      <c r="F2" s="170"/>
      <c r="G2" s="170"/>
      <c r="H2" s="170"/>
      <c r="I2" s="170"/>
    </row>
    <row r="3" spans="1:22" x14ac:dyDescent="0.25">
      <c r="A3" s="164" t="s">
        <v>31</v>
      </c>
      <c r="B3" s="164"/>
      <c r="C3" s="164"/>
      <c r="D3" s="164"/>
      <c r="E3" s="164"/>
      <c r="F3" s="164"/>
      <c r="G3" s="164"/>
      <c r="H3" s="164"/>
      <c r="I3" s="164"/>
    </row>
    <row r="4" spans="1:22" x14ac:dyDescent="0.25">
      <c r="A4" s="167">
        <v>41243</v>
      </c>
      <c r="B4" s="167"/>
      <c r="C4" s="167"/>
      <c r="D4" s="167"/>
      <c r="E4" s="167"/>
      <c r="F4" s="167"/>
      <c r="G4" s="167"/>
      <c r="H4" s="167"/>
      <c r="I4" s="167"/>
      <c r="S4" s="22">
        <v>5538.29</v>
      </c>
    </row>
    <row r="5" spans="1:22" x14ac:dyDescent="0.25">
      <c r="A5" s="23" t="s">
        <v>46</v>
      </c>
      <c r="B5" s="25"/>
      <c r="C5" s="24">
        <f>+B5/0.55</f>
        <v>0</v>
      </c>
      <c r="K5" s="166" t="s">
        <v>44</v>
      </c>
      <c r="L5" s="166"/>
      <c r="M5" s="166"/>
      <c r="N5" s="166"/>
      <c r="O5" s="166"/>
      <c r="P5" s="166"/>
      <c r="Q5" s="166"/>
    </row>
    <row r="6" spans="1:22" x14ac:dyDescent="0.25">
      <c r="A6" s="4" t="s">
        <v>16</v>
      </c>
      <c r="B6" s="5" t="s">
        <v>15</v>
      </c>
      <c r="C6" s="5" t="s">
        <v>14</v>
      </c>
      <c r="D6" s="5" t="s">
        <v>13</v>
      </c>
      <c r="E6" s="5" t="s">
        <v>12</v>
      </c>
      <c r="F6" s="5" t="s">
        <v>37</v>
      </c>
      <c r="G6" s="5" t="s">
        <v>38</v>
      </c>
      <c r="H6" s="5" t="s">
        <v>9</v>
      </c>
      <c r="I6" s="5" t="s">
        <v>0</v>
      </c>
      <c r="K6" s="5" t="s">
        <v>15</v>
      </c>
      <c r="L6" s="5" t="s">
        <v>14</v>
      </c>
      <c r="M6" s="5" t="s">
        <v>13</v>
      </c>
      <c r="N6" s="5" t="s">
        <v>12</v>
      </c>
      <c r="O6" s="5" t="s">
        <v>11</v>
      </c>
      <c r="P6" s="5" t="s">
        <v>10</v>
      </c>
      <c r="Q6" s="5" t="s">
        <v>9</v>
      </c>
    </row>
    <row r="7" spans="1:22" x14ac:dyDescent="0.25">
      <c r="A7" s="1" t="s">
        <v>8</v>
      </c>
      <c r="B7" s="2" t="e">
        <f>+'Company Summary'!B7-S20</f>
        <v>#VALUE!</v>
      </c>
      <c r="C7" s="2" t="e">
        <f>+'Company Summary'!C7-T20</f>
        <v>#VALUE!</v>
      </c>
      <c r="D7" s="2" t="e">
        <f>+'Company Summary'!D7-U20</f>
        <v>#VALUE!</v>
      </c>
      <c r="E7" s="2" t="e">
        <f>+'Company Summary'!E7-V20</f>
        <v>#VALUE!</v>
      </c>
      <c r="F7" s="2" t="e">
        <f>+'Company Summary'!F7-W20</f>
        <v>#VALUE!</v>
      </c>
      <c r="G7" s="2" t="e">
        <f>+'Company Summary'!G7-X20</f>
        <v>#VALUE!</v>
      </c>
      <c r="H7" s="2" t="e">
        <f>+'Company Summary'!H7-Y20</f>
        <v>#VALUE!</v>
      </c>
      <c r="I7" s="2" t="e">
        <f t="shared" ref="I7:I17" si="0">SUM(B7:H7)</f>
        <v>#VALUE!</v>
      </c>
      <c r="K7" s="14" t="e">
        <f>IF(B7&lt;&gt;0,1-(B20/B7),0)</f>
        <v>#VALUE!</v>
      </c>
      <c r="L7" s="14" t="e">
        <f t="shared" ref="L7:Q16" si="1">IF(C7&lt;&gt;0,1-(C20/C7),0)</f>
        <v>#VALUE!</v>
      </c>
      <c r="M7" s="14" t="e">
        <f t="shared" si="1"/>
        <v>#VALUE!</v>
      </c>
      <c r="N7" s="14" t="e">
        <f t="shared" si="1"/>
        <v>#VALUE!</v>
      </c>
      <c r="O7" s="14" t="e">
        <f t="shared" si="1"/>
        <v>#VALUE!</v>
      </c>
      <c r="P7" s="14" t="e">
        <f t="shared" si="1"/>
        <v>#VALUE!</v>
      </c>
      <c r="Q7" s="14" t="e">
        <f t="shared" si="1"/>
        <v>#VALUE!</v>
      </c>
      <c r="S7" s="26">
        <f>(Z38/$Z$48)*$S$4</f>
        <v>0</v>
      </c>
      <c r="T7" s="2">
        <f>+S7/0.55</f>
        <v>0</v>
      </c>
      <c r="V7" s="1" t="s">
        <v>8</v>
      </c>
    </row>
    <row r="8" spans="1:22" x14ac:dyDescent="0.25">
      <c r="A8" s="1" t="s">
        <v>7</v>
      </c>
      <c r="B8" s="2">
        <f>+'Company Summary'!B8-S21</f>
        <v>-3997.5167053901432</v>
      </c>
      <c r="C8" s="2">
        <f>+'Company Summary'!C8-T21</f>
        <v>-203.62743242092475</v>
      </c>
      <c r="D8" s="2">
        <f>+'Company Summary'!D8-U21</f>
        <v>-71.037870771204098</v>
      </c>
      <c r="E8" s="2">
        <f>+'Company Summary'!E8-V21</f>
        <v>-135.39966939401495</v>
      </c>
      <c r="F8" s="2">
        <f>+'Company Summary'!F8-W21</f>
        <v>-67.855837001929686</v>
      </c>
      <c r="G8" s="2">
        <f>+'Company Summary'!G8-X21</f>
        <v>0</v>
      </c>
      <c r="H8" s="2">
        <f>+'Company Summary'!H8-Y21</f>
        <v>0</v>
      </c>
      <c r="I8" s="2">
        <f t="shared" si="0"/>
        <v>-4475.4375149782172</v>
      </c>
      <c r="K8" s="6">
        <f t="shared" ref="K8:K16" si="2">IF(B8&lt;&gt;0,1-(B21/B8),0)</f>
        <v>0.68</v>
      </c>
      <c r="L8" s="6">
        <f t="shared" si="1"/>
        <v>0.68</v>
      </c>
      <c r="M8" s="6">
        <f t="shared" si="1"/>
        <v>0.68</v>
      </c>
      <c r="N8" s="6">
        <f t="shared" si="1"/>
        <v>0.68</v>
      </c>
      <c r="O8" s="6">
        <f t="shared" si="1"/>
        <v>0.68</v>
      </c>
      <c r="P8" s="6">
        <f t="shared" si="1"/>
        <v>0</v>
      </c>
      <c r="Q8" s="6">
        <f t="shared" si="1"/>
        <v>0</v>
      </c>
      <c r="S8" s="26">
        <f t="shared" ref="S8:S16" si="3">(Z39/$Z$48)*$S$4</f>
        <v>2461.4906332380197</v>
      </c>
      <c r="T8" s="2">
        <f t="shared" ref="T8:T16" si="4">+S8/0.55</f>
        <v>4475.4375149782172</v>
      </c>
      <c r="V8" s="1" t="s">
        <v>7</v>
      </c>
    </row>
    <row r="9" spans="1:22" x14ac:dyDescent="0.25">
      <c r="A9" s="1" t="s">
        <v>6</v>
      </c>
      <c r="B9" s="2">
        <f>+'Company Summary'!B9-S22</f>
        <v>-1133.5706027242891</v>
      </c>
      <c r="C9" s="2">
        <f>+'Company Summary'!C9-T22</f>
        <v>-247.64900998871138</v>
      </c>
      <c r="D9" s="2">
        <f>+'Company Summary'!D9-U22</f>
        <v>-151.24991682525135</v>
      </c>
      <c r="E9" s="2">
        <f>+'Company Summary'!E9-V22</f>
        <v>-142.03028391713289</v>
      </c>
      <c r="F9" s="2">
        <f>+'Company Summary'!F9-W22</f>
        <v>-228.73450536277764</v>
      </c>
      <c r="G9" s="2">
        <f>+'Company Summary'!G9-X22</f>
        <v>0</v>
      </c>
      <c r="H9" s="2">
        <f>+'Company Summary'!H9-Y22</f>
        <v>0</v>
      </c>
      <c r="I9" s="2">
        <f t="shared" si="0"/>
        <v>-1903.2343188181624</v>
      </c>
      <c r="K9" s="6">
        <f t="shared" si="2"/>
        <v>0.59</v>
      </c>
      <c r="L9" s="6">
        <f t="shared" si="1"/>
        <v>0.59</v>
      </c>
      <c r="M9" s="6">
        <f t="shared" si="1"/>
        <v>0.59</v>
      </c>
      <c r="N9" s="6">
        <f t="shared" si="1"/>
        <v>0.59</v>
      </c>
      <c r="O9" s="6">
        <f t="shared" si="1"/>
        <v>0.59</v>
      </c>
      <c r="P9" s="6">
        <f t="shared" si="1"/>
        <v>0</v>
      </c>
      <c r="Q9" s="6">
        <f t="shared" si="1"/>
        <v>0</v>
      </c>
      <c r="S9" s="26">
        <f t="shared" si="3"/>
        <v>1046.7788753499892</v>
      </c>
      <c r="T9" s="2">
        <f t="shared" si="4"/>
        <v>1903.2343188181621</v>
      </c>
      <c r="V9" s="1" t="s">
        <v>6</v>
      </c>
    </row>
    <row r="10" spans="1:22" x14ac:dyDescent="0.25">
      <c r="A10" s="1" t="s">
        <v>5</v>
      </c>
      <c r="B10" s="2">
        <f>+'Company Summary'!B10-S23</f>
        <v>0</v>
      </c>
      <c r="C10" s="2">
        <f>+'Company Summary'!C10-T23</f>
        <v>0</v>
      </c>
      <c r="D10" s="2">
        <f>+'Company Summary'!D10-U23</f>
        <v>0</v>
      </c>
      <c r="E10" s="2">
        <f>+'Company Summary'!E10-V23</f>
        <v>0</v>
      </c>
      <c r="F10" s="2">
        <f>+'Company Summary'!F10-W23</f>
        <v>0</v>
      </c>
      <c r="G10" s="2">
        <f>+'Company Summary'!G10-X23</f>
        <v>0</v>
      </c>
      <c r="H10" s="2">
        <f>+'Company Summary'!H10-Y23</f>
        <v>0</v>
      </c>
      <c r="I10" s="2">
        <f t="shared" si="0"/>
        <v>0</v>
      </c>
      <c r="K10" s="6">
        <f t="shared" si="2"/>
        <v>0</v>
      </c>
      <c r="L10" s="6">
        <f t="shared" si="1"/>
        <v>0</v>
      </c>
      <c r="M10" s="6">
        <f t="shared" si="1"/>
        <v>0</v>
      </c>
      <c r="N10" s="6">
        <f t="shared" si="1"/>
        <v>0</v>
      </c>
      <c r="O10" s="6">
        <f t="shared" si="1"/>
        <v>0</v>
      </c>
      <c r="P10" s="6">
        <f t="shared" si="1"/>
        <v>0</v>
      </c>
      <c r="Q10" s="6">
        <f t="shared" si="1"/>
        <v>0</v>
      </c>
      <c r="S10" s="26">
        <f t="shared" si="3"/>
        <v>0</v>
      </c>
      <c r="T10" s="2">
        <f t="shared" si="4"/>
        <v>0</v>
      </c>
      <c r="V10" s="1" t="s">
        <v>5</v>
      </c>
    </row>
    <row r="11" spans="1:22" x14ac:dyDescent="0.25">
      <c r="A11" s="1" t="s">
        <v>4</v>
      </c>
      <c r="B11" s="2">
        <f>+'Company Summary'!B11-S24</f>
        <v>-17.356547832405894</v>
      </c>
      <c r="C11" s="2">
        <f>+'Company Summary'!C11-T24</f>
        <v>-8.6266175238445957</v>
      </c>
      <c r="D11" s="2">
        <f>+'Company Summary'!D11-U24</f>
        <v>-4.5457625275348761</v>
      </c>
      <c r="E11" s="2">
        <f>+'Company Summary'!E11-V24</f>
        <v>-56.200088630191409</v>
      </c>
      <c r="F11" s="2">
        <f>+'Company Summary'!F11-W24</f>
        <v>-31.814138925661133</v>
      </c>
      <c r="G11" s="2">
        <f>+'Company Summary'!G11-X24</f>
        <v>0</v>
      </c>
      <c r="H11" s="2">
        <f>+'Company Summary'!H11-Y24</f>
        <v>0</v>
      </c>
      <c r="I11" s="2">
        <f t="shared" si="0"/>
        <v>-118.5431554396379</v>
      </c>
      <c r="K11" s="6">
        <f t="shared" si="2"/>
        <v>0.68</v>
      </c>
      <c r="L11" s="6">
        <f t="shared" si="1"/>
        <v>0.68</v>
      </c>
      <c r="M11" s="6">
        <f t="shared" si="1"/>
        <v>0.68</v>
      </c>
      <c r="N11" s="6">
        <f t="shared" si="1"/>
        <v>0.68</v>
      </c>
      <c r="O11" s="6">
        <f t="shared" si="1"/>
        <v>0.68</v>
      </c>
      <c r="P11" s="6">
        <f t="shared" si="1"/>
        <v>0</v>
      </c>
      <c r="Q11" s="6">
        <f t="shared" si="1"/>
        <v>0</v>
      </c>
      <c r="S11" s="26">
        <f t="shared" si="3"/>
        <v>65.198735491800861</v>
      </c>
      <c r="T11" s="2">
        <f t="shared" si="4"/>
        <v>118.54315543963791</v>
      </c>
      <c r="V11" s="1" t="s">
        <v>4</v>
      </c>
    </row>
    <row r="12" spans="1:22" x14ac:dyDescent="0.25">
      <c r="A12" s="1" t="s">
        <v>3</v>
      </c>
      <c r="B12" s="2">
        <f>+'Company Summary'!B12-S25</f>
        <v>0</v>
      </c>
      <c r="C12" s="2">
        <f>+'Company Summary'!C12-T25</f>
        <v>0</v>
      </c>
      <c r="D12" s="2">
        <f>+'Company Summary'!D12-U25</f>
        <v>0</v>
      </c>
      <c r="E12" s="2">
        <f>+'Company Summary'!E12-V25</f>
        <v>0</v>
      </c>
      <c r="F12" s="2">
        <f>+'Company Summary'!F12-W25</f>
        <v>0</v>
      </c>
      <c r="G12" s="2">
        <f>+'Company Summary'!G12-X25</f>
        <v>0</v>
      </c>
      <c r="H12" s="2">
        <f>+'Company Summary'!H12-Y25</f>
        <v>0</v>
      </c>
      <c r="I12" s="2">
        <f t="shared" si="0"/>
        <v>0</v>
      </c>
      <c r="K12" s="6">
        <f t="shared" si="2"/>
        <v>0</v>
      </c>
      <c r="L12" s="6">
        <f t="shared" si="1"/>
        <v>0</v>
      </c>
      <c r="M12" s="6">
        <f t="shared" si="1"/>
        <v>0</v>
      </c>
      <c r="N12" s="6">
        <f t="shared" si="1"/>
        <v>0</v>
      </c>
      <c r="O12" s="6">
        <f t="shared" si="1"/>
        <v>0</v>
      </c>
      <c r="P12" s="6">
        <f t="shared" si="1"/>
        <v>0</v>
      </c>
      <c r="Q12" s="6">
        <f t="shared" si="1"/>
        <v>0</v>
      </c>
      <c r="S12" s="26">
        <f t="shared" si="3"/>
        <v>0</v>
      </c>
      <c r="T12" s="2">
        <f t="shared" si="4"/>
        <v>0</v>
      </c>
      <c r="V12" s="1" t="s">
        <v>3</v>
      </c>
    </row>
    <row r="13" spans="1:22" x14ac:dyDescent="0.25">
      <c r="A13" s="1" t="s">
        <v>43</v>
      </c>
      <c r="B13" s="2">
        <f>+'Company Summary'!B13-S26</f>
        <v>0</v>
      </c>
      <c r="C13" s="2">
        <f>+'Company Summary'!C13-T26</f>
        <v>0</v>
      </c>
      <c r="D13" s="2">
        <f>+'Company Summary'!D13-U26</f>
        <v>0</v>
      </c>
      <c r="E13" s="2">
        <f>+'Company Summary'!E13-V26</f>
        <v>0</v>
      </c>
      <c r="F13" s="2">
        <f>+'Company Summary'!F13-W26</f>
        <v>0</v>
      </c>
      <c r="G13" s="2">
        <f>+'Company Summary'!G13-X26</f>
        <v>0</v>
      </c>
      <c r="H13" s="2">
        <f>+'Company Summary'!H13-Y26</f>
        <v>0</v>
      </c>
      <c r="I13" s="2">
        <f t="shared" si="0"/>
        <v>0</v>
      </c>
      <c r="K13" s="6">
        <f t="shared" si="2"/>
        <v>0</v>
      </c>
      <c r="L13" s="6">
        <f t="shared" si="1"/>
        <v>0</v>
      </c>
      <c r="M13" s="6">
        <f t="shared" si="1"/>
        <v>0</v>
      </c>
      <c r="N13" s="6">
        <f t="shared" si="1"/>
        <v>0</v>
      </c>
      <c r="O13" s="6">
        <f t="shared" si="1"/>
        <v>0</v>
      </c>
      <c r="P13" s="6">
        <f t="shared" si="1"/>
        <v>0</v>
      </c>
      <c r="Q13" s="6">
        <f t="shared" si="1"/>
        <v>0</v>
      </c>
      <c r="S13" s="26">
        <f t="shared" si="3"/>
        <v>0</v>
      </c>
      <c r="T13" s="2">
        <f t="shared" si="4"/>
        <v>0</v>
      </c>
      <c r="V13" s="1" t="s">
        <v>47</v>
      </c>
    </row>
    <row r="14" spans="1:22" x14ac:dyDescent="0.25">
      <c r="A14" s="1" t="s">
        <v>2</v>
      </c>
      <c r="B14" s="2">
        <f>+'Company Summary'!B14-S27</f>
        <v>-239.37572218859793</v>
      </c>
      <c r="C14" s="2">
        <f>+'Company Summary'!C14-T27</f>
        <v>-362.58861549743074</v>
      </c>
      <c r="D14" s="2">
        <f>+'Company Summary'!D14-U27</f>
        <v>-338.44028519774884</v>
      </c>
      <c r="E14" s="2">
        <f>+'Company Summary'!E14-V27</f>
        <v>-451.35909263740945</v>
      </c>
      <c r="F14" s="2">
        <f>+'Company Summary'!F14-W27</f>
        <v>-26.034821748608834</v>
      </c>
      <c r="G14" s="2">
        <f>+'Company Summary'!G14-X27</f>
        <v>0</v>
      </c>
      <c r="H14" s="2">
        <f>+'Company Summary'!H14-Y27</f>
        <v>0</v>
      </c>
      <c r="I14" s="2">
        <f t="shared" si="0"/>
        <v>-1417.7985372697958</v>
      </c>
      <c r="K14" s="6">
        <f t="shared" si="2"/>
        <v>1</v>
      </c>
      <c r="L14" s="6">
        <f t="shared" si="1"/>
        <v>1</v>
      </c>
      <c r="M14" s="6">
        <f t="shared" si="1"/>
        <v>1</v>
      </c>
      <c r="N14" s="6">
        <f t="shared" si="1"/>
        <v>1</v>
      </c>
      <c r="O14" s="6">
        <f t="shared" si="1"/>
        <v>1</v>
      </c>
      <c r="P14" s="6">
        <f t="shared" si="1"/>
        <v>0</v>
      </c>
      <c r="Q14" s="6">
        <f t="shared" si="1"/>
        <v>0</v>
      </c>
      <c r="S14" s="26">
        <f t="shared" si="3"/>
        <v>779.78919549838781</v>
      </c>
      <c r="T14" s="2">
        <f t="shared" si="4"/>
        <v>1417.7985372697958</v>
      </c>
      <c r="V14" s="1" t="s">
        <v>2</v>
      </c>
    </row>
    <row r="15" spans="1:22" x14ac:dyDescent="0.25">
      <c r="A15" s="1" t="s">
        <v>29</v>
      </c>
      <c r="B15" s="2">
        <f>+'Company Summary'!B18-S28</f>
        <v>-1351.3704829526509</v>
      </c>
      <c r="C15" s="2">
        <f>+'Company Summary'!C18-T28</f>
        <v>-149.34689533076966</v>
      </c>
      <c r="D15" s="2">
        <f>+'Company Summary'!D18-U28</f>
        <v>-234.72664687634634</v>
      </c>
      <c r="E15" s="2">
        <f>+'Company Summary'!E18-V28</f>
        <v>-149.5969122697841</v>
      </c>
      <c r="F15" s="2">
        <f>+'Company Summary'!F18-W28</f>
        <v>-2.1902310359940764</v>
      </c>
      <c r="G15" s="2">
        <f>+'Company Summary'!G18-X28</f>
        <v>0</v>
      </c>
      <c r="H15" s="2">
        <f>+'Company Summary'!H18-Y28</f>
        <v>0</v>
      </c>
      <c r="I15" s="2">
        <f t="shared" si="0"/>
        <v>-1887.2311684655451</v>
      </c>
      <c r="K15" s="6">
        <f t="shared" si="2"/>
        <v>0.34000000000000008</v>
      </c>
      <c r="L15" s="6">
        <f t="shared" si="1"/>
        <v>0.34000000000000008</v>
      </c>
      <c r="M15" s="6">
        <f t="shared" si="1"/>
        <v>0.34000000000000008</v>
      </c>
      <c r="N15" s="6">
        <f t="shared" si="1"/>
        <v>0.34000000000000008</v>
      </c>
      <c r="O15" s="6">
        <f t="shared" si="1"/>
        <v>0.34000000000000008</v>
      </c>
      <c r="P15" s="6">
        <f t="shared" si="1"/>
        <v>0</v>
      </c>
      <c r="Q15" s="6">
        <f t="shared" si="1"/>
        <v>0</v>
      </c>
      <c r="S15" s="26">
        <f t="shared" si="3"/>
        <v>1037.9771426560499</v>
      </c>
      <c r="T15" s="2">
        <f t="shared" si="4"/>
        <v>1887.2311684655451</v>
      </c>
      <c r="V15" s="1" t="s">
        <v>29</v>
      </c>
    </row>
    <row r="16" spans="1:22" ht="17.25" x14ac:dyDescent="0.4">
      <c r="A16" s="1" t="s">
        <v>1</v>
      </c>
      <c r="B16" s="3">
        <f>+'Company Summary'!B19-S29</f>
        <v>-236.37965143181353</v>
      </c>
      <c r="C16" s="3">
        <f>+'Company Summary'!C19-T29</f>
        <v>0</v>
      </c>
      <c r="D16" s="3">
        <f>+'Company Summary'!D19-U29</f>
        <v>-20.662556943340345</v>
      </c>
      <c r="E16" s="3">
        <f>+'Company Summary'!E19-V29</f>
        <v>-10.331278471670172</v>
      </c>
      <c r="F16" s="3">
        <f>+'Company Summary'!F19-W29</f>
        <v>0</v>
      </c>
      <c r="G16" s="3">
        <f>+'Company Summary'!G19-X29</f>
        <v>0</v>
      </c>
      <c r="H16" s="3">
        <f>+'Company Summary'!H19-Y29</f>
        <v>0</v>
      </c>
      <c r="I16" s="3">
        <f t="shared" si="0"/>
        <v>-267.37348684682399</v>
      </c>
      <c r="K16" s="6">
        <f t="shared" si="2"/>
        <v>0.43999999999999995</v>
      </c>
      <c r="L16" s="6">
        <f t="shared" si="1"/>
        <v>0</v>
      </c>
      <c r="M16" s="6">
        <f t="shared" si="1"/>
        <v>0.43999999999999995</v>
      </c>
      <c r="N16" s="6">
        <f t="shared" si="1"/>
        <v>0.43999999999999995</v>
      </c>
      <c r="O16" s="6">
        <f t="shared" si="1"/>
        <v>0</v>
      </c>
      <c r="P16" s="6">
        <f t="shared" si="1"/>
        <v>0</v>
      </c>
      <c r="Q16" s="6">
        <f t="shared" si="1"/>
        <v>0</v>
      </c>
      <c r="S16" s="20">
        <f t="shared" si="3"/>
        <v>147.05541776575325</v>
      </c>
      <c r="T16" s="30">
        <f t="shared" si="4"/>
        <v>267.37348684682405</v>
      </c>
      <c r="V16" s="1" t="s">
        <v>1</v>
      </c>
    </row>
    <row r="17" spans="1:26" x14ac:dyDescent="0.25">
      <c r="A17" s="1" t="s">
        <v>0</v>
      </c>
      <c r="B17" s="2" t="e">
        <f t="shared" ref="B17:H17" si="5">SUM(B7:B16)</f>
        <v>#VALUE!</v>
      </c>
      <c r="C17" s="2" t="e">
        <f t="shared" si="5"/>
        <v>#VALUE!</v>
      </c>
      <c r="D17" s="2" t="e">
        <f t="shared" si="5"/>
        <v>#VALUE!</v>
      </c>
      <c r="E17" s="2" t="e">
        <f t="shared" si="5"/>
        <v>#VALUE!</v>
      </c>
      <c r="F17" s="2" t="e">
        <f t="shared" si="5"/>
        <v>#VALUE!</v>
      </c>
      <c r="G17" s="2" t="e">
        <f t="shared" si="5"/>
        <v>#VALUE!</v>
      </c>
      <c r="H17" s="2" t="e">
        <f t="shared" si="5"/>
        <v>#VALUE!</v>
      </c>
      <c r="I17" s="2" t="e">
        <f t="shared" si="0"/>
        <v>#VALUE!</v>
      </c>
      <c r="S17" s="27">
        <f>SUM(S7:S16)</f>
        <v>5538.2900000000009</v>
      </c>
      <c r="T17" s="27">
        <f>SUM(T7:T16)</f>
        <v>10069.618181818183</v>
      </c>
    </row>
    <row r="18" spans="1:26" x14ac:dyDescent="0.25">
      <c r="A18" s="1"/>
    </row>
    <row r="19" spans="1:26" ht="17.25" x14ac:dyDescent="0.4">
      <c r="A19" s="1" t="s">
        <v>33</v>
      </c>
      <c r="B19" s="2"/>
      <c r="C19" s="2"/>
      <c r="D19" s="2"/>
      <c r="E19" s="2"/>
      <c r="F19" s="2"/>
      <c r="G19" s="2"/>
      <c r="H19" s="2"/>
      <c r="I19" s="2"/>
      <c r="M19" s="16"/>
    </row>
    <row r="20" spans="1:26" x14ac:dyDescent="0.25">
      <c r="A20" s="1" t="s">
        <v>8</v>
      </c>
      <c r="B20" s="2" t="e">
        <f>B7*(1-K20)</f>
        <v>#VALUE!</v>
      </c>
      <c r="C20" s="2" t="e">
        <f t="shared" ref="C20:H29" si="6">C7*(1-L20)</f>
        <v>#VALUE!</v>
      </c>
      <c r="D20" s="2" t="e">
        <f t="shared" si="6"/>
        <v>#VALUE!</v>
      </c>
      <c r="E20" s="2" t="e">
        <f t="shared" si="6"/>
        <v>#VALUE!</v>
      </c>
      <c r="F20" s="2" t="e">
        <f t="shared" si="6"/>
        <v>#VALUE!</v>
      </c>
      <c r="G20" s="2" t="e">
        <f t="shared" si="6"/>
        <v>#VALUE!</v>
      </c>
      <c r="H20" s="2" t="e">
        <f t="shared" si="6"/>
        <v>#VALUE!</v>
      </c>
      <c r="I20" s="2" t="e">
        <f>SUM(B20:H20)</f>
        <v>#VALUE!</v>
      </c>
      <c r="K20" s="17">
        <v>0</v>
      </c>
      <c r="L20" s="17">
        <v>0</v>
      </c>
      <c r="M20" s="17">
        <v>0</v>
      </c>
      <c r="N20" s="17">
        <v>0</v>
      </c>
      <c r="O20" s="17">
        <v>0</v>
      </c>
      <c r="P20" s="17">
        <v>0</v>
      </c>
      <c r="Q20" s="17">
        <v>0</v>
      </c>
      <c r="S20" s="19" t="str">
        <f>IF($T$7=0,"0",$T$7*(S38/$Z$38))</f>
        <v>0</v>
      </c>
      <c r="T20" s="19" t="str">
        <f t="shared" ref="T20:Y20" si="7">IF($T$7=0,"0",$T$7*(T38/$Z$38))</f>
        <v>0</v>
      </c>
      <c r="U20" s="19" t="str">
        <f t="shared" si="7"/>
        <v>0</v>
      </c>
      <c r="V20" s="19" t="str">
        <f t="shared" si="7"/>
        <v>0</v>
      </c>
      <c r="W20" s="19" t="str">
        <f t="shared" si="7"/>
        <v>0</v>
      </c>
      <c r="X20" s="19" t="str">
        <f t="shared" si="7"/>
        <v>0</v>
      </c>
      <c r="Y20" s="19" t="str">
        <f t="shared" si="7"/>
        <v>0</v>
      </c>
      <c r="Z20" s="7">
        <f>SUM(S20:Y20)</f>
        <v>0</v>
      </c>
    </row>
    <row r="21" spans="1:26" x14ac:dyDescent="0.25">
      <c r="A21" s="1" t="s">
        <v>7</v>
      </c>
      <c r="B21" s="2">
        <f t="shared" ref="B21:B29" si="8">B8*(1-K21)</f>
        <v>-1279.2053457248455</v>
      </c>
      <c r="C21" s="2">
        <f t="shared" si="6"/>
        <v>-65.160778374695909</v>
      </c>
      <c r="D21" s="2">
        <f t="shared" si="6"/>
        <v>-22.73211864678531</v>
      </c>
      <c r="E21" s="2">
        <f t="shared" si="6"/>
        <v>-43.327894206084778</v>
      </c>
      <c r="F21" s="2">
        <f t="shared" si="6"/>
        <v>-21.713867840617496</v>
      </c>
      <c r="G21" s="2">
        <f t="shared" si="6"/>
        <v>0</v>
      </c>
      <c r="H21" s="2">
        <f t="shared" si="6"/>
        <v>0</v>
      </c>
      <c r="I21" s="2">
        <f t="shared" ref="I21:I29" si="9">SUM(B21:H21)</f>
        <v>-1432.1400047930288</v>
      </c>
      <c r="K21" s="17">
        <v>0.68</v>
      </c>
      <c r="L21" s="17">
        <v>0.68</v>
      </c>
      <c r="M21" s="17">
        <v>0.68</v>
      </c>
      <c r="N21" s="17">
        <v>0.68</v>
      </c>
      <c r="O21" s="17">
        <v>0.68</v>
      </c>
      <c r="P21" s="17">
        <v>0</v>
      </c>
      <c r="Q21" s="17">
        <v>0</v>
      </c>
      <c r="S21" s="2">
        <f>$T$8*(S39/$Z$39)</f>
        <v>3997.5167053901432</v>
      </c>
      <c r="T21" s="2">
        <f t="shared" ref="T21:Y21" si="10">$T$8*(T39/$Z$39)</f>
        <v>203.62743242092475</v>
      </c>
      <c r="U21" s="2">
        <f t="shared" si="10"/>
        <v>71.037870771204098</v>
      </c>
      <c r="V21" s="2">
        <f t="shared" si="10"/>
        <v>135.39966939401495</v>
      </c>
      <c r="W21" s="2">
        <f t="shared" si="10"/>
        <v>67.855837001929686</v>
      </c>
      <c r="X21" s="2">
        <f t="shared" si="10"/>
        <v>0</v>
      </c>
      <c r="Y21" s="2">
        <f t="shared" si="10"/>
        <v>0</v>
      </c>
      <c r="Z21" s="7">
        <f t="shared" ref="Z21:Z29" si="11">SUM(S21:Y21)</f>
        <v>4475.4375149782172</v>
      </c>
    </row>
    <row r="22" spans="1:26" x14ac:dyDescent="0.25">
      <c r="A22" s="1" t="s">
        <v>6</v>
      </c>
      <c r="B22" s="2">
        <f t="shared" si="8"/>
        <v>-464.76394711695855</v>
      </c>
      <c r="C22" s="2">
        <f t="shared" si="6"/>
        <v>-101.53609409537168</v>
      </c>
      <c r="D22" s="2">
        <f t="shared" si="6"/>
        <v>-62.012465898353057</v>
      </c>
      <c r="E22" s="2">
        <f t="shared" si="6"/>
        <v>-58.232416406024491</v>
      </c>
      <c r="F22" s="2">
        <f t="shared" si="6"/>
        <v>-93.781147198738836</v>
      </c>
      <c r="G22" s="2">
        <f t="shared" si="6"/>
        <v>0</v>
      </c>
      <c r="H22" s="2">
        <f t="shared" si="6"/>
        <v>0</v>
      </c>
      <c r="I22" s="2">
        <f t="shared" si="9"/>
        <v>-780.32607071544669</v>
      </c>
      <c r="K22" s="17">
        <v>0.59</v>
      </c>
      <c r="L22" s="18">
        <v>0.59</v>
      </c>
      <c r="M22" s="18">
        <v>0.59</v>
      </c>
      <c r="N22" s="17">
        <v>0.59</v>
      </c>
      <c r="O22" s="17">
        <v>0.59</v>
      </c>
      <c r="P22" s="17">
        <v>0</v>
      </c>
      <c r="Q22" s="17">
        <v>0</v>
      </c>
      <c r="S22" s="2">
        <f>$T$9*(S40/$Z$40)</f>
        <v>1133.5706027242891</v>
      </c>
      <c r="T22" s="2">
        <f t="shared" ref="T22:Y22" si="12">$T$9*(T40/$Z$40)</f>
        <v>247.64900998871138</v>
      </c>
      <c r="U22" s="2">
        <f t="shared" si="12"/>
        <v>151.24991682525135</v>
      </c>
      <c r="V22" s="2">
        <f t="shared" si="12"/>
        <v>142.03028391713289</v>
      </c>
      <c r="W22" s="2">
        <f t="shared" si="12"/>
        <v>228.73450536277764</v>
      </c>
      <c r="X22" s="2">
        <f t="shared" si="12"/>
        <v>0</v>
      </c>
      <c r="Y22" s="2">
        <f t="shared" si="12"/>
        <v>0</v>
      </c>
      <c r="Z22" s="7">
        <f t="shared" si="11"/>
        <v>1903.2343188181624</v>
      </c>
    </row>
    <row r="23" spans="1:26" x14ac:dyDescent="0.25">
      <c r="A23" s="1" t="s">
        <v>5</v>
      </c>
      <c r="B23" s="2">
        <f t="shared" si="8"/>
        <v>0</v>
      </c>
      <c r="C23" s="2">
        <f t="shared" si="6"/>
        <v>0</v>
      </c>
      <c r="D23" s="2">
        <f t="shared" si="6"/>
        <v>0</v>
      </c>
      <c r="E23" s="2">
        <f t="shared" si="6"/>
        <v>0</v>
      </c>
      <c r="F23" s="2">
        <f t="shared" si="6"/>
        <v>0</v>
      </c>
      <c r="G23" s="2">
        <f t="shared" si="6"/>
        <v>0</v>
      </c>
      <c r="H23" s="2">
        <f t="shared" si="6"/>
        <v>0</v>
      </c>
      <c r="I23" s="2">
        <f t="shared" si="9"/>
        <v>0</v>
      </c>
      <c r="K23" s="17">
        <v>0</v>
      </c>
      <c r="L23" s="18">
        <v>0</v>
      </c>
      <c r="M23" s="18">
        <v>0</v>
      </c>
      <c r="N23" s="17">
        <v>0</v>
      </c>
      <c r="O23" s="17">
        <v>0</v>
      </c>
      <c r="P23" s="17">
        <v>0</v>
      </c>
      <c r="Q23" s="17">
        <v>0</v>
      </c>
      <c r="S23" s="19" t="str">
        <f>IF($T$10=0,"0",$T$9*(S41/$Z$41))</f>
        <v>0</v>
      </c>
      <c r="T23" s="19" t="str">
        <f t="shared" ref="T23:Y23" si="13">IF($T$10=0,"0",$T$9*(T41/$Z$41))</f>
        <v>0</v>
      </c>
      <c r="U23" s="19" t="str">
        <f t="shared" si="13"/>
        <v>0</v>
      </c>
      <c r="V23" s="19" t="str">
        <f t="shared" si="13"/>
        <v>0</v>
      </c>
      <c r="W23" s="19" t="str">
        <f t="shared" si="13"/>
        <v>0</v>
      </c>
      <c r="X23" s="19" t="str">
        <f t="shared" si="13"/>
        <v>0</v>
      </c>
      <c r="Y23" s="19" t="str">
        <f t="shared" si="13"/>
        <v>0</v>
      </c>
      <c r="Z23" s="7">
        <f t="shared" si="11"/>
        <v>0</v>
      </c>
    </row>
    <row r="24" spans="1:26" x14ac:dyDescent="0.25">
      <c r="A24" s="1" t="s">
        <v>4</v>
      </c>
      <c r="B24" s="2">
        <f t="shared" si="8"/>
        <v>-5.5540953063698852</v>
      </c>
      <c r="C24" s="2">
        <f t="shared" si="6"/>
        <v>-2.7605176076302702</v>
      </c>
      <c r="D24" s="2">
        <f t="shared" si="6"/>
        <v>-1.4546440088111601</v>
      </c>
      <c r="E24" s="2">
        <f t="shared" si="6"/>
        <v>-17.984028361661249</v>
      </c>
      <c r="F24" s="2">
        <f t="shared" si="6"/>
        <v>-10.180524456211561</v>
      </c>
      <c r="G24" s="2">
        <f t="shared" si="6"/>
        <v>0</v>
      </c>
      <c r="H24" s="2">
        <f t="shared" si="6"/>
        <v>0</v>
      </c>
      <c r="I24" s="2">
        <f t="shared" si="9"/>
        <v>-37.933809740684126</v>
      </c>
      <c r="K24" s="17">
        <v>0.68</v>
      </c>
      <c r="L24" s="17">
        <v>0.68</v>
      </c>
      <c r="M24" s="17">
        <v>0.68</v>
      </c>
      <c r="N24" s="17">
        <v>0.68</v>
      </c>
      <c r="O24" s="17">
        <v>0.68</v>
      </c>
      <c r="P24" s="17">
        <v>0</v>
      </c>
      <c r="Q24" s="17">
        <v>0</v>
      </c>
      <c r="S24" s="2">
        <f>$T$11*(S42/$Z$42)</f>
        <v>17.356547832405894</v>
      </c>
      <c r="T24" s="2">
        <f t="shared" ref="T24:Y24" si="14">$T$11*(T42/$Z$42)</f>
        <v>8.6266175238445957</v>
      </c>
      <c r="U24" s="2">
        <f t="shared" si="14"/>
        <v>4.5457625275348761</v>
      </c>
      <c r="V24" s="2">
        <f t="shared" si="14"/>
        <v>56.200088630191409</v>
      </c>
      <c r="W24" s="2">
        <f t="shared" si="14"/>
        <v>31.814138925661133</v>
      </c>
      <c r="X24" s="2">
        <f t="shared" si="14"/>
        <v>0</v>
      </c>
      <c r="Y24" s="2">
        <f t="shared" si="14"/>
        <v>0</v>
      </c>
      <c r="Z24" s="7">
        <f t="shared" si="11"/>
        <v>118.5431554396379</v>
      </c>
    </row>
    <row r="25" spans="1:26" x14ac:dyDescent="0.25">
      <c r="A25" s="1" t="s">
        <v>3</v>
      </c>
      <c r="B25" s="2">
        <f t="shared" si="8"/>
        <v>0</v>
      </c>
      <c r="C25" s="2">
        <f t="shared" si="6"/>
        <v>0</v>
      </c>
      <c r="D25" s="2">
        <f t="shared" si="6"/>
        <v>0</v>
      </c>
      <c r="E25" s="2">
        <f t="shared" si="6"/>
        <v>0</v>
      </c>
      <c r="F25" s="2">
        <f t="shared" si="6"/>
        <v>0</v>
      </c>
      <c r="G25" s="2">
        <f t="shared" si="6"/>
        <v>0</v>
      </c>
      <c r="H25" s="2">
        <f t="shared" si="6"/>
        <v>0</v>
      </c>
      <c r="I25" s="2">
        <f t="shared" si="9"/>
        <v>0</v>
      </c>
      <c r="K25" s="17">
        <v>0</v>
      </c>
      <c r="L25" s="17">
        <v>0</v>
      </c>
      <c r="M25" s="17">
        <v>0</v>
      </c>
      <c r="N25" s="17">
        <v>0</v>
      </c>
      <c r="O25" s="17">
        <v>0</v>
      </c>
      <c r="P25" s="17">
        <v>0</v>
      </c>
      <c r="Q25" s="17">
        <v>0</v>
      </c>
      <c r="S25" s="19" t="str">
        <f>IF($T$12=0,"0",$T$12*(S43/$Z$43))</f>
        <v>0</v>
      </c>
      <c r="T25" s="19" t="str">
        <f t="shared" ref="T25:Y25" si="15">IF($T$12=0,"0",$T$12*(T43/$Z$43))</f>
        <v>0</v>
      </c>
      <c r="U25" s="19" t="str">
        <f t="shared" si="15"/>
        <v>0</v>
      </c>
      <c r="V25" s="19" t="str">
        <f t="shared" si="15"/>
        <v>0</v>
      </c>
      <c r="W25" s="19" t="str">
        <f t="shared" si="15"/>
        <v>0</v>
      </c>
      <c r="X25" s="19" t="str">
        <f t="shared" si="15"/>
        <v>0</v>
      </c>
      <c r="Y25" s="19" t="str">
        <f t="shared" si="15"/>
        <v>0</v>
      </c>
      <c r="Z25" s="7">
        <f t="shared" si="11"/>
        <v>0</v>
      </c>
    </row>
    <row r="26" spans="1:26" x14ac:dyDescent="0.25">
      <c r="A26" s="1" t="s">
        <v>43</v>
      </c>
      <c r="B26" s="2">
        <f t="shared" si="8"/>
        <v>0</v>
      </c>
      <c r="C26" s="2">
        <f t="shared" si="6"/>
        <v>0</v>
      </c>
      <c r="D26" s="2">
        <f t="shared" si="6"/>
        <v>0</v>
      </c>
      <c r="E26" s="2">
        <f t="shared" si="6"/>
        <v>0</v>
      </c>
      <c r="F26" s="2">
        <f t="shared" si="6"/>
        <v>0</v>
      </c>
      <c r="G26" s="2">
        <f t="shared" si="6"/>
        <v>0</v>
      </c>
      <c r="H26" s="2">
        <f t="shared" si="6"/>
        <v>0</v>
      </c>
      <c r="I26" s="2">
        <f t="shared" si="9"/>
        <v>0</v>
      </c>
      <c r="K26" s="17">
        <v>0</v>
      </c>
      <c r="L26" s="17">
        <v>0</v>
      </c>
      <c r="M26" s="17">
        <v>0</v>
      </c>
      <c r="N26" s="17">
        <v>0</v>
      </c>
      <c r="O26" s="17">
        <v>0</v>
      </c>
      <c r="P26" s="17">
        <v>0</v>
      </c>
      <c r="Q26" s="17">
        <v>0</v>
      </c>
      <c r="S26" s="19" t="str">
        <f>IF($T$13=0,"0",$T$13*(S44/$Z$44))</f>
        <v>0</v>
      </c>
      <c r="T26" s="19" t="str">
        <f t="shared" ref="T26:Y26" si="16">IF($T$13=0,"0",$T$13*(T44/$Z$44))</f>
        <v>0</v>
      </c>
      <c r="U26" s="19" t="str">
        <f t="shared" si="16"/>
        <v>0</v>
      </c>
      <c r="V26" s="19" t="str">
        <f t="shared" si="16"/>
        <v>0</v>
      </c>
      <c r="W26" s="19" t="str">
        <f t="shared" si="16"/>
        <v>0</v>
      </c>
      <c r="X26" s="19" t="str">
        <f t="shared" si="16"/>
        <v>0</v>
      </c>
      <c r="Y26" s="19" t="str">
        <f t="shared" si="16"/>
        <v>0</v>
      </c>
      <c r="Z26" s="7">
        <f t="shared" si="11"/>
        <v>0</v>
      </c>
    </row>
    <row r="27" spans="1:26" x14ac:dyDescent="0.25">
      <c r="A27" s="1" t="s">
        <v>2</v>
      </c>
      <c r="B27" s="2">
        <f t="shared" si="8"/>
        <v>0</v>
      </c>
      <c r="C27" s="2">
        <f t="shared" si="6"/>
        <v>0</v>
      </c>
      <c r="D27" s="2">
        <f t="shared" si="6"/>
        <v>0</v>
      </c>
      <c r="E27" s="2">
        <f t="shared" si="6"/>
        <v>0</v>
      </c>
      <c r="F27" s="2">
        <f t="shared" si="6"/>
        <v>0</v>
      </c>
      <c r="G27" s="2">
        <f t="shared" si="6"/>
        <v>0</v>
      </c>
      <c r="H27" s="2">
        <f t="shared" si="6"/>
        <v>0</v>
      </c>
      <c r="I27" s="2">
        <f t="shared" si="9"/>
        <v>0</v>
      </c>
      <c r="K27" s="17">
        <v>1</v>
      </c>
      <c r="L27" s="17">
        <v>1</v>
      </c>
      <c r="M27" s="17">
        <v>1</v>
      </c>
      <c r="N27" s="17">
        <v>1</v>
      </c>
      <c r="O27" s="17">
        <v>1</v>
      </c>
      <c r="P27" s="17">
        <v>0</v>
      </c>
      <c r="Q27" s="17">
        <v>0</v>
      </c>
      <c r="S27" s="2">
        <f>$T$14*(S45/$Z$45)</f>
        <v>239.37572218859793</v>
      </c>
      <c r="T27" s="2">
        <f t="shared" ref="T27:Y27" si="17">$T$14*(T45/$Z$45)</f>
        <v>362.58861549743074</v>
      </c>
      <c r="U27" s="2">
        <f t="shared" si="17"/>
        <v>338.44028519774884</v>
      </c>
      <c r="V27" s="2">
        <f t="shared" si="17"/>
        <v>451.35909263740945</v>
      </c>
      <c r="W27" s="2">
        <f t="shared" si="17"/>
        <v>26.034821748608834</v>
      </c>
      <c r="X27" s="2">
        <f t="shared" si="17"/>
        <v>0</v>
      </c>
      <c r="Y27" s="2">
        <f t="shared" si="17"/>
        <v>0</v>
      </c>
      <c r="Z27" s="7">
        <f t="shared" si="11"/>
        <v>1417.7985372697958</v>
      </c>
    </row>
    <row r="28" spans="1:26" x14ac:dyDescent="0.25">
      <c r="A28" s="1" t="s">
        <v>29</v>
      </c>
      <c r="B28" s="2">
        <f t="shared" si="8"/>
        <v>-891.90451874874952</v>
      </c>
      <c r="C28" s="2">
        <f t="shared" si="6"/>
        <v>-98.568950918307962</v>
      </c>
      <c r="D28" s="2">
        <f t="shared" si="6"/>
        <v>-154.91958693838856</v>
      </c>
      <c r="E28" s="2">
        <f t="shared" si="6"/>
        <v>-98.733962098057489</v>
      </c>
      <c r="F28" s="2">
        <f t="shared" si="6"/>
        <v>-1.4455524837560902</v>
      </c>
      <c r="G28" s="2">
        <f t="shared" si="6"/>
        <v>0</v>
      </c>
      <c r="H28" s="2">
        <f t="shared" si="6"/>
        <v>0</v>
      </c>
      <c r="I28" s="2">
        <f t="shared" si="9"/>
        <v>-1245.5725711872597</v>
      </c>
      <c r="K28" s="17">
        <v>0.34000000000000008</v>
      </c>
      <c r="L28" s="17">
        <v>0.34000000000000008</v>
      </c>
      <c r="M28" s="17">
        <v>0.34000000000000008</v>
      </c>
      <c r="N28" s="17">
        <v>0.34000000000000008</v>
      </c>
      <c r="O28" s="17">
        <v>0.34000000000000008</v>
      </c>
      <c r="P28" s="17">
        <v>0</v>
      </c>
      <c r="Q28" s="17">
        <v>0</v>
      </c>
      <c r="S28" s="2">
        <f>$T$15*(S46/$Z$46)</f>
        <v>1351.3704829526509</v>
      </c>
      <c r="T28" s="2">
        <f t="shared" ref="T28:Y28" si="18">$T$15*(T46/$Z$46)</f>
        <v>149.34689533076966</v>
      </c>
      <c r="U28" s="2">
        <f t="shared" si="18"/>
        <v>234.72664687634634</v>
      </c>
      <c r="V28" s="2">
        <f t="shared" si="18"/>
        <v>149.5969122697841</v>
      </c>
      <c r="W28" s="2">
        <f t="shared" si="18"/>
        <v>2.1902310359940764</v>
      </c>
      <c r="X28" s="2">
        <f t="shared" si="18"/>
        <v>0</v>
      </c>
      <c r="Y28" s="2">
        <f t="shared" si="18"/>
        <v>0</v>
      </c>
      <c r="Z28" s="7">
        <f t="shared" si="11"/>
        <v>1887.2311684655451</v>
      </c>
    </row>
    <row r="29" spans="1:26" x14ac:dyDescent="0.25">
      <c r="A29" s="1" t="s">
        <v>1</v>
      </c>
      <c r="B29" s="2">
        <f t="shared" si="8"/>
        <v>-132.37260480181558</v>
      </c>
      <c r="C29" s="2">
        <f t="shared" si="6"/>
        <v>0</v>
      </c>
      <c r="D29" s="2">
        <f t="shared" si="6"/>
        <v>-11.571031888270594</v>
      </c>
      <c r="E29" s="2">
        <f t="shared" si="6"/>
        <v>-5.7855159441352972</v>
      </c>
      <c r="F29" s="2">
        <f t="shared" si="6"/>
        <v>0</v>
      </c>
      <c r="G29" s="2">
        <f t="shared" si="6"/>
        <v>0</v>
      </c>
      <c r="H29" s="2">
        <f t="shared" si="6"/>
        <v>0</v>
      </c>
      <c r="I29" s="2">
        <f t="shared" si="9"/>
        <v>-149.72915263422146</v>
      </c>
      <c r="K29" s="17">
        <v>0.43999999999999995</v>
      </c>
      <c r="L29" s="17">
        <v>0</v>
      </c>
      <c r="M29" s="17">
        <v>0.43999999999999995</v>
      </c>
      <c r="N29" s="17">
        <v>0.43999999999999995</v>
      </c>
      <c r="O29" s="17">
        <v>0</v>
      </c>
      <c r="P29" s="17">
        <v>0</v>
      </c>
      <c r="Q29" s="17">
        <v>0</v>
      </c>
      <c r="S29" s="3">
        <f>$T$16*(S47/$Z$47)</f>
        <v>236.37965143181353</v>
      </c>
      <c r="T29" s="3">
        <f t="shared" ref="T29:Y29" si="19">$T$16*(T47/$Z$47)</f>
        <v>0</v>
      </c>
      <c r="U29" s="3">
        <f t="shared" si="19"/>
        <v>20.662556943340345</v>
      </c>
      <c r="V29" s="3">
        <f t="shared" si="19"/>
        <v>10.331278471670172</v>
      </c>
      <c r="W29" s="3">
        <f t="shared" si="19"/>
        <v>0</v>
      </c>
      <c r="X29" s="3">
        <f t="shared" si="19"/>
        <v>0</v>
      </c>
      <c r="Y29" s="3">
        <f t="shared" si="19"/>
        <v>0</v>
      </c>
      <c r="Z29" s="29">
        <f t="shared" si="11"/>
        <v>267.37348684682399</v>
      </c>
    </row>
    <row r="30" spans="1:26" x14ac:dyDescent="0.25">
      <c r="A30" s="1" t="s">
        <v>0</v>
      </c>
      <c r="B30" s="10" t="e">
        <f>SUM(B20:B29)</f>
        <v>#VALUE!</v>
      </c>
      <c r="C30" s="10" t="e">
        <f t="shared" ref="C30:H30" si="20">SUM(C20:C29)</f>
        <v>#VALUE!</v>
      </c>
      <c r="D30" s="10" t="e">
        <f t="shared" si="20"/>
        <v>#VALUE!</v>
      </c>
      <c r="E30" s="10" t="e">
        <f t="shared" si="20"/>
        <v>#VALUE!</v>
      </c>
      <c r="F30" s="10" t="e">
        <f t="shared" si="20"/>
        <v>#VALUE!</v>
      </c>
      <c r="G30" s="10" t="e">
        <f t="shared" si="20"/>
        <v>#VALUE!</v>
      </c>
      <c r="H30" s="10" t="e">
        <f t="shared" si="20"/>
        <v>#VALUE!</v>
      </c>
      <c r="I30" s="10" t="e">
        <f>SUM(I20:I29)</f>
        <v>#VALUE!</v>
      </c>
      <c r="S30" s="28">
        <f>SUM(S20:S29)</f>
        <v>6975.5697125199013</v>
      </c>
      <c r="T30" s="28">
        <f t="shared" ref="T30:Y30" si="21">SUM(T20:T29)</f>
        <v>971.83857076168124</v>
      </c>
      <c r="U30" s="28">
        <f t="shared" si="21"/>
        <v>820.66303914142577</v>
      </c>
      <c r="V30" s="28">
        <f t="shared" si="21"/>
        <v>944.91732532020296</v>
      </c>
      <c r="W30" s="28">
        <f t="shared" si="21"/>
        <v>356.62953407497139</v>
      </c>
      <c r="X30" s="28">
        <f t="shared" si="21"/>
        <v>0</v>
      </c>
      <c r="Y30" s="28">
        <f t="shared" si="21"/>
        <v>0</v>
      </c>
      <c r="Z30" s="28">
        <f>SUM(Z20:Z29)</f>
        <v>10069.618181818183</v>
      </c>
    </row>
    <row r="31" spans="1:26" x14ac:dyDescent="0.25">
      <c r="A31" s="1"/>
    </row>
    <row r="32" spans="1:26" x14ac:dyDescent="0.25">
      <c r="A32" s="1" t="s">
        <v>32</v>
      </c>
      <c r="B32" s="8" t="e">
        <f>B17-B30</f>
        <v>#VALUE!</v>
      </c>
      <c r="C32" s="8" t="e">
        <f t="shared" ref="C32:I32" si="22">C17-C30</f>
        <v>#VALUE!</v>
      </c>
      <c r="D32" s="8" t="e">
        <f t="shared" si="22"/>
        <v>#VALUE!</v>
      </c>
      <c r="E32" s="8" t="e">
        <f t="shared" si="22"/>
        <v>#VALUE!</v>
      </c>
      <c r="F32" s="8" t="e">
        <f t="shared" si="22"/>
        <v>#VALUE!</v>
      </c>
      <c r="G32" s="8" t="e">
        <f t="shared" si="22"/>
        <v>#VALUE!</v>
      </c>
      <c r="H32" s="8" t="e">
        <f t="shared" si="22"/>
        <v>#VALUE!</v>
      </c>
      <c r="I32" s="8" t="e">
        <f t="shared" si="22"/>
        <v>#VALUE!</v>
      </c>
      <c r="K32" s="7"/>
    </row>
    <row r="33" spans="1:26" x14ac:dyDescent="0.25">
      <c r="A33" s="1"/>
    </row>
    <row r="34" spans="1:26" x14ac:dyDescent="0.25">
      <c r="A34" s="1" t="s">
        <v>20</v>
      </c>
      <c r="B34" s="2"/>
      <c r="C34" s="2"/>
      <c r="D34" s="2"/>
      <c r="E34" s="2"/>
      <c r="F34" s="2"/>
      <c r="G34" s="2"/>
      <c r="H34" s="2"/>
      <c r="I34" s="2"/>
    </row>
    <row r="35" spans="1:26" x14ac:dyDescent="0.25">
      <c r="A35" s="1" t="s">
        <v>18</v>
      </c>
      <c r="B35" s="11">
        <v>0</v>
      </c>
      <c r="C35" s="11">
        <v>0</v>
      </c>
      <c r="D35" s="11">
        <v>0</v>
      </c>
      <c r="E35" s="11">
        <v>0.1</v>
      </c>
      <c r="F35" s="11">
        <v>0.15</v>
      </c>
      <c r="G35" s="11">
        <v>0.2</v>
      </c>
      <c r="H35" s="11">
        <v>1</v>
      </c>
      <c r="I35" s="7"/>
    </row>
    <row r="36" spans="1:26" x14ac:dyDescent="0.25">
      <c r="A36" s="1" t="s">
        <v>19</v>
      </c>
      <c r="B36" s="11">
        <v>0</v>
      </c>
      <c r="C36" s="11">
        <v>0</v>
      </c>
      <c r="D36" s="11">
        <v>0.1</v>
      </c>
      <c r="E36" s="11">
        <v>0.5</v>
      </c>
      <c r="F36" s="11">
        <v>1</v>
      </c>
      <c r="G36" s="11">
        <v>1</v>
      </c>
      <c r="H36" s="11">
        <v>1</v>
      </c>
      <c r="I36" s="7"/>
    </row>
    <row r="37" spans="1:26" x14ac:dyDescent="0.25">
      <c r="A37" s="1"/>
      <c r="S37" s="1" t="s">
        <v>48</v>
      </c>
    </row>
    <row r="38" spans="1:26" x14ac:dyDescent="0.25">
      <c r="A38" s="1" t="s">
        <v>34</v>
      </c>
      <c r="B38" s="2" t="e">
        <f>((B32-B14)*B35)</f>
        <v>#VALUE!</v>
      </c>
      <c r="C38" s="2" t="e">
        <f t="shared" ref="C38:H38" si="23">((C32-C14)*C35)</f>
        <v>#VALUE!</v>
      </c>
      <c r="D38" s="2" t="e">
        <f t="shared" si="23"/>
        <v>#VALUE!</v>
      </c>
      <c r="E38" s="2" t="e">
        <f t="shared" si="23"/>
        <v>#VALUE!</v>
      </c>
      <c r="F38" s="2" t="e">
        <f t="shared" si="23"/>
        <v>#VALUE!</v>
      </c>
      <c r="G38" s="2" t="e">
        <f t="shared" si="23"/>
        <v>#VALUE!</v>
      </c>
      <c r="H38" s="2" t="e">
        <f t="shared" si="23"/>
        <v>#VALUE!</v>
      </c>
      <c r="I38" s="2" t="e">
        <f>SUM(B38:H38)</f>
        <v>#VALUE!</v>
      </c>
      <c r="S38" s="26">
        <v>0</v>
      </c>
      <c r="T38" s="26">
        <v>0</v>
      </c>
      <c r="U38" s="26">
        <v>0</v>
      </c>
      <c r="V38" s="26">
        <v>0</v>
      </c>
      <c r="W38" s="26">
        <v>0</v>
      </c>
      <c r="X38" s="26">
        <v>0</v>
      </c>
      <c r="Y38" s="26">
        <v>0</v>
      </c>
      <c r="Z38" s="26">
        <v>0</v>
      </c>
    </row>
    <row r="39" spans="1:26" x14ac:dyDescent="0.25">
      <c r="A39" s="1" t="s">
        <v>35</v>
      </c>
      <c r="B39" s="2">
        <f>+(B14*B36)</f>
        <v>0</v>
      </c>
      <c r="C39" s="2">
        <f t="shared" ref="C39:H39" si="24">+(C14*C36)</f>
        <v>0</v>
      </c>
      <c r="D39" s="2">
        <f t="shared" si="24"/>
        <v>-33.844028519774888</v>
      </c>
      <c r="E39" s="2">
        <f t="shared" si="24"/>
        <v>-225.67954631870472</v>
      </c>
      <c r="F39" s="2">
        <f t="shared" si="24"/>
        <v>-26.034821748608834</v>
      </c>
      <c r="G39" s="2">
        <f t="shared" si="24"/>
        <v>0</v>
      </c>
      <c r="H39" s="2">
        <f t="shared" si="24"/>
        <v>0</v>
      </c>
      <c r="I39" s="2">
        <f>SUM(B39:H39)</f>
        <v>-285.5583965870884</v>
      </c>
      <c r="S39" s="26">
        <v>19346.669999999998</v>
      </c>
      <c r="T39" s="26">
        <v>985.49</v>
      </c>
      <c r="U39" s="26">
        <v>343.8</v>
      </c>
      <c r="V39" s="26">
        <v>655.29</v>
      </c>
      <c r="W39" s="26">
        <v>328.4</v>
      </c>
      <c r="X39" s="26">
        <v>0</v>
      </c>
      <c r="Y39" s="26">
        <v>0</v>
      </c>
      <c r="Z39" s="26">
        <v>21659.65</v>
      </c>
    </row>
    <row r="40" spans="1:26" x14ac:dyDescent="0.25">
      <c r="A40" s="1" t="s">
        <v>20</v>
      </c>
      <c r="B40" s="10" t="e">
        <f>SUM(B38:B39)</f>
        <v>#VALUE!</v>
      </c>
      <c r="C40" s="10" t="e">
        <f t="shared" ref="C40:H40" si="25">SUM(C38:C39)</f>
        <v>#VALUE!</v>
      </c>
      <c r="D40" s="10" t="e">
        <f t="shared" si="25"/>
        <v>#VALUE!</v>
      </c>
      <c r="E40" s="10" t="e">
        <f t="shared" si="25"/>
        <v>#VALUE!</v>
      </c>
      <c r="F40" s="10" t="e">
        <f t="shared" si="25"/>
        <v>#VALUE!</v>
      </c>
      <c r="G40" s="10" t="e">
        <f t="shared" si="25"/>
        <v>#VALUE!</v>
      </c>
      <c r="H40" s="10" t="e">
        <f t="shared" si="25"/>
        <v>#VALUE!</v>
      </c>
      <c r="I40" s="10" t="e">
        <f>SUM(B40:H40)</f>
        <v>#VALUE!</v>
      </c>
      <c r="S40" s="26">
        <v>5486.11</v>
      </c>
      <c r="T40" s="26">
        <v>1198.54</v>
      </c>
      <c r="U40" s="26">
        <v>732</v>
      </c>
      <c r="V40" s="26">
        <v>687.38</v>
      </c>
      <c r="W40" s="26">
        <v>1107</v>
      </c>
      <c r="X40" s="26">
        <v>0</v>
      </c>
      <c r="Y40" s="26">
        <v>0</v>
      </c>
      <c r="Z40" s="26">
        <v>9211.0299999999988</v>
      </c>
    </row>
    <row r="41" spans="1:26" x14ac:dyDescent="0.25">
      <c r="S41" s="26">
        <v>0</v>
      </c>
      <c r="T41" s="26">
        <v>0</v>
      </c>
      <c r="U41" s="26">
        <v>0</v>
      </c>
      <c r="V41" s="26">
        <v>0</v>
      </c>
      <c r="W41" s="26">
        <v>0</v>
      </c>
      <c r="X41" s="26">
        <v>0</v>
      </c>
      <c r="Y41" s="26">
        <v>0</v>
      </c>
      <c r="Z41" s="26">
        <v>0</v>
      </c>
    </row>
    <row r="42" spans="1:26" x14ac:dyDescent="0.25">
      <c r="A42" s="1" t="s">
        <v>21</v>
      </c>
      <c r="B42" s="7" t="e">
        <f>B30+B40</f>
        <v>#VALUE!</v>
      </c>
      <c r="C42" s="7" t="e">
        <f t="shared" ref="C42:I42" si="26">C30+C40</f>
        <v>#VALUE!</v>
      </c>
      <c r="D42" s="7" t="e">
        <f t="shared" si="26"/>
        <v>#VALUE!</v>
      </c>
      <c r="E42" s="7" t="e">
        <f t="shared" si="26"/>
        <v>#VALUE!</v>
      </c>
      <c r="F42" s="7" t="e">
        <f t="shared" si="26"/>
        <v>#VALUE!</v>
      </c>
      <c r="G42" s="7" t="e">
        <f t="shared" si="26"/>
        <v>#VALUE!</v>
      </c>
      <c r="H42" s="7" t="e">
        <f t="shared" si="26"/>
        <v>#VALUE!</v>
      </c>
      <c r="I42" s="7" t="e">
        <f t="shared" si="26"/>
        <v>#VALUE!</v>
      </c>
      <c r="S42" s="26">
        <v>84</v>
      </c>
      <c r="T42" s="26">
        <v>41.75</v>
      </c>
      <c r="U42" s="26">
        <v>22</v>
      </c>
      <c r="V42" s="26">
        <v>271.99</v>
      </c>
      <c r="W42" s="26">
        <v>153.97</v>
      </c>
      <c r="X42" s="26">
        <v>0</v>
      </c>
      <c r="Y42" s="26">
        <v>0</v>
      </c>
      <c r="Z42" s="26">
        <v>573.71</v>
      </c>
    </row>
    <row r="43" spans="1:26" x14ac:dyDescent="0.25">
      <c r="A43" s="1" t="s">
        <v>30</v>
      </c>
      <c r="B43" s="8" t="e">
        <f t="shared" ref="B43:I43" si="27">B17-B42</f>
        <v>#VALUE!</v>
      </c>
      <c r="C43" s="8" t="e">
        <f t="shared" si="27"/>
        <v>#VALUE!</v>
      </c>
      <c r="D43" s="8" t="e">
        <f t="shared" si="27"/>
        <v>#VALUE!</v>
      </c>
      <c r="E43" s="8" t="e">
        <f t="shared" si="27"/>
        <v>#VALUE!</v>
      </c>
      <c r="F43" s="8" t="e">
        <f t="shared" si="27"/>
        <v>#VALUE!</v>
      </c>
      <c r="G43" s="8" t="e">
        <f t="shared" si="27"/>
        <v>#VALUE!</v>
      </c>
      <c r="H43" s="8" t="e">
        <f t="shared" si="27"/>
        <v>#VALUE!</v>
      </c>
      <c r="I43" s="8" t="e">
        <f t="shared" si="27"/>
        <v>#VALUE!</v>
      </c>
      <c r="K43" s="7"/>
      <c r="S43" s="26">
        <v>0</v>
      </c>
      <c r="T43" s="26">
        <v>0</v>
      </c>
      <c r="U43" s="26">
        <v>0</v>
      </c>
      <c r="V43" s="26">
        <v>0</v>
      </c>
      <c r="W43" s="26">
        <v>0</v>
      </c>
      <c r="X43" s="26">
        <v>0</v>
      </c>
      <c r="Y43" s="26">
        <v>0</v>
      </c>
      <c r="Z43" s="26">
        <v>0</v>
      </c>
    </row>
    <row r="44" spans="1:26" x14ac:dyDescent="0.25">
      <c r="A44" s="1" t="s">
        <v>36</v>
      </c>
      <c r="B44" s="12" t="e">
        <f>B43/$I43</f>
        <v>#VALUE!</v>
      </c>
      <c r="C44" s="12" t="e">
        <f t="shared" ref="C44:H44" si="28">C43/$I43</f>
        <v>#VALUE!</v>
      </c>
      <c r="D44" s="12" t="e">
        <f t="shared" si="28"/>
        <v>#VALUE!</v>
      </c>
      <c r="E44" s="12" t="e">
        <f t="shared" si="28"/>
        <v>#VALUE!</v>
      </c>
      <c r="F44" s="12" t="e">
        <f t="shared" si="28"/>
        <v>#VALUE!</v>
      </c>
      <c r="G44" s="12" t="e">
        <f t="shared" si="28"/>
        <v>#VALUE!</v>
      </c>
      <c r="H44" s="12" t="e">
        <f t="shared" si="28"/>
        <v>#VALUE!</v>
      </c>
      <c r="I44" s="13" t="e">
        <f>SUM(B44:H44)</f>
        <v>#VALUE!</v>
      </c>
      <c r="S44" s="26">
        <v>0</v>
      </c>
      <c r="T44" s="26">
        <v>0</v>
      </c>
      <c r="U44" s="26">
        <v>0</v>
      </c>
      <c r="V44" s="26">
        <v>0</v>
      </c>
      <c r="W44" s="26">
        <v>0</v>
      </c>
      <c r="X44" s="26">
        <v>0</v>
      </c>
      <c r="Y44" s="26">
        <v>0</v>
      </c>
      <c r="Z44" s="26">
        <v>0</v>
      </c>
    </row>
    <row r="45" spans="1:26" x14ac:dyDescent="0.25">
      <c r="S45" s="26">
        <v>1158.5000000000002</v>
      </c>
      <c r="T45" s="26">
        <v>1754.81</v>
      </c>
      <c r="U45" s="26">
        <v>1637.94</v>
      </c>
      <c r="V45" s="26">
        <v>2184.4299999999998</v>
      </c>
      <c r="W45" s="26">
        <v>126</v>
      </c>
      <c r="X45" s="26">
        <v>0</v>
      </c>
      <c r="Y45" s="26">
        <v>0</v>
      </c>
      <c r="Z45" s="26">
        <v>6861.68</v>
      </c>
    </row>
    <row r="46" spans="1:26" x14ac:dyDescent="0.25">
      <c r="A46" s="1" t="s">
        <v>22</v>
      </c>
      <c r="S46" s="26">
        <v>6540.19</v>
      </c>
      <c r="T46" s="26">
        <v>722.79</v>
      </c>
      <c r="U46" s="26">
        <v>1136</v>
      </c>
      <c r="V46" s="26">
        <v>724</v>
      </c>
      <c r="W46" s="26">
        <v>10.6</v>
      </c>
      <c r="X46" s="26">
        <v>0</v>
      </c>
      <c r="Y46" s="26">
        <v>0</v>
      </c>
      <c r="Z46" s="26">
        <v>9133.58</v>
      </c>
    </row>
    <row r="47" spans="1:26" x14ac:dyDescent="0.25">
      <c r="A47" s="1" t="s">
        <v>23</v>
      </c>
      <c r="B47" s="2">
        <f>(IF(B10&lt;&gt;0,B10*K10,0))-(IF(B10&lt;&gt;0,((B10-B23)*B$35),0))</f>
        <v>0</v>
      </c>
      <c r="C47" s="2">
        <f t="shared" ref="C47:H48" si="29">(IF(C10&lt;&gt;0,C10*L10,0))-(IF(C10&lt;&gt;0,((C10-C23)*C$35),0))</f>
        <v>0</v>
      </c>
      <c r="D47" s="2">
        <f t="shared" si="29"/>
        <v>0</v>
      </c>
      <c r="E47" s="2">
        <f t="shared" si="29"/>
        <v>0</v>
      </c>
      <c r="F47" s="2">
        <f t="shared" si="29"/>
        <v>0</v>
      </c>
      <c r="G47" s="2">
        <f t="shared" si="29"/>
        <v>0</v>
      </c>
      <c r="H47" s="2">
        <f t="shared" si="29"/>
        <v>0</v>
      </c>
      <c r="I47" s="7">
        <f>SUM(B47:H47)</f>
        <v>0</v>
      </c>
      <c r="S47" s="21">
        <v>1144</v>
      </c>
      <c r="T47" s="21">
        <v>0</v>
      </c>
      <c r="U47" s="21">
        <v>100</v>
      </c>
      <c r="V47" s="21">
        <v>50</v>
      </c>
      <c r="W47" s="21">
        <v>0</v>
      </c>
      <c r="X47" s="21">
        <v>0</v>
      </c>
      <c r="Y47" s="21">
        <v>0</v>
      </c>
      <c r="Z47" s="21">
        <v>1294</v>
      </c>
    </row>
    <row r="48" spans="1:26" x14ac:dyDescent="0.25">
      <c r="A48" s="1" t="s">
        <v>24</v>
      </c>
      <c r="B48" s="2">
        <f>(IF(B11&lt;&gt;0,B11*K11,0))-(IF(B11&lt;&gt;0,((B11-B24)*B$35),0))</f>
        <v>-11.802452526036008</v>
      </c>
      <c r="C48" s="2">
        <f t="shared" si="29"/>
        <v>-5.8660999162143259</v>
      </c>
      <c r="D48" s="2">
        <f t="shared" si="29"/>
        <v>-3.0911185187237158</v>
      </c>
      <c r="E48" s="2">
        <f t="shared" si="29"/>
        <v>-34.394454241677145</v>
      </c>
      <c r="F48" s="2">
        <f t="shared" si="29"/>
        <v>-18.388572299032138</v>
      </c>
      <c r="G48" s="2">
        <f t="shared" si="29"/>
        <v>0</v>
      </c>
      <c r="H48" s="2">
        <f t="shared" si="29"/>
        <v>0</v>
      </c>
      <c r="I48" s="7">
        <f>SUM(B48:H48)</f>
        <v>-73.542697501683335</v>
      </c>
      <c r="S48" s="26">
        <v>33759.47</v>
      </c>
      <c r="T48" s="26">
        <v>4703.3799999999992</v>
      </c>
      <c r="U48" s="26">
        <v>3971.74</v>
      </c>
      <c r="V48" s="26">
        <v>4573.09</v>
      </c>
      <c r="W48" s="26">
        <v>1725.97</v>
      </c>
      <c r="X48" s="26">
        <v>0</v>
      </c>
      <c r="Y48" s="26">
        <v>0</v>
      </c>
      <c r="Z48" s="26">
        <v>48733.649999999994</v>
      </c>
    </row>
    <row r="49" spans="1:9" x14ac:dyDescent="0.25">
      <c r="A49" s="1" t="s">
        <v>28</v>
      </c>
      <c r="B49" s="8">
        <f>SUM(B47:B48)</f>
        <v>-11.802452526036008</v>
      </c>
      <c r="C49" s="8">
        <f t="shared" ref="C49:I49" si="30">SUM(C47:C48)</f>
        <v>-5.8660999162143259</v>
      </c>
      <c r="D49" s="8">
        <f t="shared" si="30"/>
        <v>-3.0911185187237158</v>
      </c>
      <c r="E49" s="8">
        <f t="shared" si="30"/>
        <v>-34.394454241677145</v>
      </c>
      <c r="F49" s="8">
        <f t="shared" si="30"/>
        <v>-18.388572299032138</v>
      </c>
      <c r="G49" s="8">
        <f t="shared" si="30"/>
        <v>0</v>
      </c>
      <c r="H49" s="8">
        <f t="shared" si="30"/>
        <v>0</v>
      </c>
      <c r="I49" s="8">
        <f t="shared" si="30"/>
        <v>-73.542697501683335</v>
      </c>
    </row>
    <row r="51" spans="1:9" x14ac:dyDescent="0.25">
      <c r="A51" s="1" t="s">
        <v>26</v>
      </c>
    </row>
    <row r="52" spans="1:9" x14ac:dyDescent="0.25">
      <c r="A52" s="1" t="s">
        <v>8</v>
      </c>
      <c r="B52" s="2" t="e">
        <f>(IF($I7&lt;&gt;0,(IF((SUM($E7:$H7)/$I7)&gt;0.25,B7*K7,0)),0))-(IF(B7&lt;&gt;0,(IF(((SUM($E7:$H7)/$I7)&gt;0.25),((B7-B20)*B$35),0)),0))</f>
        <v>#VALUE!</v>
      </c>
      <c r="C52" s="2" t="e">
        <f t="shared" ref="C52:D52" si="31">(IF($I7&lt;&gt;0,(IF((SUM($E7:$H7)/$I7)&gt;0.25,C7*L7,0)),0))-(IF(C7&lt;&gt;0,(IF(((SUM($E7:$H7)/$I7)&gt;0.25),((C7-C20)*C$35),0)),0))</f>
        <v>#VALUE!</v>
      </c>
      <c r="D52" s="2" t="e">
        <f t="shared" si="31"/>
        <v>#VALUE!</v>
      </c>
      <c r="E52" s="2" t="e">
        <f>(IF(E7&lt;&gt;0,E7*N7,0))-(IF(E7&lt;&gt;0,((E7-E20)*E$35),0))</f>
        <v>#VALUE!</v>
      </c>
      <c r="F52" s="2" t="e">
        <f t="shared" ref="F52:H54" si="32">(IF(F7&lt;&gt;0,F7*O7,0))-(IF(F7&lt;&gt;0,((F7-F20)*F$35),0))</f>
        <v>#VALUE!</v>
      </c>
      <c r="G52" s="2" t="e">
        <f t="shared" si="32"/>
        <v>#VALUE!</v>
      </c>
      <c r="H52" s="2" t="e">
        <f t="shared" si="32"/>
        <v>#VALUE!</v>
      </c>
      <c r="I52" s="7" t="e">
        <f>SUM(B52:H52)</f>
        <v>#VALUE!</v>
      </c>
    </row>
    <row r="53" spans="1:9" x14ac:dyDescent="0.25">
      <c r="A53" s="1" t="s">
        <v>7</v>
      </c>
      <c r="B53" s="2">
        <f>(IF($I8&lt;&gt;0,(IF((SUM($E8:$H8)/$I8)&gt;0.25,B8*K8,0)),0))-(IF(B8&lt;&gt;0,(IF(((SUM($E8:$H8)/$I8)&gt;0.25),((B8-B21)*B$35),0)),0))</f>
        <v>0</v>
      </c>
      <c r="C53" s="2">
        <f t="shared" ref="C53:D53" si="33">(IF($I8&lt;&gt;0,(IF((SUM($E8:$H8)/$I8)&gt;0.25,C8*L8,0)),0))-(IF(C8&lt;&gt;0,(IF(((SUM($E8:$H8)/$I8)&gt;0.25),((C8-C21)*C$35),0)),0))</f>
        <v>0</v>
      </c>
      <c r="D53" s="2">
        <f t="shared" si="33"/>
        <v>0</v>
      </c>
      <c r="E53" s="2">
        <f>(IF(E8&lt;&gt;0,E8*N8,0))-(IF(E8&lt;&gt;0,((E8-E21)*E$35),0))</f>
        <v>-82.864597669137154</v>
      </c>
      <c r="F53" s="2">
        <f t="shared" si="32"/>
        <v>-39.220673787115359</v>
      </c>
      <c r="G53" s="2">
        <f t="shared" si="32"/>
        <v>0</v>
      </c>
      <c r="H53" s="2">
        <f t="shared" si="32"/>
        <v>0</v>
      </c>
      <c r="I53" s="7">
        <f t="shared" ref="I53:I59" si="34">SUM(B53:H53)</f>
        <v>-122.08527145625251</v>
      </c>
    </row>
    <row r="54" spans="1:9" x14ac:dyDescent="0.25">
      <c r="A54" s="1" t="s">
        <v>6</v>
      </c>
      <c r="B54" s="2">
        <f>(IF($I9&lt;&gt;0,(IF((SUM($E9:$H9)/$I9)&gt;0.25,B9*K9,0)),0))-(IF(B9&lt;&gt;0,(IF(((SUM($E9:$H9)/$I9)&gt;0.25),((B9-B22)*B$35),0)),0))</f>
        <v>0</v>
      </c>
      <c r="C54" s="2">
        <f t="shared" ref="C54:D54" si="35">(IF($I9&lt;&gt;0,(IF((SUM($E9:$H9)/$I9)&gt;0.25,C9*L9,0)),0))-(IF(C9&lt;&gt;0,(IF(((SUM($E9:$H9)/$I9)&gt;0.25),((C9-C22)*C$35),0)),0))</f>
        <v>0</v>
      </c>
      <c r="D54" s="2">
        <f t="shared" si="35"/>
        <v>0</v>
      </c>
      <c r="E54" s="2">
        <f>(IF(E9&lt;&gt;0,E9*N9,0))-(IF(E9&lt;&gt;0,((E9-E22)*E$35),0))</f>
        <v>-75.418080759997565</v>
      </c>
      <c r="F54" s="2">
        <f t="shared" si="32"/>
        <v>-114.71035443943299</v>
      </c>
      <c r="G54" s="2">
        <f t="shared" si="32"/>
        <v>0</v>
      </c>
      <c r="H54" s="2">
        <f t="shared" si="32"/>
        <v>0</v>
      </c>
      <c r="I54" s="7">
        <f t="shared" si="34"/>
        <v>-190.12843519943056</v>
      </c>
    </row>
    <row r="55" spans="1:9" x14ac:dyDescent="0.25">
      <c r="A55" s="1" t="s">
        <v>3</v>
      </c>
      <c r="B55" s="2">
        <f>(IF($I12&lt;&gt;0,(IF((SUM($E12:$H12)/$I12)&gt;0.25,B12*K12,0)),0))-(IF(B12&lt;&gt;0,(IF(((SUM($E12:$H12)/$I12)&gt;0.25),(((B12*$K12)/B$32)*B$38),0)),0))</f>
        <v>0</v>
      </c>
      <c r="C55" s="2">
        <f t="shared" ref="C55:D55" si="36">(IF($I12&lt;&gt;0,(IF((SUM($E12:$H12)/$I12)&gt;0.25,C12*L12,0)),0))-(IF(C12&lt;&gt;0,(IF(((SUM($E12:$H12)/$I12)&gt;0.25),(((C12*$K12)/C$32)*C$38),0)),0))</f>
        <v>0</v>
      </c>
      <c r="D55" s="2">
        <f t="shared" si="36"/>
        <v>0</v>
      </c>
      <c r="E55" s="2">
        <f>(IF(E12&lt;&gt;0,E12*N12,0))-(IF(E12&lt;&gt;0,((E12-E25)*E$35),0))</f>
        <v>0</v>
      </c>
      <c r="F55" s="2">
        <f t="shared" ref="F55:H56" si="37">(IF(F12&lt;&gt;0,F12*O12,0))-(IF(F12&lt;&gt;0,((F12-F25)*F$35),0))</f>
        <v>0</v>
      </c>
      <c r="G55" s="2">
        <f t="shared" si="37"/>
        <v>0</v>
      </c>
      <c r="H55" s="2">
        <f t="shared" si="37"/>
        <v>0</v>
      </c>
      <c r="I55" s="7">
        <f t="shared" si="34"/>
        <v>0</v>
      </c>
    </row>
    <row r="56" spans="1:9" x14ac:dyDescent="0.25">
      <c r="A56" s="1" t="s">
        <v>43</v>
      </c>
      <c r="B56" s="2">
        <f>(IF($I13&lt;&gt;0,(IF((SUM($E13:$H13)/$I13)&gt;0.25,B13*K13,0)),0))-(IF(B13&lt;&gt;0,(IF(((SUM($E13:$H13)/$I13)&gt;0.25),(((B13*$K13)/B$32)*B$38),0)),0))</f>
        <v>0</v>
      </c>
      <c r="C56" s="2">
        <f t="shared" ref="C56:D56" si="38">(IF($I13&lt;&gt;0,(IF((SUM($E13:$H13)/$I13)&gt;0.25,C13*L13,0)),0))-(IF(C13&lt;&gt;0,(IF(((SUM($E13:$H13)/$I13)&gt;0.25),(((C13*$K13)/C$32)*C$38),0)),0))</f>
        <v>0</v>
      </c>
      <c r="D56" s="2">
        <f t="shared" si="38"/>
        <v>0</v>
      </c>
      <c r="E56" s="2">
        <f>(IF(E13&lt;&gt;0,E13*N13,0))-(IF(E13&lt;&gt;0,((E13-E26)*E$35),0))</f>
        <v>0</v>
      </c>
      <c r="F56" s="2">
        <f t="shared" si="37"/>
        <v>0</v>
      </c>
      <c r="G56" s="2">
        <f t="shared" si="37"/>
        <v>0</v>
      </c>
      <c r="H56" s="2">
        <f t="shared" si="37"/>
        <v>0</v>
      </c>
      <c r="I56" s="7">
        <f t="shared" si="34"/>
        <v>0</v>
      </c>
    </row>
    <row r="57" spans="1:9" x14ac:dyDescent="0.25">
      <c r="A57" s="1" t="s">
        <v>2</v>
      </c>
      <c r="B57" s="2">
        <f>(IF($I14&lt;&gt;0,(IF((SUM($E14:$H14)/$I14)&gt;0.25,B14*K14,0)),0))-(IF(B14&lt;&gt;0,(IF(((SUM($E14:$H14)/$I14)&gt;0.25),(B$39),0)),0))</f>
        <v>-239.37572218859793</v>
      </c>
      <c r="C57" s="2">
        <f t="shared" ref="C57:D57" si="39">(IF($I14&lt;&gt;0,(IF((SUM($E14:$H14)/$I14)&gt;0.25,C14*L14,0)),0))-(IF(C14&lt;&gt;0,(IF(((SUM($E14:$H14)/$I14)&gt;0.25),(C$39),0)),0))</f>
        <v>-362.58861549743074</v>
      </c>
      <c r="D57" s="2">
        <f t="shared" si="39"/>
        <v>-304.59625667797394</v>
      </c>
      <c r="E57" s="2">
        <f>(IF(E14&lt;&gt;0,E14*N14,0))-(IF(E14&lt;&gt;0,(E$39),0))</f>
        <v>-225.67954631870472</v>
      </c>
      <c r="F57" s="2">
        <f t="shared" ref="F57:H57" si="40">(IF(F14&lt;&gt;0,F14*O14,0))-(IF(F14&lt;&gt;0,(F$39),0))</f>
        <v>0</v>
      </c>
      <c r="G57" s="2">
        <f t="shared" si="40"/>
        <v>0</v>
      </c>
      <c r="H57" s="2">
        <f t="shared" si="40"/>
        <v>0</v>
      </c>
      <c r="I57" s="7">
        <f t="shared" si="34"/>
        <v>-1132.2401406827073</v>
      </c>
    </row>
    <row r="58" spans="1:9" x14ac:dyDescent="0.25">
      <c r="A58" s="1" t="s">
        <v>29</v>
      </c>
      <c r="B58" s="2">
        <f>(IF($I15&lt;&gt;0,(IF((SUM($E15:$H15)/$I15)&gt;0.25,B15*K15,0)),0))-(IF(B15&lt;&gt;0,(IF(((SUM($E15:$H15)/$I15)&gt;0.25),(((B15*$K15)/B$32)*B$38),0)),0))</f>
        <v>0</v>
      </c>
      <c r="C58" s="2">
        <f t="shared" ref="C58:D58" si="41">(IF($I15&lt;&gt;0,(IF((SUM($E15:$H15)/$I15)&gt;0.25,C15*L15,0)),0))-(IF(C15&lt;&gt;0,(IF(((SUM($E15:$H15)/$I15)&gt;0.25),(((C15*$K15)/C$32)*C$38),0)),0))</f>
        <v>0</v>
      </c>
      <c r="D58" s="2">
        <f t="shared" si="41"/>
        <v>0</v>
      </c>
      <c r="E58" s="2">
        <f>(IF(E15&lt;&gt;0,E15*N15,0))-(IF(E15&lt;&gt;0,((E15-E28)*E$35),0))</f>
        <v>-45.776655154553943</v>
      </c>
      <c r="F58" s="2">
        <f t="shared" ref="F58:H59" si="42">(IF(F15&lt;&gt;0,F15*O15,0))-(IF(F15&lt;&gt;0,((F15-F28)*F$35),0))</f>
        <v>-0.63297676940228831</v>
      </c>
      <c r="G58" s="2">
        <f t="shared" si="42"/>
        <v>0</v>
      </c>
      <c r="H58" s="2">
        <f t="shared" si="42"/>
        <v>0</v>
      </c>
      <c r="I58" s="7">
        <f t="shared" si="34"/>
        <v>-46.409631923956233</v>
      </c>
    </row>
    <row r="59" spans="1:9" x14ac:dyDescent="0.25">
      <c r="A59" s="1" t="s">
        <v>1</v>
      </c>
      <c r="B59" s="2">
        <f>(IF($I16&lt;&gt;0,(IF((SUM($E16:$H16)/$I16)&gt;0.25,B16*K16,0)),0))-(IF(B16&lt;&gt;0,(IF(((SUM($E16:$H16)/$I16)&gt;0.25),(((B16*$K16)/B$32)*B$38),0)),0))</f>
        <v>0</v>
      </c>
      <c r="C59" s="2">
        <f t="shared" ref="C59:D59" si="43">(IF($I16&lt;&gt;0,(IF((SUM($E16:$H16)/$I16)&gt;0.25,C16*L16,0)),0))-(IF(C16&lt;&gt;0,(IF(((SUM($E16:$H16)/$I16)&gt;0.25),(((C16*$K16)/C$32)*C$38),0)),0))</f>
        <v>0</v>
      </c>
      <c r="D59" s="2">
        <f t="shared" si="43"/>
        <v>0</v>
      </c>
      <c r="E59" s="2">
        <f>(IF(E16&lt;&gt;0,E16*N16,0))-(IF(E16&lt;&gt;0,((E16-E29)*E$35),0))</f>
        <v>-4.0911862747813874</v>
      </c>
      <c r="F59" s="2">
        <f t="shared" si="42"/>
        <v>0</v>
      </c>
      <c r="G59" s="2">
        <f t="shared" si="42"/>
        <v>0</v>
      </c>
      <c r="H59" s="2">
        <f t="shared" si="42"/>
        <v>0</v>
      </c>
      <c r="I59" s="7">
        <f t="shared" si="34"/>
        <v>-4.0911862747813874</v>
      </c>
    </row>
    <row r="60" spans="1:9" x14ac:dyDescent="0.25">
      <c r="B60" s="8" t="e">
        <f>SUM(B52:B59)</f>
        <v>#VALUE!</v>
      </c>
      <c r="C60" s="8" t="e">
        <f t="shared" ref="C60:I60" si="44">SUM(C52:C59)</f>
        <v>#VALUE!</v>
      </c>
      <c r="D60" s="8" t="e">
        <f t="shared" si="44"/>
        <v>#VALUE!</v>
      </c>
      <c r="E60" s="8" t="e">
        <f t="shared" si="44"/>
        <v>#VALUE!</v>
      </c>
      <c r="F60" s="8" t="e">
        <f t="shared" si="44"/>
        <v>#VALUE!</v>
      </c>
      <c r="G60" s="8" t="e">
        <f t="shared" si="44"/>
        <v>#VALUE!</v>
      </c>
      <c r="H60" s="8" t="e">
        <f t="shared" si="44"/>
        <v>#VALUE!</v>
      </c>
      <c r="I60" s="8" t="e">
        <f t="shared" si="44"/>
        <v>#VALUE!</v>
      </c>
    </row>
    <row r="61" spans="1:9" x14ac:dyDescent="0.25">
      <c r="D61" s="7"/>
      <c r="E61" s="7"/>
    </row>
    <row r="62" spans="1:9" x14ac:dyDescent="0.25">
      <c r="A62" s="1" t="s">
        <v>27</v>
      </c>
      <c r="B62" s="8" t="e">
        <f>B60+B49</f>
        <v>#VALUE!</v>
      </c>
      <c r="C62" s="8" t="e">
        <f t="shared" ref="C62:I62" si="45">C60+C49</f>
        <v>#VALUE!</v>
      </c>
      <c r="D62" s="8" t="e">
        <f t="shared" si="45"/>
        <v>#VALUE!</v>
      </c>
      <c r="E62" s="8" t="e">
        <f t="shared" si="45"/>
        <v>#VALUE!</v>
      </c>
      <c r="F62" s="8" t="e">
        <f t="shared" si="45"/>
        <v>#VALUE!</v>
      </c>
      <c r="G62" s="8" t="e">
        <f t="shared" si="45"/>
        <v>#VALUE!</v>
      </c>
      <c r="H62" s="8" t="e">
        <f t="shared" si="45"/>
        <v>#VALUE!</v>
      </c>
      <c r="I62" s="8" t="e">
        <f t="shared" si="45"/>
        <v>#VALUE!</v>
      </c>
    </row>
    <row r="64" spans="1:9" x14ac:dyDescent="0.25">
      <c r="A64" s="1" t="s">
        <v>25</v>
      </c>
      <c r="B64" s="8" t="e">
        <f>B43-B62</f>
        <v>#VALUE!</v>
      </c>
      <c r="C64" s="8" t="e">
        <f t="shared" ref="C64:I64" si="46">C43-C62</f>
        <v>#VALUE!</v>
      </c>
      <c r="D64" s="8" t="e">
        <f t="shared" si="46"/>
        <v>#VALUE!</v>
      </c>
      <c r="E64" s="8" t="e">
        <f t="shared" si="46"/>
        <v>#VALUE!</v>
      </c>
      <c r="F64" s="8" t="e">
        <f t="shared" si="46"/>
        <v>#VALUE!</v>
      </c>
      <c r="G64" s="8" t="e">
        <f t="shared" si="46"/>
        <v>#VALUE!</v>
      </c>
      <c r="H64" s="8" t="e">
        <f t="shared" si="46"/>
        <v>#VALUE!</v>
      </c>
      <c r="I64" s="8" t="e">
        <f t="shared" si="46"/>
        <v>#VALUE!</v>
      </c>
    </row>
  </sheetData>
  <mergeCells count="5">
    <mergeCell ref="A1:I1"/>
    <mergeCell ref="A2:I2"/>
    <mergeCell ref="A3:I3"/>
    <mergeCell ref="A4:I4"/>
    <mergeCell ref="K5:Q5"/>
  </mergeCells>
  <pageMargins left="0.7" right="0.7" top="0.75" bottom="0.75" header="0.3" footer="0.3"/>
  <pageSetup scale="37"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V199"/>
  <sheetViews>
    <sheetView topLeftCell="C1" zoomScale="85" zoomScaleNormal="85" workbookViewId="0">
      <selection activeCell="C1" sqref="C1:O1"/>
    </sheetView>
  </sheetViews>
  <sheetFormatPr defaultColWidth="9.140625" defaultRowHeight="15" x14ac:dyDescent="0.25"/>
  <cols>
    <col min="1" max="1" width="11" hidden="1" customWidth="1"/>
    <col min="2" max="2" width="29.28515625" hidden="1" customWidth="1"/>
    <col min="3" max="3" width="38.85546875" bestFit="1" customWidth="1"/>
    <col min="4" max="12" width="12.7109375" customWidth="1"/>
    <col min="13" max="22" width="14.7109375" style="2" customWidth="1"/>
  </cols>
  <sheetData>
    <row r="1" spans="3:17" ht="18.75" x14ac:dyDescent="0.3">
      <c r="C1" s="162" t="s">
        <v>17</v>
      </c>
      <c r="D1" s="162"/>
      <c r="E1" s="162"/>
      <c r="F1" s="162"/>
      <c r="G1" s="162"/>
      <c r="H1" s="162"/>
      <c r="I1" s="162"/>
      <c r="J1" s="162"/>
      <c r="K1" s="162"/>
      <c r="L1" s="162"/>
      <c r="M1" s="162"/>
      <c r="N1" s="162"/>
      <c r="O1" s="162"/>
      <c r="Q1" s="119"/>
    </row>
    <row r="2" spans="3:17" ht="15.75" x14ac:dyDescent="0.25">
      <c r="C2" s="163" t="s">
        <v>233</v>
      </c>
      <c r="D2" s="163"/>
      <c r="E2" s="163"/>
      <c r="F2" s="163"/>
      <c r="G2" s="163"/>
      <c r="H2" s="163"/>
      <c r="I2" s="163"/>
      <c r="J2" s="163"/>
      <c r="K2" s="163"/>
      <c r="L2" s="163"/>
      <c r="M2" s="163"/>
      <c r="N2" s="163"/>
      <c r="O2" s="163"/>
      <c r="Q2" s="119"/>
    </row>
    <row r="3" spans="3:17" x14ac:dyDescent="0.25">
      <c r="C3" s="164" t="s">
        <v>31</v>
      </c>
      <c r="D3" s="164"/>
      <c r="E3" s="164"/>
      <c r="F3" s="164"/>
      <c r="G3" s="164"/>
      <c r="H3" s="164"/>
      <c r="I3" s="164"/>
      <c r="J3" s="164"/>
      <c r="K3" s="164"/>
      <c r="L3" s="164"/>
      <c r="M3" s="164"/>
      <c r="N3" s="164"/>
      <c r="O3" s="164"/>
    </row>
    <row r="4" spans="3:17" ht="15.75" thickBot="1" x14ac:dyDescent="0.3">
      <c r="C4" s="167">
        <f>'Company Summary'!A4</f>
        <v>45199</v>
      </c>
      <c r="D4" s="167"/>
      <c r="E4" s="167"/>
      <c r="F4" s="167"/>
      <c r="G4" s="167"/>
      <c r="H4" s="167"/>
      <c r="I4" s="167"/>
      <c r="J4" s="167"/>
      <c r="K4" s="167"/>
      <c r="L4" s="167"/>
      <c r="M4" s="167"/>
      <c r="N4" s="167"/>
      <c r="O4" s="167"/>
    </row>
    <row r="5" spans="3:17" ht="15.75" thickBot="1" x14ac:dyDescent="0.3">
      <c r="C5" s="150" t="s">
        <v>249</v>
      </c>
      <c r="D5" s="151"/>
      <c r="E5" s="151"/>
      <c r="F5" s="151"/>
      <c r="G5" s="151"/>
      <c r="H5" s="151"/>
      <c r="I5" s="151"/>
      <c r="J5" s="151"/>
      <c r="K5" s="151"/>
      <c r="L5" s="152"/>
      <c r="N5" s="171"/>
      <c r="O5" s="171"/>
      <c r="P5" s="32"/>
    </row>
    <row r="6" spans="3:17" x14ac:dyDescent="0.25">
      <c r="C6" s="4" t="s">
        <v>16</v>
      </c>
      <c r="D6" s="5" t="s">
        <v>15</v>
      </c>
      <c r="E6" s="5" t="s">
        <v>14</v>
      </c>
      <c r="F6" s="5" t="s">
        <v>13</v>
      </c>
      <c r="G6" s="5" t="s">
        <v>12</v>
      </c>
      <c r="H6" s="5" t="s">
        <v>94</v>
      </c>
      <c r="I6" s="5" t="s">
        <v>95</v>
      </c>
      <c r="J6" s="5" t="s">
        <v>38</v>
      </c>
      <c r="K6" s="5" t="s">
        <v>9</v>
      </c>
      <c r="L6" s="5" t="s">
        <v>0</v>
      </c>
      <c r="N6" s="120"/>
      <c r="O6" s="120"/>
      <c r="P6" s="32"/>
    </row>
    <row r="7" spans="3:17" x14ac:dyDescent="0.25">
      <c r="C7" s="1" t="s">
        <v>49</v>
      </c>
      <c r="D7" s="33">
        <f>'Agile AR Aging &lt;-INPUT'!C49</f>
        <v>0</v>
      </c>
      <c r="E7" s="33">
        <f>'Agile AR Aging &lt;-INPUT'!D49</f>
        <v>0</v>
      </c>
      <c r="F7" s="33">
        <f>'Agile AR Aging &lt;-INPUT'!E49</f>
        <v>0</v>
      </c>
      <c r="G7" s="33">
        <f>'Agile AR Aging &lt;-INPUT'!F49</f>
        <v>0</v>
      </c>
      <c r="H7" s="33">
        <f>'Agile AR Aging &lt;-INPUT'!G49</f>
        <v>0</v>
      </c>
      <c r="I7" s="33">
        <f>'Agile AR Aging &lt;-INPUT'!H49</f>
        <v>0</v>
      </c>
      <c r="J7" s="33">
        <f>'Agile AR Aging &lt;-INPUT'!I49</f>
        <v>0</v>
      </c>
      <c r="K7" s="33">
        <f>'Agile AR Aging &lt;-INPUT'!J49</f>
        <v>0</v>
      </c>
      <c r="L7" s="2">
        <f>SUM(D7:K7)</f>
        <v>0</v>
      </c>
      <c r="N7" s="121"/>
      <c r="P7" s="32"/>
    </row>
    <row r="8" spans="3:17" x14ac:dyDescent="0.25">
      <c r="C8" s="1" t="s">
        <v>8</v>
      </c>
      <c r="D8" s="33">
        <f>'Agile AR Aging &lt;-INPUT'!C50</f>
        <v>0</v>
      </c>
      <c r="E8" s="33">
        <f>'Agile AR Aging &lt;-INPUT'!D50</f>
        <v>0</v>
      </c>
      <c r="F8" s="33">
        <f>'Agile AR Aging &lt;-INPUT'!E50</f>
        <v>0</v>
      </c>
      <c r="G8" s="33">
        <f>'Agile AR Aging &lt;-INPUT'!F50</f>
        <v>0</v>
      </c>
      <c r="H8" s="33">
        <f>'Agile AR Aging &lt;-INPUT'!G50</f>
        <v>0</v>
      </c>
      <c r="I8" s="33">
        <f>'Agile AR Aging &lt;-INPUT'!H50</f>
        <v>0</v>
      </c>
      <c r="J8" s="33">
        <f>'Agile AR Aging &lt;-INPUT'!I50</f>
        <v>0</v>
      </c>
      <c r="K8" s="33">
        <f>'Agile AR Aging &lt;-INPUT'!J50</f>
        <v>-100</v>
      </c>
      <c r="L8" s="2">
        <f t="shared" ref="L8:L23" si="0">SUM(D8:K8)</f>
        <v>-100</v>
      </c>
      <c r="N8" s="121"/>
      <c r="P8" s="32"/>
    </row>
    <row r="9" spans="3:17" x14ac:dyDescent="0.25">
      <c r="C9" s="1" t="s">
        <v>7</v>
      </c>
      <c r="D9" s="33">
        <f>'Agile AR Aging &lt;-INPUT'!C51</f>
        <v>0</v>
      </c>
      <c r="E9" s="33">
        <f>'Agile AR Aging &lt;-INPUT'!D51</f>
        <v>0</v>
      </c>
      <c r="F9" s="33">
        <f>'Agile AR Aging &lt;-INPUT'!E51</f>
        <v>0</v>
      </c>
      <c r="G9" s="33">
        <f>'Agile AR Aging &lt;-INPUT'!F51</f>
        <v>0</v>
      </c>
      <c r="H9" s="33">
        <f>'Agile AR Aging &lt;-INPUT'!G51</f>
        <v>0</v>
      </c>
      <c r="I9" s="33">
        <f>'Agile AR Aging &lt;-INPUT'!H51</f>
        <v>0</v>
      </c>
      <c r="J9" s="33">
        <f>'Agile AR Aging &lt;-INPUT'!I51</f>
        <v>0</v>
      </c>
      <c r="K9" s="33">
        <f>'Agile AR Aging &lt;-INPUT'!J51</f>
        <v>0</v>
      </c>
      <c r="L9" s="2">
        <f t="shared" si="0"/>
        <v>0</v>
      </c>
      <c r="N9" s="121"/>
      <c r="P9" s="32"/>
    </row>
    <row r="10" spans="3:17" x14ac:dyDescent="0.25">
      <c r="C10" s="1" t="s">
        <v>42</v>
      </c>
      <c r="D10" s="33">
        <f>'Agile AR Aging &lt;-INPUT'!C52</f>
        <v>0</v>
      </c>
      <c r="E10" s="33">
        <f>'Agile AR Aging &lt;-INPUT'!D52</f>
        <v>0</v>
      </c>
      <c r="F10" s="33">
        <f>'Agile AR Aging &lt;-INPUT'!E52</f>
        <v>0</v>
      </c>
      <c r="G10" s="33">
        <f>'Agile AR Aging &lt;-INPUT'!F52</f>
        <v>0</v>
      </c>
      <c r="H10" s="33">
        <f>'Agile AR Aging &lt;-INPUT'!G52</f>
        <v>0</v>
      </c>
      <c r="I10" s="33">
        <f>'Agile AR Aging &lt;-INPUT'!H52</f>
        <v>0</v>
      </c>
      <c r="J10" s="33">
        <f>'Agile AR Aging &lt;-INPUT'!I52</f>
        <v>0</v>
      </c>
      <c r="K10" s="33">
        <f>'Agile AR Aging &lt;-INPUT'!J52</f>
        <v>0</v>
      </c>
      <c r="L10" s="2">
        <f t="shared" si="0"/>
        <v>0</v>
      </c>
      <c r="N10" s="121"/>
      <c r="P10" s="32"/>
    </row>
    <row r="11" spans="3:17" x14ac:dyDescent="0.25">
      <c r="C11" s="1" t="s">
        <v>6</v>
      </c>
      <c r="D11" s="33">
        <f>'Agile AR Aging &lt;-INPUT'!C53+'Agile AR Aging &lt;-INPUT'!C54+'Agile AR Aging &lt;-INPUT'!C61+'Agile AR Aging &lt;-INPUT'!C66</f>
        <v>0</v>
      </c>
      <c r="E11" s="33">
        <f>'Agile AR Aging &lt;-INPUT'!D53+'Agile AR Aging &lt;-INPUT'!D54+'Agile AR Aging &lt;-INPUT'!D61+'Agile AR Aging &lt;-INPUT'!D66</f>
        <v>0</v>
      </c>
      <c r="F11" s="33">
        <f>'Agile AR Aging &lt;-INPUT'!E53+'Agile AR Aging &lt;-INPUT'!E54+'Agile AR Aging &lt;-INPUT'!E61+'Agile AR Aging &lt;-INPUT'!E66</f>
        <v>0</v>
      </c>
      <c r="G11" s="33">
        <f>'Agile AR Aging &lt;-INPUT'!F53+'Agile AR Aging &lt;-INPUT'!F54+'Agile AR Aging &lt;-INPUT'!F61+'Agile AR Aging &lt;-INPUT'!F66</f>
        <v>0</v>
      </c>
      <c r="H11" s="33">
        <f>'Agile AR Aging &lt;-INPUT'!G53+'Agile AR Aging &lt;-INPUT'!G54+'Agile AR Aging &lt;-INPUT'!G61+'Agile AR Aging &lt;-INPUT'!G66</f>
        <v>0</v>
      </c>
      <c r="I11" s="33">
        <f>'Agile AR Aging &lt;-INPUT'!H53+'Agile AR Aging &lt;-INPUT'!H54+'Agile AR Aging &lt;-INPUT'!H61+'Agile AR Aging &lt;-INPUT'!H66</f>
        <v>0</v>
      </c>
      <c r="J11" s="33">
        <f>'Agile AR Aging &lt;-INPUT'!I53+'Agile AR Aging &lt;-INPUT'!I54+'Agile AR Aging &lt;-INPUT'!I61+'Agile AR Aging &lt;-INPUT'!I66</f>
        <v>0</v>
      </c>
      <c r="K11" s="33">
        <f>'Agile AR Aging &lt;-INPUT'!J53+'Agile AR Aging &lt;-INPUT'!J54+'Agile AR Aging &lt;-INPUT'!J61+'Agile AR Aging &lt;-INPUT'!J66</f>
        <v>-2071.7100000000005</v>
      </c>
      <c r="L11" s="2">
        <f t="shared" si="0"/>
        <v>-2071.7100000000005</v>
      </c>
      <c r="N11" s="122"/>
      <c r="P11" s="32"/>
    </row>
    <row r="12" spans="3:17" x14ac:dyDescent="0.25">
      <c r="C12" s="1" t="s">
        <v>50</v>
      </c>
      <c r="D12" s="33">
        <f>'Agile AR Aging &lt;-INPUT'!C55</f>
        <v>0</v>
      </c>
      <c r="E12" s="33">
        <f>'Agile AR Aging &lt;-INPUT'!D55</f>
        <v>0</v>
      </c>
      <c r="F12" s="33">
        <f>'Agile AR Aging &lt;-INPUT'!E55</f>
        <v>0</v>
      </c>
      <c r="G12" s="33">
        <f>'Agile AR Aging &lt;-INPUT'!F55</f>
        <v>0</v>
      </c>
      <c r="H12" s="33">
        <f>'Agile AR Aging &lt;-INPUT'!G55</f>
        <v>0</v>
      </c>
      <c r="I12" s="33">
        <f>'Agile AR Aging &lt;-INPUT'!H55</f>
        <v>0</v>
      </c>
      <c r="J12" s="33">
        <f>'Agile AR Aging &lt;-INPUT'!I55</f>
        <v>0</v>
      </c>
      <c r="K12" s="33">
        <f>'Agile AR Aging &lt;-INPUT'!J55</f>
        <v>0</v>
      </c>
      <c r="L12" s="2">
        <f t="shared" si="0"/>
        <v>0</v>
      </c>
      <c r="N12" s="122"/>
      <c r="P12" s="32"/>
    </row>
    <row r="13" spans="3:17" x14ac:dyDescent="0.25">
      <c r="C13" s="1" t="s">
        <v>89</v>
      </c>
      <c r="D13" s="33">
        <f>'Agile AR Aging &lt;-INPUT'!C56</f>
        <v>0</v>
      </c>
      <c r="E13" s="33">
        <f>'Agile AR Aging &lt;-INPUT'!D56</f>
        <v>0</v>
      </c>
      <c r="F13" s="33">
        <f>'Agile AR Aging &lt;-INPUT'!E56</f>
        <v>0</v>
      </c>
      <c r="G13" s="33">
        <f>'Agile AR Aging &lt;-INPUT'!F56</f>
        <v>0</v>
      </c>
      <c r="H13" s="33">
        <f>'Agile AR Aging &lt;-INPUT'!G56</f>
        <v>0</v>
      </c>
      <c r="I13" s="33">
        <f>'Agile AR Aging &lt;-INPUT'!H56</f>
        <v>0</v>
      </c>
      <c r="J13" s="33">
        <f>'Agile AR Aging &lt;-INPUT'!I56</f>
        <v>0</v>
      </c>
      <c r="K13" s="33">
        <f>'Agile AR Aging &lt;-INPUT'!J56</f>
        <v>0</v>
      </c>
      <c r="L13" s="2">
        <f t="shared" si="0"/>
        <v>0</v>
      </c>
      <c r="N13" s="122"/>
      <c r="P13" s="32"/>
    </row>
    <row r="14" spans="3:17" x14ac:dyDescent="0.25">
      <c r="C14" s="1" t="s">
        <v>5</v>
      </c>
      <c r="D14" s="33">
        <f>'Agile AR Aging &lt;-INPUT'!C57</f>
        <v>0</v>
      </c>
      <c r="E14" s="33">
        <f>'Agile AR Aging &lt;-INPUT'!D57</f>
        <v>0</v>
      </c>
      <c r="F14" s="33">
        <f>'Agile AR Aging &lt;-INPUT'!E57</f>
        <v>0</v>
      </c>
      <c r="G14" s="33">
        <f>'Agile AR Aging &lt;-INPUT'!F57</f>
        <v>0</v>
      </c>
      <c r="H14" s="33">
        <f>'Agile AR Aging &lt;-INPUT'!G57</f>
        <v>0</v>
      </c>
      <c r="I14" s="33">
        <f>'Agile AR Aging &lt;-INPUT'!H57</f>
        <v>0</v>
      </c>
      <c r="J14" s="33">
        <f>'Agile AR Aging &lt;-INPUT'!I57</f>
        <v>0</v>
      </c>
      <c r="K14" s="33">
        <f>'Agile AR Aging &lt;-INPUT'!J57</f>
        <v>0</v>
      </c>
      <c r="L14" s="2">
        <f t="shared" si="0"/>
        <v>0</v>
      </c>
      <c r="N14" s="122"/>
      <c r="P14" s="32"/>
    </row>
    <row r="15" spans="3:17" x14ac:dyDescent="0.25">
      <c r="C15" s="1" t="s">
        <v>84</v>
      </c>
      <c r="D15" s="33">
        <f>'Agile AR Aging &lt;-INPUT'!C58</f>
        <v>0</v>
      </c>
      <c r="E15" s="33">
        <f>'Agile AR Aging &lt;-INPUT'!D58</f>
        <v>0</v>
      </c>
      <c r="F15" s="33">
        <f>'Agile AR Aging &lt;-INPUT'!E58</f>
        <v>0</v>
      </c>
      <c r="G15" s="33">
        <f>'Agile AR Aging &lt;-INPUT'!F58</f>
        <v>0</v>
      </c>
      <c r="H15" s="33">
        <f>'Agile AR Aging &lt;-INPUT'!G58</f>
        <v>0</v>
      </c>
      <c r="I15" s="33">
        <f>'Agile AR Aging &lt;-INPUT'!H58</f>
        <v>0</v>
      </c>
      <c r="J15" s="33">
        <f>'Agile AR Aging &lt;-INPUT'!I58</f>
        <v>0</v>
      </c>
      <c r="K15" s="33">
        <f>'Agile AR Aging &lt;-INPUT'!J58</f>
        <v>-28.6</v>
      </c>
      <c r="L15" s="2">
        <f t="shared" si="0"/>
        <v>-28.6</v>
      </c>
      <c r="N15" s="122"/>
      <c r="P15" s="32"/>
    </row>
    <row r="16" spans="3:17" x14ac:dyDescent="0.25">
      <c r="C16" s="1" t="s">
        <v>4</v>
      </c>
      <c r="D16" s="33">
        <f>'Agile AR Aging &lt;-INPUT'!C59</f>
        <v>0</v>
      </c>
      <c r="E16" s="33">
        <f>'Agile AR Aging &lt;-INPUT'!D59</f>
        <v>0</v>
      </c>
      <c r="F16" s="33">
        <f>'Agile AR Aging &lt;-INPUT'!E59</f>
        <v>0</v>
      </c>
      <c r="G16" s="33">
        <f>'Agile AR Aging &lt;-INPUT'!F59</f>
        <v>0</v>
      </c>
      <c r="H16" s="33">
        <f>'Agile AR Aging &lt;-INPUT'!G59</f>
        <v>0</v>
      </c>
      <c r="I16" s="33">
        <f>'Agile AR Aging &lt;-INPUT'!H59</f>
        <v>0</v>
      </c>
      <c r="J16" s="33">
        <f>'Agile AR Aging &lt;-INPUT'!I59</f>
        <v>0</v>
      </c>
      <c r="K16" s="33">
        <f>'Agile AR Aging &lt;-INPUT'!J59</f>
        <v>-132.04000000000002</v>
      </c>
      <c r="L16" s="2">
        <f t="shared" si="0"/>
        <v>-132.04000000000002</v>
      </c>
      <c r="N16" s="122"/>
      <c r="P16" s="32"/>
    </row>
    <row r="17" spans="1:16" x14ac:dyDescent="0.25">
      <c r="C17" s="1" t="s">
        <v>51</v>
      </c>
      <c r="D17" s="33">
        <f>'Agile AR Aging &lt;-INPUT'!C60</f>
        <v>0</v>
      </c>
      <c r="E17" s="33">
        <f>'Agile AR Aging &lt;-INPUT'!D60</f>
        <v>0</v>
      </c>
      <c r="F17" s="33">
        <f>'Agile AR Aging &lt;-INPUT'!E60</f>
        <v>0</v>
      </c>
      <c r="G17" s="33">
        <f>'Agile AR Aging &lt;-INPUT'!F60</f>
        <v>0</v>
      </c>
      <c r="H17" s="33">
        <f>'Agile AR Aging &lt;-INPUT'!G60</f>
        <v>0</v>
      </c>
      <c r="I17" s="33">
        <f>'Agile AR Aging &lt;-INPUT'!H60</f>
        <v>0</v>
      </c>
      <c r="J17" s="33">
        <f>'Agile AR Aging &lt;-INPUT'!I60</f>
        <v>0</v>
      </c>
      <c r="K17" s="33">
        <f>'Agile AR Aging &lt;-INPUT'!J60</f>
        <v>0</v>
      </c>
      <c r="L17" s="2">
        <f t="shared" si="0"/>
        <v>0</v>
      </c>
      <c r="N17" s="122"/>
      <c r="P17" s="32"/>
    </row>
    <row r="18" spans="1:16" x14ac:dyDescent="0.25">
      <c r="C18" s="1" t="s">
        <v>85</v>
      </c>
      <c r="D18" s="33">
        <f>'Agile AR Aging &lt;-INPUT'!C62</f>
        <v>0</v>
      </c>
      <c r="E18" s="33">
        <f>'Agile AR Aging &lt;-INPUT'!D62</f>
        <v>0</v>
      </c>
      <c r="F18" s="33">
        <f>'Agile AR Aging &lt;-INPUT'!E62</f>
        <v>0</v>
      </c>
      <c r="G18" s="33">
        <f>'Agile AR Aging &lt;-INPUT'!F62</f>
        <v>0</v>
      </c>
      <c r="H18" s="33">
        <f>'Agile AR Aging &lt;-INPUT'!G62</f>
        <v>0</v>
      </c>
      <c r="I18" s="33">
        <f>'Agile AR Aging &lt;-INPUT'!H62</f>
        <v>0</v>
      </c>
      <c r="J18" s="33">
        <f>'Agile AR Aging &lt;-INPUT'!I62</f>
        <v>0</v>
      </c>
      <c r="K18" s="33">
        <f>'Agile AR Aging &lt;-INPUT'!J62</f>
        <v>0</v>
      </c>
      <c r="L18" s="2">
        <f t="shared" si="0"/>
        <v>0</v>
      </c>
      <c r="N18" s="122"/>
      <c r="P18" s="32"/>
    </row>
    <row r="19" spans="1:16" x14ac:dyDescent="0.25">
      <c r="C19" s="1" t="s">
        <v>2</v>
      </c>
      <c r="D19" s="33">
        <f>'Agile AR Aging &lt;-INPUT'!C63</f>
        <v>-13808.970000000001</v>
      </c>
      <c r="E19" s="33">
        <f>'Agile AR Aging &lt;-INPUT'!D63</f>
        <v>0</v>
      </c>
      <c r="F19" s="33">
        <f>'Agile AR Aging &lt;-INPUT'!E63</f>
        <v>0</v>
      </c>
      <c r="G19" s="33">
        <f>'Agile AR Aging &lt;-INPUT'!F63</f>
        <v>0</v>
      </c>
      <c r="H19" s="33">
        <f>'Agile AR Aging &lt;-INPUT'!G63</f>
        <v>0</v>
      </c>
      <c r="I19" s="33">
        <f>'Agile AR Aging &lt;-INPUT'!H63</f>
        <v>0</v>
      </c>
      <c r="J19" s="33">
        <f>'Agile AR Aging &lt;-INPUT'!I63</f>
        <v>0</v>
      </c>
      <c r="K19" s="33">
        <f>'Agile AR Aging &lt;-INPUT'!J63</f>
        <v>-102</v>
      </c>
      <c r="L19" s="2">
        <f t="shared" si="0"/>
        <v>-13910.970000000001</v>
      </c>
      <c r="N19" s="122"/>
      <c r="P19" s="32"/>
    </row>
    <row r="20" spans="1:16" x14ac:dyDescent="0.25">
      <c r="C20" s="1" t="s">
        <v>86</v>
      </c>
      <c r="D20" s="33">
        <f>'Agile AR Aging &lt;-INPUT'!C64</f>
        <v>0</v>
      </c>
      <c r="E20" s="33">
        <f>'Agile AR Aging &lt;-INPUT'!D64</f>
        <v>0</v>
      </c>
      <c r="F20" s="33">
        <f>'Agile AR Aging &lt;-INPUT'!E64</f>
        <v>0</v>
      </c>
      <c r="G20" s="33">
        <f>'Agile AR Aging &lt;-INPUT'!F64</f>
        <v>0</v>
      </c>
      <c r="H20" s="33">
        <f>'Agile AR Aging &lt;-INPUT'!G64</f>
        <v>0</v>
      </c>
      <c r="I20" s="33">
        <f>'Agile AR Aging &lt;-INPUT'!H64</f>
        <v>0</v>
      </c>
      <c r="J20" s="33">
        <f>'Agile AR Aging &lt;-INPUT'!I64</f>
        <v>0</v>
      </c>
      <c r="K20" s="33">
        <f>'Agile AR Aging &lt;-INPUT'!J64</f>
        <v>0</v>
      </c>
      <c r="L20" s="2">
        <f t="shared" si="0"/>
        <v>0</v>
      </c>
      <c r="N20" s="122"/>
      <c r="P20" s="32"/>
    </row>
    <row r="21" spans="1:16" x14ac:dyDescent="0.25">
      <c r="C21" s="1" t="s">
        <v>29</v>
      </c>
      <c r="D21" s="33">
        <f>'Agile AR Aging &lt;-INPUT'!C65</f>
        <v>0</v>
      </c>
      <c r="E21" s="33">
        <f>'Agile AR Aging &lt;-INPUT'!D65</f>
        <v>0</v>
      </c>
      <c r="F21" s="33">
        <f>'Agile AR Aging &lt;-INPUT'!E65</f>
        <v>0</v>
      </c>
      <c r="G21" s="33">
        <f>'Agile AR Aging &lt;-INPUT'!F65</f>
        <v>0</v>
      </c>
      <c r="H21" s="33">
        <f>'Agile AR Aging &lt;-INPUT'!G65</f>
        <v>0</v>
      </c>
      <c r="I21" s="33">
        <f>'Agile AR Aging &lt;-INPUT'!H65</f>
        <v>0</v>
      </c>
      <c r="J21" s="33">
        <f>'Agile AR Aging &lt;-INPUT'!I65</f>
        <v>0</v>
      </c>
      <c r="K21" s="33">
        <f>'Agile AR Aging &lt;-INPUT'!J65</f>
        <v>-266.35000000000002</v>
      </c>
      <c r="L21" s="2">
        <f t="shared" si="0"/>
        <v>-266.35000000000002</v>
      </c>
      <c r="N21" s="122"/>
      <c r="P21" s="32"/>
    </row>
    <row r="22" spans="1:16" x14ac:dyDescent="0.25">
      <c r="C22" s="1" t="s">
        <v>52</v>
      </c>
      <c r="D22" s="33">
        <f>'Agile AR Aging &lt;-INPUT'!C67</f>
        <v>0</v>
      </c>
      <c r="E22" s="33">
        <f>'Agile AR Aging &lt;-INPUT'!D67</f>
        <v>0</v>
      </c>
      <c r="F22" s="33">
        <f>'Agile AR Aging &lt;-INPUT'!E67</f>
        <v>0</v>
      </c>
      <c r="G22" s="33">
        <f>'Agile AR Aging &lt;-INPUT'!F67</f>
        <v>0</v>
      </c>
      <c r="H22" s="33">
        <f>'Agile AR Aging &lt;-INPUT'!G67</f>
        <v>0</v>
      </c>
      <c r="I22" s="33">
        <f>'Agile AR Aging &lt;-INPUT'!H67</f>
        <v>0</v>
      </c>
      <c r="J22" s="33">
        <f>'Agile AR Aging &lt;-INPUT'!I67</f>
        <v>0</v>
      </c>
      <c r="K22" s="33">
        <f>'Agile AR Aging &lt;-INPUT'!J67</f>
        <v>0</v>
      </c>
      <c r="L22" s="2">
        <f t="shared" si="0"/>
        <v>0</v>
      </c>
      <c r="N22" s="122"/>
      <c r="P22" s="32"/>
    </row>
    <row r="23" spans="1:16" x14ac:dyDescent="0.25">
      <c r="C23" s="1" t="s">
        <v>1</v>
      </c>
      <c r="D23" s="32">
        <f>'Agile AR Aging &lt;-INPUT'!C68</f>
        <v>0</v>
      </c>
      <c r="E23" s="32">
        <f>'Agile AR Aging &lt;-INPUT'!D68</f>
        <v>0</v>
      </c>
      <c r="F23" s="32">
        <f>'Agile AR Aging &lt;-INPUT'!E68</f>
        <v>0</v>
      </c>
      <c r="G23" s="32">
        <f>'Agile AR Aging &lt;-INPUT'!F68</f>
        <v>0</v>
      </c>
      <c r="H23" s="32">
        <f>'Agile AR Aging &lt;-INPUT'!G68</f>
        <v>0</v>
      </c>
      <c r="I23" s="32">
        <f>'Agile AR Aging &lt;-INPUT'!H68</f>
        <v>0</v>
      </c>
      <c r="J23" s="32">
        <f>'Agile AR Aging &lt;-INPUT'!I68</f>
        <v>0</v>
      </c>
      <c r="K23" s="32">
        <f>'Agile AR Aging &lt;-INPUT'!J68</f>
        <v>-709.63</v>
      </c>
      <c r="L23" s="2">
        <f t="shared" si="0"/>
        <v>-709.63</v>
      </c>
      <c r="N23" s="122"/>
      <c r="P23" s="32"/>
    </row>
    <row r="24" spans="1:16" x14ac:dyDescent="0.25">
      <c r="C24" s="1" t="s">
        <v>0</v>
      </c>
      <c r="D24" s="10">
        <f>SUM(D7:D23)</f>
        <v>-13808.970000000001</v>
      </c>
      <c r="E24" s="10">
        <f t="shared" ref="E24:L24" si="1">SUM(E7:E23)</f>
        <v>0</v>
      </c>
      <c r="F24" s="10">
        <f t="shared" si="1"/>
        <v>0</v>
      </c>
      <c r="G24" s="10">
        <f t="shared" si="1"/>
        <v>0</v>
      </c>
      <c r="H24" s="10">
        <f t="shared" si="1"/>
        <v>0</v>
      </c>
      <c r="I24" s="10">
        <f t="shared" si="1"/>
        <v>0</v>
      </c>
      <c r="J24" s="10">
        <f t="shared" si="1"/>
        <v>0</v>
      </c>
      <c r="K24" s="10">
        <f t="shared" si="1"/>
        <v>-3410.3300000000004</v>
      </c>
      <c r="L24" s="10">
        <f t="shared" si="1"/>
        <v>-17219.300000000003</v>
      </c>
      <c r="N24" s="123"/>
      <c r="P24" s="32"/>
    </row>
    <row r="25" spans="1:16" ht="15.75" thickBot="1" x14ac:dyDescent="0.3">
      <c r="C25" s="1"/>
      <c r="D25" s="9"/>
      <c r="E25" s="9"/>
      <c r="F25" s="9"/>
      <c r="G25" s="9"/>
      <c r="H25" s="9"/>
      <c r="I25" s="9"/>
      <c r="J25" s="9"/>
      <c r="K25" s="9"/>
      <c r="L25" s="9"/>
      <c r="N25" s="123"/>
      <c r="P25" s="32"/>
    </row>
    <row r="26" spans="1:16" ht="15.75" thickBot="1" x14ac:dyDescent="0.3">
      <c r="C26" s="156" t="s">
        <v>250</v>
      </c>
      <c r="D26" s="157"/>
      <c r="E26" s="157"/>
      <c r="F26" s="157"/>
      <c r="G26" s="157"/>
      <c r="H26" s="157"/>
      <c r="I26" s="157"/>
      <c r="J26" s="157"/>
      <c r="K26" s="157"/>
      <c r="L26" s="158"/>
      <c r="N26" s="134" t="s">
        <v>266</v>
      </c>
      <c r="O26" s="136"/>
      <c r="P26" s="32"/>
    </row>
    <row r="27" spans="1:16" x14ac:dyDescent="0.25">
      <c r="C27" s="4" t="s">
        <v>16</v>
      </c>
      <c r="D27" s="5" t="s">
        <v>15</v>
      </c>
      <c r="E27" s="5" t="s">
        <v>14</v>
      </c>
      <c r="F27" s="5" t="s">
        <v>13</v>
      </c>
      <c r="G27" s="5" t="s">
        <v>12</v>
      </c>
      <c r="H27" s="5" t="s">
        <v>94</v>
      </c>
      <c r="I27" s="5" t="s">
        <v>95</v>
      </c>
      <c r="J27" s="5" t="s">
        <v>38</v>
      </c>
      <c r="K27" s="5" t="s">
        <v>9</v>
      </c>
      <c r="L27" s="5" t="s">
        <v>0</v>
      </c>
      <c r="N27" s="123"/>
      <c r="P27" s="32"/>
    </row>
    <row r="28" spans="1:16" x14ac:dyDescent="0.25">
      <c r="B28" t="s">
        <v>470</v>
      </c>
      <c r="C28" s="1" t="s">
        <v>49</v>
      </c>
      <c r="D28" s="112">
        <f>SUMIFS(CurrentMonthAgingData!$AN:$AN,CurrentMonthAgingData!$BC:$BC,"=1",CurrentMonthAgingData!$A:$A,"=Procedure",CurrentMonthAgingData!$BF:$BF,"&lt;"&amp;0,CurrentMonthAgingData!$AP:$AP,$B28,CurrentMonthAgingData!$BA:$BA,$C$2)</f>
        <v>0</v>
      </c>
      <c r="E28" s="112">
        <f>SUMIFS(CurrentMonthAgingData!$AN:$AN,CurrentMonthAgingData!$BC:$BC,"=1",CurrentMonthAgingData!$A:$A,"=Procedure",CurrentMonthAgingData!$BF:$BF,"&lt;"&amp;0,CurrentMonthAgingData!$AP:$AP,$B28,CurrentMonthAgingData!$BA:$BA,$C$2)</f>
        <v>0</v>
      </c>
      <c r="F28" s="112">
        <f>SUMIFS(CurrentMonthAgingData!$AN:$AN,CurrentMonthAgingData!$BC:$BC,"=1",CurrentMonthAgingData!$A:$A,"=Procedure",CurrentMonthAgingData!$BF:$BF,"&lt;"&amp;0,CurrentMonthAgingData!$AP:$AP,$B28,CurrentMonthAgingData!$BA:$BA,$C$2)</f>
        <v>0</v>
      </c>
      <c r="G28" s="112">
        <f>SUMIFS(CurrentMonthAgingData!$AN:$AN,CurrentMonthAgingData!$BC:$BC,"=1",CurrentMonthAgingData!$A:$A,"=Procedure",CurrentMonthAgingData!$BF:$BF,"&lt;"&amp;0,CurrentMonthAgingData!$AP:$AP,$B28,CurrentMonthAgingData!$BA:$BA,$C$2)</f>
        <v>0</v>
      </c>
      <c r="H28" s="112">
        <f>SUMIFS(CurrentMonthAgingData!$AN:$AN,CurrentMonthAgingData!$BC:$BC,"=1",CurrentMonthAgingData!$A:$A,"=Procedure",CurrentMonthAgingData!$BF:$BF,"&lt;"&amp;0,CurrentMonthAgingData!$AP:$AP,$B28,CurrentMonthAgingData!$BA:$BA,$C$2)</f>
        <v>0</v>
      </c>
      <c r="I28" s="112">
        <f>SUMIFS(CurrentMonthAgingData!$AN:$AN,CurrentMonthAgingData!$BC:$BC,"=1",CurrentMonthAgingData!$A:$A,"=Procedure",CurrentMonthAgingData!$BF:$BF,"&lt;"&amp;0,CurrentMonthAgingData!$AP:$AP,$B28,CurrentMonthAgingData!$BA:$BA,$C$2)</f>
        <v>0</v>
      </c>
      <c r="J28" s="112">
        <f>SUMIFS(CurrentMonthAgingData!$AN:$AN,CurrentMonthAgingData!$BC:$BC,"=1",CurrentMonthAgingData!$A:$A,"=Procedure",CurrentMonthAgingData!$BF:$BF,"&lt;"&amp;0,CurrentMonthAgingData!$AP:$AP,$B28,CurrentMonthAgingData!$BA:$BA,$C$2)</f>
        <v>0</v>
      </c>
      <c r="K28" s="112">
        <f>SUMIFS(CurrentMonthAgingData!$AN:$AN,CurrentMonthAgingData!$BC:$BC,"=8",CurrentMonthAgingData!$A:$A,"=Procedure",CurrentMonthAgingData!$BF:$BF,"&lt;"&amp;0,CurrentMonthAgingData!$AP:$AP,$B28,CurrentMonthAgingData!$BA:$BA,$C$2)</f>
        <v>0</v>
      </c>
      <c r="L28" s="2">
        <f>SUM(D28:K28)</f>
        <v>0</v>
      </c>
      <c r="N28" s="123"/>
      <c r="P28" s="32"/>
    </row>
    <row r="29" spans="1:16" x14ac:dyDescent="0.25">
      <c r="B29" t="s">
        <v>259</v>
      </c>
      <c r="C29" s="1" t="s">
        <v>8</v>
      </c>
      <c r="D29" s="112">
        <f>SUMIFS(CurrentMonthAgingData!$AN:$AN,CurrentMonthAgingData!$BC:$BC,"=1",CurrentMonthAgingData!$A:$A,"=Procedure",CurrentMonthAgingData!$BF:$BF,"&lt;"&amp;0,CurrentMonthAgingData!$AP:$AP,$B29,CurrentMonthAgingData!$BA:$BA,$C$2)</f>
        <v>0</v>
      </c>
      <c r="E29" s="112">
        <f>SUMIFS(CurrentMonthAgingData!$AN:$AN,CurrentMonthAgingData!$BC:$BC,"=1",CurrentMonthAgingData!$A:$A,"=Procedure",CurrentMonthAgingData!$BF:$BF,"&lt;"&amp;0,CurrentMonthAgingData!$AP:$AP,$B29,CurrentMonthAgingData!$BA:$BA,$C$2)</f>
        <v>0</v>
      </c>
      <c r="F29" s="112">
        <f>SUMIFS(CurrentMonthAgingData!$AN:$AN,CurrentMonthAgingData!$BC:$BC,"=1",CurrentMonthAgingData!$A:$A,"=Procedure",CurrentMonthAgingData!$BF:$BF,"&lt;"&amp;0,CurrentMonthAgingData!$AP:$AP,$B29,CurrentMonthAgingData!$BA:$BA,$C$2)</f>
        <v>0</v>
      </c>
      <c r="G29" s="112">
        <f>SUMIFS(CurrentMonthAgingData!$AN:$AN,CurrentMonthAgingData!$BC:$BC,"=1",CurrentMonthAgingData!$A:$A,"=Procedure",CurrentMonthAgingData!$BF:$BF,"&lt;"&amp;0,CurrentMonthAgingData!$AP:$AP,$B29,CurrentMonthAgingData!$BA:$BA,$C$2)</f>
        <v>0</v>
      </c>
      <c r="H29" s="112">
        <f>SUMIFS(CurrentMonthAgingData!$AN:$AN,CurrentMonthAgingData!$BC:$BC,"=1",CurrentMonthAgingData!$A:$A,"=Procedure",CurrentMonthAgingData!$BF:$BF,"&lt;"&amp;0,CurrentMonthAgingData!$AP:$AP,$B29,CurrentMonthAgingData!$BA:$BA,$C$2)</f>
        <v>0</v>
      </c>
      <c r="I29" s="112">
        <f>SUMIFS(CurrentMonthAgingData!$AN:$AN,CurrentMonthAgingData!$BC:$BC,"=1",CurrentMonthAgingData!$A:$A,"=Procedure",CurrentMonthAgingData!$BF:$BF,"&lt;"&amp;0,CurrentMonthAgingData!$AP:$AP,$B29,CurrentMonthAgingData!$BA:$BA,$C$2)</f>
        <v>0</v>
      </c>
      <c r="J29" s="112">
        <f>SUMIFS(CurrentMonthAgingData!$AN:$AN,CurrentMonthAgingData!$BC:$BC,"=1",CurrentMonthAgingData!$A:$A,"=Procedure",CurrentMonthAgingData!$BF:$BF,"&lt;"&amp;0,CurrentMonthAgingData!$AP:$AP,$B29,CurrentMonthAgingData!$BA:$BA,$C$2)</f>
        <v>0</v>
      </c>
      <c r="K29" s="112">
        <f>SUMIFS(CurrentMonthAgingData!$AN:$AN,CurrentMonthAgingData!$BC:$BC,"=8",CurrentMonthAgingData!$A:$A,"=Procedure",CurrentMonthAgingData!$BF:$BF,"&lt;"&amp;0,CurrentMonthAgingData!$AP:$AP,$B29,CurrentMonthAgingData!$BA:$BA,$C$2)</f>
        <v>-215</v>
      </c>
      <c r="L29" s="2">
        <f t="shared" ref="L29:L44" si="2">SUM(D29:K29)</f>
        <v>-215</v>
      </c>
      <c r="N29" s="123"/>
      <c r="P29" s="32"/>
    </row>
    <row r="30" spans="1:16" x14ac:dyDescent="0.25">
      <c r="B30" t="s">
        <v>265</v>
      </c>
      <c r="C30" s="1" t="s">
        <v>7</v>
      </c>
      <c r="D30" s="112">
        <f>SUMIFS(CurrentMonthAgingData!$AN:$AN,CurrentMonthAgingData!$BC:$BC,"=1",CurrentMonthAgingData!$A:$A,"=Procedure",CurrentMonthAgingData!$BF:$BF,"&lt;"&amp;0,CurrentMonthAgingData!$AP:$AP,$B30,CurrentMonthAgingData!$BA:$BA,$C$2)</f>
        <v>0</v>
      </c>
      <c r="E30" s="112">
        <f>SUMIFS(CurrentMonthAgingData!$AN:$AN,CurrentMonthAgingData!$BC:$BC,"=1",CurrentMonthAgingData!$A:$A,"=Procedure",CurrentMonthAgingData!$BF:$BF,"&lt;"&amp;0,CurrentMonthAgingData!$AP:$AP,$B30,CurrentMonthAgingData!$BA:$BA,$C$2)</f>
        <v>0</v>
      </c>
      <c r="F30" s="112">
        <f>SUMIFS(CurrentMonthAgingData!$AN:$AN,CurrentMonthAgingData!$BC:$BC,"=1",CurrentMonthAgingData!$A:$A,"=Procedure",CurrentMonthAgingData!$BF:$BF,"&lt;"&amp;0,CurrentMonthAgingData!$AP:$AP,$B30,CurrentMonthAgingData!$BA:$BA,$C$2)</f>
        <v>0</v>
      </c>
      <c r="G30" s="112">
        <f>SUMIFS(CurrentMonthAgingData!$AN:$AN,CurrentMonthAgingData!$BC:$BC,"=1",CurrentMonthAgingData!$A:$A,"=Procedure",CurrentMonthAgingData!$BF:$BF,"&lt;"&amp;0,CurrentMonthAgingData!$AP:$AP,$B30,CurrentMonthAgingData!$BA:$BA,$C$2)</f>
        <v>0</v>
      </c>
      <c r="H30" s="112">
        <f>SUMIFS(CurrentMonthAgingData!$AN:$AN,CurrentMonthAgingData!$BC:$BC,"=1",CurrentMonthAgingData!$A:$A,"=Procedure",CurrentMonthAgingData!$BF:$BF,"&lt;"&amp;0,CurrentMonthAgingData!$AP:$AP,$B30,CurrentMonthAgingData!$BA:$BA,$C$2)</f>
        <v>0</v>
      </c>
      <c r="I30" s="112">
        <f>SUMIFS(CurrentMonthAgingData!$AN:$AN,CurrentMonthAgingData!$BC:$BC,"=1",CurrentMonthAgingData!$A:$A,"=Procedure",CurrentMonthAgingData!$BF:$BF,"&lt;"&amp;0,CurrentMonthAgingData!$AP:$AP,$B30,CurrentMonthAgingData!$BA:$BA,$C$2)</f>
        <v>0</v>
      </c>
      <c r="J30" s="112">
        <f>SUMIFS(CurrentMonthAgingData!$AN:$AN,CurrentMonthAgingData!$BC:$BC,"=1",CurrentMonthAgingData!$A:$A,"=Procedure",CurrentMonthAgingData!$BF:$BF,"&lt;"&amp;0,CurrentMonthAgingData!$AP:$AP,$B30,CurrentMonthAgingData!$BA:$BA,$C$2)</f>
        <v>0</v>
      </c>
      <c r="K30" s="112">
        <f>SUMIFS(CurrentMonthAgingData!$AN:$AN,CurrentMonthAgingData!$BC:$BC,"=8",CurrentMonthAgingData!$A:$A,"=Procedure",CurrentMonthAgingData!$BF:$BF,"&lt;"&amp;0,CurrentMonthAgingData!$AP:$AP,$B30,CurrentMonthAgingData!$BA:$BA,$C$2)</f>
        <v>0</v>
      </c>
      <c r="L30" s="2">
        <f t="shared" si="2"/>
        <v>0</v>
      </c>
      <c r="N30" s="123"/>
      <c r="P30" s="32"/>
    </row>
    <row r="31" spans="1:16" x14ac:dyDescent="0.25">
      <c r="B31" t="s">
        <v>471</v>
      </c>
      <c r="C31" s="1" t="s">
        <v>42</v>
      </c>
      <c r="D31" s="112">
        <f>SUMIFS(CurrentMonthAgingData!$AN:$AN,CurrentMonthAgingData!$BC:$BC,"=1",CurrentMonthAgingData!$A:$A,"=Procedure",CurrentMonthAgingData!$BF:$BF,"&lt;"&amp;0,CurrentMonthAgingData!$AP:$AP,$B31,CurrentMonthAgingData!$BA:$BA,$C$2)</f>
        <v>0</v>
      </c>
      <c r="E31" s="112">
        <f>SUMIFS(CurrentMonthAgingData!$AN:$AN,CurrentMonthAgingData!$BC:$BC,"=1",CurrentMonthAgingData!$A:$A,"=Procedure",CurrentMonthAgingData!$BF:$BF,"&lt;"&amp;0,CurrentMonthAgingData!$AP:$AP,$B31,CurrentMonthAgingData!$BA:$BA,$C$2)</f>
        <v>0</v>
      </c>
      <c r="F31" s="112">
        <f>SUMIFS(CurrentMonthAgingData!$AN:$AN,CurrentMonthAgingData!$BC:$BC,"=1",CurrentMonthAgingData!$A:$A,"=Procedure",CurrentMonthAgingData!$BF:$BF,"&lt;"&amp;0,CurrentMonthAgingData!$AP:$AP,$B31,CurrentMonthAgingData!$BA:$BA,$C$2)</f>
        <v>0</v>
      </c>
      <c r="G31" s="112">
        <f>SUMIFS(CurrentMonthAgingData!$AN:$AN,CurrentMonthAgingData!$BC:$BC,"=1",CurrentMonthAgingData!$A:$A,"=Procedure",CurrentMonthAgingData!$BF:$BF,"&lt;"&amp;0,CurrentMonthAgingData!$AP:$AP,$B31,CurrentMonthAgingData!$BA:$BA,$C$2)</f>
        <v>0</v>
      </c>
      <c r="H31" s="112">
        <f>SUMIFS(CurrentMonthAgingData!$AN:$AN,CurrentMonthAgingData!$BC:$BC,"=1",CurrentMonthAgingData!$A:$A,"=Procedure",CurrentMonthAgingData!$BF:$BF,"&lt;"&amp;0,CurrentMonthAgingData!$AP:$AP,$B31,CurrentMonthAgingData!$BA:$BA,$C$2)</f>
        <v>0</v>
      </c>
      <c r="I31" s="112">
        <f>SUMIFS(CurrentMonthAgingData!$AN:$AN,CurrentMonthAgingData!$BC:$BC,"=1",CurrentMonthAgingData!$A:$A,"=Procedure",CurrentMonthAgingData!$BF:$BF,"&lt;"&amp;0,CurrentMonthAgingData!$AP:$AP,$B31,CurrentMonthAgingData!$BA:$BA,$C$2)</f>
        <v>0</v>
      </c>
      <c r="J31" s="112">
        <f>SUMIFS(CurrentMonthAgingData!$AN:$AN,CurrentMonthAgingData!$BC:$BC,"=1",CurrentMonthAgingData!$A:$A,"=Procedure",CurrentMonthAgingData!$BF:$BF,"&lt;"&amp;0,CurrentMonthAgingData!$AP:$AP,$B31,CurrentMonthAgingData!$BA:$BA,$C$2)</f>
        <v>0</v>
      </c>
      <c r="K31" s="112">
        <f>SUMIFS(CurrentMonthAgingData!$AN:$AN,CurrentMonthAgingData!$BC:$BC,"=8",CurrentMonthAgingData!$A:$A,"=Procedure",CurrentMonthAgingData!$BF:$BF,"&lt;"&amp;0,CurrentMonthAgingData!$AP:$AP,$B31,CurrentMonthAgingData!$BA:$BA,$C$2)</f>
        <v>0</v>
      </c>
      <c r="L31" s="2">
        <f t="shared" si="2"/>
        <v>0</v>
      </c>
      <c r="N31" s="123"/>
      <c r="P31" s="32"/>
    </row>
    <row r="32" spans="1:16" x14ac:dyDescent="0.25">
      <c r="A32" t="s">
        <v>332</v>
      </c>
      <c r="B32" t="s">
        <v>260</v>
      </c>
      <c r="C32" s="1" t="s">
        <v>6</v>
      </c>
      <c r="D32" s="112">
        <f>SUMIFS(CurrentMonthAgingData!$AN:$AN,CurrentMonthAgingData!$BC:$BC,"=1",CurrentMonthAgingData!$A:$A,"=Procedure",CurrentMonthAgingData!$BF:$BF,"&lt;"&amp;0,CurrentMonthAgingData!$AP:$AP,$B32,CurrentMonthAgingData!$BA:$BA,$C$2)+SUMIFS(CurrentMonthAgingData!$AN:$AN,CurrentMonthAgingData!$BC:$BC,"=1",CurrentMonthAgingData!$A:$A,"=Procedure",CurrentMonthAgingData!$BF:$BF,"&lt;"&amp;0,CurrentMonthAgingData!$AP:$AP,$A32,CurrentMonthAgingData!$BA:$BA,$C$2)</f>
        <v>0</v>
      </c>
      <c r="E32" s="112">
        <f>SUMIFS(CurrentMonthAgingData!$AN:$AN,CurrentMonthAgingData!$BC:$BC,"=2",CurrentMonthAgingData!$A:$A,"=Procedure",CurrentMonthAgingData!$BF:$BF,"&lt;"&amp;0,CurrentMonthAgingData!$AP:$AP,$B32,CurrentMonthAgingData!$BA:$BA,$C$2)+SUMIFS(CurrentMonthAgingData!$AN:$AN,CurrentMonthAgingData!$BC:$BC,"=2",CurrentMonthAgingData!$A:$A,"=Procedure",CurrentMonthAgingData!$BF:$BF,"&lt;"&amp;0,CurrentMonthAgingData!$AP:$AP,$A32,CurrentMonthAgingData!$BA:$BA,$C$2)</f>
        <v>0</v>
      </c>
      <c r="F32" s="112">
        <f>SUMIFS(CurrentMonthAgingData!$AN:$AN,CurrentMonthAgingData!$BC:$BC,"=3",CurrentMonthAgingData!$A:$A,"=Procedure",CurrentMonthAgingData!$BF:$BF,"&lt;"&amp;0,CurrentMonthAgingData!$AP:$AP,$B32,CurrentMonthAgingData!$BA:$BA,$C$2)+SUMIFS(CurrentMonthAgingData!$AN:$AN,CurrentMonthAgingData!$BC:$BC,"=3",CurrentMonthAgingData!$A:$A,"=Procedure",CurrentMonthAgingData!$BF:$BF,"&lt;"&amp;0,CurrentMonthAgingData!$AP:$AP,$A32,CurrentMonthAgingData!$BA:$BA,$C$2)</f>
        <v>0</v>
      </c>
      <c r="G32" s="112">
        <f>SUMIFS(CurrentMonthAgingData!$AN:$AN,CurrentMonthAgingData!$BC:$BC,"=4",CurrentMonthAgingData!$A:$A,"=Procedure",CurrentMonthAgingData!$BF:$BF,"&lt;"&amp;0,CurrentMonthAgingData!$AP:$AP,$B32,CurrentMonthAgingData!$BA:$BA,$C$2)+SUMIFS(CurrentMonthAgingData!$AN:$AN,CurrentMonthAgingData!$BC:$BC,"=4",CurrentMonthAgingData!$A:$A,"=Procedure",CurrentMonthAgingData!$BF:$BF,"&lt;"&amp;0,CurrentMonthAgingData!$AP:$AP,$A32,CurrentMonthAgingData!$BA:$BA,$C$2)</f>
        <v>0</v>
      </c>
      <c r="H32" s="112">
        <f>SUMIFS(CurrentMonthAgingData!$AN:$AN,CurrentMonthAgingData!$BC:$BC,"=5",CurrentMonthAgingData!$A:$A,"=Procedure",CurrentMonthAgingData!$BF:$BF,"&lt;"&amp;0,CurrentMonthAgingData!$AP:$AP,$B32,CurrentMonthAgingData!$BA:$BA,$C$2)+SUMIFS(CurrentMonthAgingData!$AN:$AN,CurrentMonthAgingData!$BC:$BC,"=5",CurrentMonthAgingData!$A:$A,"=Procedure",CurrentMonthAgingData!$BF:$BF,"&lt;"&amp;0,CurrentMonthAgingData!$AP:$AP,$A32,CurrentMonthAgingData!$BA:$BA,$C$2)</f>
        <v>0</v>
      </c>
      <c r="I32" s="112">
        <f>SUMIFS(CurrentMonthAgingData!$AN:$AN,CurrentMonthAgingData!$BC:$BC,"=6",CurrentMonthAgingData!$A:$A,"=Procedure",CurrentMonthAgingData!$BF:$BF,"&lt;"&amp;0,CurrentMonthAgingData!$AP:$AP,$B32,CurrentMonthAgingData!$BA:$BA,$C$2)+SUMIFS(CurrentMonthAgingData!$AN:$AN,CurrentMonthAgingData!$BC:$BC,"=6",CurrentMonthAgingData!$A:$A,"=Procedure",CurrentMonthAgingData!$BF:$BF,"&lt;"&amp;0,CurrentMonthAgingData!$AP:$AP,$A32,CurrentMonthAgingData!$BA:$BA,$C$2)</f>
        <v>0</v>
      </c>
      <c r="J32" s="112">
        <f>SUMIFS(CurrentMonthAgingData!$AN:$AN,CurrentMonthAgingData!$BC:$BC,"=7",CurrentMonthAgingData!$A:$A,"=Procedure",CurrentMonthAgingData!$BF:$BF,"&lt;"&amp;0,CurrentMonthAgingData!$AP:$AP,$B32,CurrentMonthAgingData!$BA:$BA,$C$2)+SUMIFS(CurrentMonthAgingData!$AN:$AN,CurrentMonthAgingData!$BC:$BC,"=7",CurrentMonthAgingData!$A:$A,"=Procedure",CurrentMonthAgingData!$BF:$BF,"&lt;"&amp;0,CurrentMonthAgingData!$AP:$AP,$A32,CurrentMonthAgingData!$BA:$BA,$C$2)</f>
        <v>0</v>
      </c>
      <c r="K32" s="112">
        <f>SUMIFS(CurrentMonthAgingData!$AN:$AN,CurrentMonthAgingData!$BC:$BC,"=8",CurrentMonthAgingData!$A:$A,"=Procedure",CurrentMonthAgingData!$BF:$BF,"&lt;"&amp;0,CurrentMonthAgingData!$AP:$AP,$B32,CurrentMonthAgingData!$BA:$BA,$C$2)+SUMIFS(CurrentMonthAgingData!$AN:$AN,CurrentMonthAgingData!$BC:$BC,"=8",CurrentMonthAgingData!$A:$A,"=Procedure",CurrentMonthAgingData!$BF:$BF,"&lt;"&amp;0,CurrentMonthAgingData!$AP:$AP,$A32,CurrentMonthAgingData!$BA:$BA,$C$2)</f>
        <v>-344.89999999999992</v>
      </c>
      <c r="L32" s="2">
        <f t="shared" si="2"/>
        <v>-344.89999999999992</v>
      </c>
      <c r="N32" s="123"/>
      <c r="P32" s="32"/>
    </row>
    <row r="33" spans="2:16" x14ac:dyDescent="0.25">
      <c r="B33" t="s">
        <v>445</v>
      </c>
      <c r="C33" s="1" t="s">
        <v>50</v>
      </c>
      <c r="D33" s="112">
        <f>SUMIFS(CurrentMonthAgingData!$AN:$AN,CurrentMonthAgingData!$BC:$BC,"=1",CurrentMonthAgingData!$A:$A,"=Procedure",CurrentMonthAgingData!$BF:$BF,"&lt;"&amp;0,CurrentMonthAgingData!$AP:$AP,$B33,CurrentMonthAgingData!$BA:$BA,$C$2)</f>
        <v>0</v>
      </c>
      <c r="E33" s="112">
        <f>SUMIFS(CurrentMonthAgingData!$AN:$AN,CurrentMonthAgingData!$BC:$BC,"=1",CurrentMonthAgingData!$A:$A,"=Procedure",CurrentMonthAgingData!$BF:$BF,"&lt;"&amp;0,CurrentMonthAgingData!$AP:$AP,$B33,CurrentMonthAgingData!$BA:$BA,$C$2)</f>
        <v>0</v>
      </c>
      <c r="F33" s="112">
        <f>SUMIFS(CurrentMonthAgingData!$AN:$AN,CurrentMonthAgingData!$BC:$BC,"=1",CurrentMonthAgingData!$A:$A,"=Procedure",CurrentMonthAgingData!$BF:$BF,"&lt;"&amp;0,CurrentMonthAgingData!$AP:$AP,$B33,CurrentMonthAgingData!$BA:$BA,$C$2)</f>
        <v>0</v>
      </c>
      <c r="G33" s="112">
        <f>SUMIFS(CurrentMonthAgingData!$AN:$AN,CurrentMonthAgingData!$BC:$BC,"=1",CurrentMonthAgingData!$A:$A,"=Procedure",CurrentMonthAgingData!$BF:$BF,"&lt;"&amp;0,CurrentMonthAgingData!$AP:$AP,$B33,CurrentMonthAgingData!$BA:$BA,$C$2)</f>
        <v>0</v>
      </c>
      <c r="H33" s="112">
        <f>SUMIFS(CurrentMonthAgingData!$AN:$AN,CurrentMonthAgingData!$BC:$BC,"=1",CurrentMonthAgingData!$A:$A,"=Procedure",CurrentMonthAgingData!$BF:$BF,"&lt;"&amp;0,CurrentMonthAgingData!$AP:$AP,$B33,CurrentMonthAgingData!$BA:$BA,$C$2)</f>
        <v>0</v>
      </c>
      <c r="I33" s="112">
        <f>SUMIFS(CurrentMonthAgingData!$AN:$AN,CurrentMonthAgingData!$BC:$BC,"=1",CurrentMonthAgingData!$A:$A,"=Procedure",CurrentMonthAgingData!$BF:$BF,"&lt;"&amp;0,CurrentMonthAgingData!$AP:$AP,$B33,CurrentMonthAgingData!$BA:$BA,$C$2)</f>
        <v>0</v>
      </c>
      <c r="J33" s="112">
        <f>SUMIFS(CurrentMonthAgingData!$AN:$AN,CurrentMonthAgingData!$BC:$BC,"=1",CurrentMonthAgingData!$A:$A,"=Procedure",CurrentMonthAgingData!$BF:$BF,"&lt;"&amp;0,CurrentMonthAgingData!$AP:$AP,$B33,CurrentMonthAgingData!$BA:$BA,$C$2)</f>
        <v>0</v>
      </c>
      <c r="K33" s="112">
        <f>SUMIFS(CurrentMonthAgingData!$AN:$AN,CurrentMonthAgingData!$BC:$BC,"=8",CurrentMonthAgingData!$A:$A,"=Procedure",CurrentMonthAgingData!$BF:$BF,"&lt;"&amp;0,CurrentMonthAgingData!$AP:$AP,$B33,CurrentMonthAgingData!$BA:$BA,$C$2)</f>
        <v>0</v>
      </c>
      <c r="L33" s="2">
        <f t="shared" si="2"/>
        <v>0</v>
      </c>
      <c r="N33" s="123"/>
      <c r="P33" s="32"/>
    </row>
    <row r="34" spans="2:16" x14ac:dyDescent="0.25">
      <c r="B34" t="s">
        <v>472</v>
      </c>
      <c r="C34" s="1" t="s">
        <v>89</v>
      </c>
      <c r="D34" s="112">
        <f>SUMIFS(CurrentMonthAgingData!$AN:$AN,CurrentMonthAgingData!$BC:$BC,"=1",CurrentMonthAgingData!$A:$A,"=Procedure",CurrentMonthAgingData!$BF:$BF,"&lt;"&amp;0,CurrentMonthAgingData!$AP:$AP,$B34,CurrentMonthAgingData!$BA:$BA,$C$2)</f>
        <v>0</v>
      </c>
      <c r="E34" s="112">
        <f>SUMIFS(CurrentMonthAgingData!$AN:$AN,CurrentMonthAgingData!$BC:$BC,"=1",CurrentMonthAgingData!$A:$A,"=Procedure",CurrentMonthAgingData!$BF:$BF,"&lt;"&amp;0,CurrentMonthAgingData!$AP:$AP,$B34,CurrentMonthAgingData!$BA:$BA,$C$2)</f>
        <v>0</v>
      </c>
      <c r="F34" s="112">
        <f>SUMIFS(CurrentMonthAgingData!$AN:$AN,CurrentMonthAgingData!$BC:$BC,"=1",CurrentMonthAgingData!$A:$A,"=Procedure",CurrentMonthAgingData!$BF:$BF,"&lt;"&amp;0,CurrentMonthAgingData!$AP:$AP,$B34,CurrentMonthAgingData!$BA:$BA,$C$2)</f>
        <v>0</v>
      </c>
      <c r="G34" s="112">
        <f>SUMIFS(CurrentMonthAgingData!$AN:$AN,CurrentMonthAgingData!$BC:$BC,"=1",CurrentMonthAgingData!$A:$A,"=Procedure",CurrentMonthAgingData!$BF:$BF,"&lt;"&amp;0,CurrentMonthAgingData!$AP:$AP,$B34,CurrentMonthAgingData!$BA:$BA,$C$2)</f>
        <v>0</v>
      </c>
      <c r="H34" s="112">
        <f>SUMIFS(CurrentMonthAgingData!$AN:$AN,CurrentMonthAgingData!$BC:$BC,"=1",CurrentMonthAgingData!$A:$A,"=Procedure",CurrentMonthAgingData!$BF:$BF,"&lt;"&amp;0,CurrentMonthAgingData!$AP:$AP,$B34,CurrentMonthAgingData!$BA:$BA,$C$2)</f>
        <v>0</v>
      </c>
      <c r="I34" s="112">
        <f>SUMIFS(CurrentMonthAgingData!$AN:$AN,CurrentMonthAgingData!$BC:$BC,"=1",CurrentMonthAgingData!$A:$A,"=Procedure",CurrentMonthAgingData!$BF:$BF,"&lt;"&amp;0,CurrentMonthAgingData!$AP:$AP,$B34,CurrentMonthAgingData!$BA:$BA,$C$2)</f>
        <v>0</v>
      </c>
      <c r="J34" s="112">
        <f>SUMIFS(CurrentMonthAgingData!$AN:$AN,CurrentMonthAgingData!$BC:$BC,"=1",CurrentMonthAgingData!$A:$A,"=Procedure",CurrentMonthAgingData!$BF:$BF,"&lt;"&amp;0,CurrentMonthAgingData!$AP:$AP,$B34,CurrentMonthAgingData!$BA:$BA,$C$2)</f>
        <v>0</v>
      </c>
      <c r="K34" s="112">
        <f>SUMIFS(CurrentMonthAgingData!$AN:$AN,CurrentMonthAgingData!$BC:$BC,"=8",CurrentMonthAgingData!$A:$A,"=Procedure",CurrentMonthAgingData!$BF:$BF,"&lt;"&amp;0,CurrentMonthAgingData!$AP:$AP,$B34,CurrentMonthAgingData!$BA:$BA,$C$2)</f>
        <v>0</v>
      </c>
      <c r="L34" s="2">
        <f t="shared" si="2"/>
        <v>0</v>
      </c>
      <c r="N34" s="123"/>
      <c r="P34" s="32"/>
    </row>
    <row r="35" spans="2:16" x14ac:dyDescent="0.25">
      <c r="B35" t="s">
        <v>473</v>
      </c>
      <c r="C35" s="1" t="s">
        <v>5</v>
      </c>
      <c r="D35" s="112">
        <f>SUMIFS(CurrentMonthAgingData!$AN:$AN,CurrentMonthAgingData!$BC:$BC,"=1",CurrentMonthAgingData!$A:$A,"=Procedure",CurrentMonthAgingData!$BF:$BF,"&lt;"&amp;0,CurrentMonthAgingData!$AP:$AP,$B35,CurrentMonthAgingData!$BA:$BA,$C$2)</f>
        <v>0</v>
      </c>
      <c r="E35" s="112">
        <f>SUMIFS(CurrentMonthAgingData!$AN:$AN,CurrentMonthAgingData!$BC:$BC,"=1",CurrentMonthAgingData!$A:$A,"=Procedure",CurrentMonthAgingData!$BF:$BF,"&lt;"&amp;0,CurrentMonthAgingData!$AP:$AP,$B35,CurrentMonthAgingData!$BA:$BA,$C$2)</f>
        <v>0</v>
      </c>
      <c r="F35" s="112">
        <f>SUMIFS(CurrentMonthAgingData!$AN:$AN,CurrentMonthAgingData!$BC:$BC,"=1",CurrentMonthAgingData!$A:$A,"=Procedure",CurrentMonthAgingData!$BF:$BF,"&lt;"&amp;0,CurrentMonthAgingData!$AP:$AP,$B35,CurrentMonthAgingData!$BA:$BA,$C$2)</f>
        <v>0</v>
      </c>
      <c r="G35" s="112">
        <f>SUMIFS(CurrentMonthAgingData!$AN:$AN,CurrentMonthAgingData!$BC:$BC,"=1",CurrentMonthAgingData!$A:$A,"=Procedure",CurrentMonthAgingData!$BF:$BF,"&lt;"&amp;0,CurrentMonthAgingData!$AP:$AP,$B35,CurrentMonthAgingData!$BA:$BA,$C$2)</f>
        <v>0</v>
      </c>
      <c r="H35" s="112">
        <f>SUMIFS(CurrentMonthAgingData!$AN:$AN,CurrentMonthAgingData!$BC:$BC,"=1",CurrentMonthAgingData!$A:$A,"=Procedure",CurrentMonthAgingData!$BF:$BF,"&lt;"&amp;0,CurrentMonthAgingData!$AP:$AP,$B35,CurrentMonthAgingData!$BA:$BA,$C$2)</f>
        <v>0</v>
      </c>
      <c r="I35" s="112">
        <f>SUMIFS(CurrentMonthAgingData!$AN:$AN,CurrentMonthAgingData!$BC:$BC,"=1",CurrentMonthAgingData!$A:$A,"=Procedure",CurrentMonthAgingData!$BF:$BF,"&lt;"&amp;0,CurrentMonthAgingData!$AP:$AP,$B35,CurrentMonthAgingData!$BA:$BA,$C$2)</f>
        <v>0</v>
      </c>
      <c r="J35" s="112">
        <f>SUMIFS(CurrentMonthAgingData!$AN:$AN,CurrentMonthAgingData!$BC:$BC,"=1",CurrentMonthAgingData!$A:$A,"=Procedure",CurrentMonthAgingData!$BF:$BF,"&lt;"&amp;0,CurrentMonthAgingData!$AP:$AP,$B35,CurrentMonthAgingData!$BA:$BA,$C$2)</f>
        <v>0</v>
      </c>
      <c r="K35" s="112">
        <f>SUMIFS(CurrentMonthAgingData!$AN:$AN,CurrentMonthAgingData!$BC:$BC,"=8",CurrentMonthAgingData!$A:$A,"=Procedure",CurrentMonthAgingData!$BF:$BF,"&lt;"&amp;0,CurrentMonthAgingData!$AP:$AP,$B35,CurrentMonthAgingData!$BA:$BA,$C$2)</f>
        <v>0</v>
      </c>
      <c r="L35" s="2">
        <f t="shared" si="2"/>
        <v>0</v>
      </c>
      <c r="N35" s="123"/>
      <c r="P35" s="32"/>
    </row>
    <row r="36" spans="2:16" x14ac:dyDescent="0.25">
      <c r="B36" t="s">
        <v>402</v>
      </c>
      <c r="C36" s="1" t="s">
        <v>84</v>
      </c>
      <c r="D36" s="112">
        <f>SUMIFS(CurrentMonthAgingData!$AN:$AN,CurrentMonthAgingData!$BC:$BC,"=1",CurrentMonthAgingData!$A:$A,"=Procedure",CurrentMonthAgingData!$BF:$BF,"&lt;"&amp;0,CurrentMonthAgingData!$AP:$AP,$B36,CurrentMonthAgingData!$BA:$BA,$C$2)</f>
        <v>0</v>
      </c>
      <c r="E36" s="112">
        <f>SUMIFS(CurrentMonthAgingData!$AN:$AN,CurrentMonthAgingData!$BC:$BC,"=1",CurrentMonthAgingData!$A:$A,"=Procedure",CurrentMonthAgingData!$BF:$BF,"&lt;"&amp;0,CurrentMonthAgingData!$AP:$AP,$B36,CurrentMonthAgingData!$BA:$BA,$C$2)</f>
        <v>0</v>
      </c>
      <c r="F36" s="112">
        <f>SUMIFS(CurrentMonthAgingData!$AN:$AN,CurrentMonthAgingData!$BC:$BC,"=1",CurrentMonthAgingData!$A:$A,"=Procedure",CurrentMonthAgingData!$BF:$BF,"&lt;"&amp;0,CurrentMonthAgingData!$AP:$AP,$B36,CurrentMonthAgingData!$BA:$BA,$C$2)</f>
        <v>0</v>
      </c>
      <c r="G36" s="112">
        <f>SUMIFS(CurrentMonthAgingData!$AN:$AN,CurrentMonthAgingData!$BC:$BC,"=1",CurrentMonthAgingData!$A:$A,"=Procedure",CurrentMonthAgingData!$BF:$BF,"&lt;"&amp;0,CurrentMonthAgingData!$AP:$AP,$B36,CurrentMonthAgingData!$BA:$BA,$C$2)</f>
        <v>0</v>
      </c>
      <c r="H36" s="112">
        <f>SUMIFS(CurrentMonthAgingData!$AN:$AN,CurrentMonthAgingData!$BC:$BC,"=1",CurrentMonthAgingData!$A:$A,"=Procedure",CurrentMonthAgingData!$BF:$BF,"&lt;"&amp;0,CurrentMonthAgingData!$AP:$AP,$B36,CurrentMonthAgingData!$BA:$BA,$C$2)</f>
        <v>0</v>
      </c>
      <c r="I36" s="112">
        <f>SUMIFS(CurrentMonthAgingData!$AN:$AN,CurrentMonthAgingData!$BC:$BC,"=1",CurrentMonthAgingData!$A:$A,"=Procedure",CurrentMonthAgingData!$BF:$BF,"&lt;"&amp;0,CurrentMonthAgingData!$AP:$AP,$B36,CurrentMonthAgingData!$BA:$BA,$C$2)</f>
        <v>0</v>
      </c>
      <c r="J36" s="112">
        <f>SUMIFS(CurrentMonthAgingData!$AN:$AN,CurrentMonthAgingData!$BC:$BC,"=1",CurrentMonthAgingData!$A:$A,"=Procedure",CurrentMonthAgingData!$BF:$BF,"&lt;"&amp;0,CurrentMonthAgingData!$AP:$AP,$B36,CurrentMonthAgingData!$BA:$BA,$C$2)</f>
        <v>0</v>
      </c>
      <c r="K36" s="112">
        <f>SUMIFS(CurrentMonthAgingData!$AN:$AN,CurrentMonthAgingData!$BC:$BC,"=8",CurrentMonthAgingData!$A:$A,"=Procedure",CurrentMonthAgingData!$BF:$BF,"&lt;"&amp;0,CurrentMonthAgingData!$AP:$AP,$B36,CurrentMonthAgingData!$BA:$BA,$C$2)</f>
        <v>0</v>
      </c>
      <c r="L36" s="2">
        <f t="shared" si="2"/>
        <v>0</v>
      </c>
      <c r="N36" s="123"/>
      <c r="P36" s="32"/>
    </row>
    <row r="37" spans="2:16" x14ac:dyDescent="0.25">
      <c r="B37" t="s">
        <v>261</v>
      </c>
      <c r="C37" s="1" t="s">
        <v>4</v>
      </c>
      <c r="D37" s="112">
        <f>SUMIFS(CurrentMonthAgingData!$AN:$AN,CurrentMonthAgingData!$BC:$BC,"=1",CurrentMonthAgingData!$A:$A,"=Procedure",CurrentMonthAgingData!$BF:$BF,"&lt;"&amp;0,CurrentMonthAgingData!$AP:$AP,$B37,CurrentMonthAgingData!$BA:$BA,$C$2)</f>
        <v>0</v>
      </c>
      <c r="E37" s="112">
        <f>SUMIFS(CurrentMonthAgingData!$AN:$AN,CurrentMonthAgingData!$BC:$BC,"=1",CurrentMonthAgingData!$A:$A,"=Procedure",CurrentMonthAgingData!$BF:$BF,"&lt;"&amp;0,CurrentMonthAgingData!$AP:$AP,$B37,CurrentMonthAgingData!$BA:$BA,$C$2)</f>
        <v>0</v>
      </c>
      <c r="F37" s="112">
        <f>SUMIFS(CurrentMonthAgingData!$AN:$AN,CurrentMonthAgingData!$BC:$BC,"=1",CurrentMonthAgingData!$A:$A,"=Procedure",CurrentMonthAgingData!$BF:$BF,"&lt;"&amp;0,CurrentMonthAgingData!$AP:$AP,$B37,CurrentMonthAgingData!$BA:$BA,$C$2)</f>
        <v>0</v>
      </c>
      <c r="G37" s="112">
        <f>SUMIFS(CurrentMonthAgingData!$AN:$AN,CurrentMonthAgingData!$BC:$BC,"=1",CurrentMonthAgingData!$A:$A,"=Procedure",CurrentMonthAgingData!$BF:$BF,"&lt;"&amp;0,CurrentMonthAgingData!$AP:$AP,$B37,CurrentMonthAgingData!$BA:$BA,$C$2)</f>
        <v>0</v>
      </c>
      <c r="H37" s="112">
        <f>SUMIFS(CurrentMonthAgingData!$AN:$AN,CurrentMonthAgingData!$BC:$BC,"=1",CurrentMonthAgingData!$A:$A,"=Procedure",CurrentMonthAgingData!$BF:$BF,"&lt;"&amp;0,CurrentMonthAgingData!$AP:$AP,$B37,CurrentMonthAgingData!$BA:$BA,$C$2)</f>
        <v>0</v>
      </c>
      <c r="I37" s="112">
        <f>SUMIFS(CurrentMonthAgingData!$AN:$AN,CurrentMonthAgingData!$BC:$BC,"=1",CurrentMonthAgingData!$A:$A,"=Procedure",CurrentMonthAgingData!$BF:$BF,"&lt;"&amp;0,CurrentMonthAgingData!$AP:$AP,$B37,CurrentMonthAgingData!$BA:$BA,$C$2)</f>
        <v>0</v>
      </c>
      <c r="J37" s="112">
        <f>SUMIFS(CurrentMonthAgingData!$AN:$AN,CurrentMonthAgingData!$BC:$BC,"=1",CurrentMonthAgingData!$A:$A,"=Procedure",CurrentMonthAgingData!$BF:$BF,"&lt;"&amp;0,CurrentMonthAgingData!$AP:$AP,$B37,CurrentMonthAgingData!$BA:$BA,$C$2)</f>
        <v>0</v>
      </c>
      <c r="K37" s="112">
        <f>SUMIFS(CurrentMonthAgingData!$AN:$AN,CurrentMonthAgingData!$BC:$BC,"=8",CurrentMonthAgingData!$A:$A,"=Procedure",CurrentMonthAgingData!$BF:$BF,"&lt;"&amp;0,CurrentMonthAgingData!$AP:$AP,$B37,CurrentMonthAgingData!$BA:$BA,$C$2)</f>
        <v>-1855.8400000000008</v>
      </c>
      <c r="L37" s="2">
        <f t="shared" si="2"/>
        <v>-1855.8400000000008</v>
      </c>
      <c r="N37" s="123"/>
      <c r="P37" s="32"/>
    </row>
    <row r="38" spans="2:16" x14ac:dyDescent="0.25">
      <c r="B38" t="s">
        <v>474</v>
      </c>
      <c r="C38" s="1" t="s">
        <v>51</v>
      </c>
      <c r="D38" s="112">
        <f>SUMIFS(CurrentMonthAgingData!$AN:$AN,CurrentMonthAgingData!$BC:$BC,"=1",CurrentMonthAgingData!$A:$A,"=Procedure",CurrentMonthAgingData!$BF:$BF,"&lt;"&amp;0,CurrentMonthAgingData!$AP:$AP,$B38,CurrentMonthAgingData!$BA:$BA,$C$2)</f>
        <v>0</v>
      </c>
      <c r="E38" s="112">
        <f>SUMIFS(CurrentMonthAgingData!$AN:$AN,CurrentMonthAgingData!$BC:$BC,"=1",CurrentMonthAgingData!$A:$A,"=Procedure",CurrentMonthAgingData!$BF:$BF,"&lt;"&amp;0,CurrentMonthAgingData!$AP:$AP,$B38,CurrentMonthAgingData!$BA:$BA,$C$2)</f>
        <v>0</v>
      </c>
      <c r="F38" s="112">
        <f>SUMIFS(CurrentMonthAgingData!$AN:$AN,CurrentMonthAgingData!$BC:$BC,"=1",CurrentMonthAgingData!$A:$A,"=Procedure",CurrentMonthAgingData!$BF:$BF,"&lt;"&amp;0,CurrentMonthAgingData!$AP:$AP,$B38,CurrentMonthAgingData!$BA:$BA,$C$2)</f>
        <v>0</v>
      </c>
      <c r="G38" s="112">
        <f>SUMIFS(CurrentMonthAgingData!$AN:$AN,CurrentMonthAgingData!$BC:$BC,"=1",CurrentMonthAgingData!$A:$A,"=Procedure",CurrentMonthAgingData!$BF:$BF,"&lt;"&amp;0,CurrentMonthAgingData!$AP:$AP,$B38,CurrentMonthAgingData!$BA:$BA,$C$2)</f>
        <v>0</v>
      </c>
      <c r="H38" s="112">
        <f>SUMIFS(CurrentMonthAgingData!$AN:$AN,CurrentMonthAgingData!$BC:$BC,"=1",CurrentMonthAgingData!$A:$A,"=Procedure",CurrentMonthAgingData!$BF:$BF,"&lt;"&amp;0,CurrentMonthAgingData!$AP:$AP,$B38,CurrentMonthAgingData!$BA:$BA,$C$2)</f>
        <v>0</v>
      </c>
      <c r="I38" s="112">
        <f>SUMIFS(CurrentMonthAgingData!$AN:$AN,CurrentMonthAgingData!$BC:$BC,"=1",CurrentMonthAgingData!$A:$A,"=Procedure",CurrentMonthAgingData!$BF:$BF,"&lt;"&amp;0,CurrentMonthAgingData!$AP:$AP,$B38,CurrentMonthAgingData!$BA:$BA,$C$2)</f>
        <v>0</v>
      </c>
      <c r="J38" s="112">
        <f>SUMIFS(CurrentMonthAgingData!$AN:$AN,CurrentMonthAgingData!$BC:$BC,"=1",CurrentMonthAgingData!$A:$A,"=Procedure",CurrentMonthAgingData!$BF:$BF,"&lt;"&amp;0,CurrentMonthAgingData!$AP:$AP,$B38,CurrentMonthAgingData!$BA:$BA,$C$2)</f>
        <v>0</v>
      </c>
      <c r="K38" s="112">
        <f>SUMIFS(CurrentMonthAgingData!$AN:$AN,CurrentMonthAgingData!$BC:$BC,"=8",CurrentMonthAgingData!$A:$A,"=Procedure",CurrentMonthAgingData!$BF:$BF,"&lt;"&amp;0,CurrentMonthAgingData!$AP:$AP,$B38,CurrentMonthAgingData!$BA:$BA,$C$2)</f>
        <v>0</v>
      </c>
      <c r="L38" s="2">
        <f t="shared" si="2"/>
        <v>0</v>
      </c>
      <c r="N38" s="123"/>
      <c r="P38" s="32"/>
    </row>
    <row r="39" spans="2:16" x14ac:dyDescent="0.25">
      <c r="B39" t="s">
        <v>475</v>
      </c>
      <c r="C39" s="1" t="s">
        <v>85</v>
      </c>
      <c r="D39" s="112">
        <f>SUMIFS(CurrentMonthAgingData!$AN:$AN,CurrentMonthAgingData!$BC:$BC,"=1",CurrentMonthAgingData!$A:$A,"=Procedure",CurrentMonthAgingData!$BF:$BF,"&lt;"&amp;0,CurrentMonthAgingData!$AP:$AP,$B39,CurrentMonthAgingData!$BA:$BA,$C$2)</f>
        <v>0</v>
      </c>
      <c r="E39" s="112">
        <f>SUMIFS(CurrentMonthAgingData!$AN:$AN,CurrentMonthAgingData!$BC:$BC,"=1",CurrentMonthAgingData!$A:$A,"=Procedure",CurrentMonthAgingData!$BF:$BF,"&lt;"&amp;0,CurrentMonthAgingData!$AP:$AP,$B39,CurrentMonthAgingData!$BA:$BA,$C$2)</f>
        <v>0</v>
      </c>
      <c r="F39" s="112">
        <f>SUMIFS(CurrentMonthAgingData!$AN:$AN,CurrentMonthAgingData!$BC:$BC,"=1",CurrentMonthAgingData!$A:$A,"=Procedure",CurrentMonthAgingData!$BF:$BF,"&lt;"&amp;0,CurrentMonthAgingData!$AP:$AP,$B39,CurrentMonthAgingData!$BA:$BA,$C$2)</f>
        <v>0</v>
      </c>
      <c r="G39" s="112">
        <f>SUMIFS(CurrentMonthAgingData!$AN:$AN,CurrentMonthAgingData!$BC:$BC,"=1",CurrentMonthAgingData!$A:$A,"=Procedure",CurrentMonthAgingData!$BF:$BF,"&lt;"&amp;0,CurrentMonthAgingData!$AP:$AP,$B39,CurrentMonthAgingData!$BA:$BA,$C$2)</f>
        <v>0</v>
      </c>
      <c r="H39" s="112">
        <f>SUMIFS(CurrentMonthAgingData!$AN:$AN,CurrentMonthAgingData!$BC:$BC,"=1",CurrentMonthAgingData!$A:$A,"=Procedure",CurrentMonthAgingData!$BF:$BF,"&lt;"&amp;0,CurrentMonthAgingData!$AP:$AP,$B39,CurrentMonthAgingData!$BA:$BA,$C$2)</f>
        <v>0</v>
      </c>
      <c r="I39" s="112">
        <f>SUMIFS(CurrentMonthAgingData!$AN:$AN,CurrentMonthAgingData!$BC:$BC,"=1",CurrentMonthAgingData!$A:$A,"=Procedure",CurrentMonthAgingData!$BF:$BF,"&lt;"&amp;0,CurrentMonthAgingData!$AP:$AP,$B39,CurrentMonthAgingData!$BA:$BA,$C$2)</f>
        <v>0</v>
      </c>
      <c r="J39" s="112">
        <f>SUMIFS(CurrentMonthAgingData!$AN:$AN,CurrentMonthAgingData!$BC:$BC,"=1",CurrentMonthAgingData!$A:$A,"=Procedure",CurrentMonthAgingData!$BF:$BF,"&lt;"&amp;0,CurrentMonthAgingData!$AP:$AP,$B39,CurrentMonthAgingData!$BA:$BA,$C$2)</f>
        <v>0</v>
      </c>
      <c r="K39" s="112">
        <f>SUMIFS(CurrentMonthAgingData!$AN:$AN,CurrentMonthAgingData!$BC:$BC,"=8",CurrentMonthAgingData!$A:$A,"=Procedure",CurrentMonthAgingData!$BF:$BF,"&lt;"&amp;0,CurrentMonthAgingData!$AP:$AP,$B39,CurrentMonthAgingData!$BA:$BA,$C$2)</f>
        <v>0</v>
      </c>
      <c r="L39" s="2">
        <f t="shared" si="2"/>
        <v>0</v>
      </c>
      <c r="N39" s="123"/>
      <c r="P39" s="32"/>
    </row>
    <row r="40" spans="2:16" x14ac:dyDescent="0.25">
      <c r="B40" t="s">
        <v>476</v>
      </c>
      <c r="C40" s="1" t="s">
        <v>2</v>
      </c>
      <c r="D40" s="112">
        <f>SUMIFS(CurrentMonthAgingData!$AN:$AN,CurrentMonthAgingData!$BC:$BC,"=1",CurrentMonthAgingData!$A:$A,"=Procedure",CurrentMonthAgingData!$BF:$BF,"&lt;"&amp;0,CurrentMonthAgingData!$BE:$BE,$B40,CurrentMonthAgingData!$BA:$BA,$C$2)</f>
        <v>0</v>
      </c>
      <c r="E40" s="112">
        <f>SUMIFS(CurrentMonthAgingData!$AN:$AN,CurrentMonthAgingData!$BC:$BC,"=2",CurrentMonthAgingData!$A:$A,"=Procedure",CurrentMonthAgingData!$BF:$BF,"&lt;"&amp;0,CurrentMonthAgingData!$BE:$BE,$B40,CurrentMonthAgingData!$BA:$BA,$C$2)</f>
        <v>0</v>
      </c>
      <c r="F40" s="112">
        <f>SUMIFS(CurrentMonthAgingData!$AN:$AN,CurrentMonthAgingData!$BC:$BC,"=3",CurrentMonthAgingData!$A:$A,"=Procedure",CurrentMonthAgingData!$BF:$BF,"&lt;"&amp;0,CurrentMonthAgingData!$BE:$BE,$B40,CurrentMonthAgingData!$BA:$BA,$C$2)</f>
        <v>0</v>
      </c>
      <c r="G40" s="112">
        <f>SUMIFS(CurrentMonthAgingData!$AN:$AN,CurrentMonthAgingData!$BC:$BC,"=4",CurrentMonthAgingData!$A:$A,"=Procedure",CurrentMonthAgingData!$BF:$BF,"&lt;"&amp;0,CurrentMonthAgingData!$BE:$BE,$B40,CurrentMonthAgingData!$BA:$BA,$C$2)</f>
        <v>0</v>
      </c>
      <c r="H40" s="112">
        <f>SUMIFS(CurrentMonthAgingData!$AN:$AN,CurrentMonthAgingData!$BC:$BC,"=5",CurrentMonthAgingData!$A:$A,"=Procedure",CurrentMonthAgingData!$BF:$BF,"&lt;"&amp;0,CurrentMonthAgingData!$BE:$BE,$B40,CurrentMonthAgingData!$BA:$BA,$C$2)</f>
        <v>0</v>
      </c>
      <c r="I40" s="112">
        <f>SUMIFS(CurrentMonthAgingData!$AN:$AN,CurrentMonthAgingData!$BC:$BC,"=6",CurrentMonthAgingData!$A:$A,"=Procedure",CurrentMonthAgingData!$BF:$BF,"&lt;"&amp;0,CurrentMonthAgingData!$BE:$BE,$B40,CurrentMonthAgingData!$BA:$BA,$C$2)</f>
        <v>0</v>
      </c>
      <c r="J40" s="112">
        <f>SUMIFS(CurrentMonthAgingData!$AN:$AN,CurrentMonthAgingData!$BC:$BC,"=7",CurrentMonthAgingData!$A:$A,"=Procedure",CurrentMonthAgingData!$BF:$BF,"&lt;"&amp;0,CurrentMonthAgingData!$BE:$BE,$B40,CurrentMonthAgingData!$BA:$BA,$C$2)</f>
        <v>0</v>
      </c>
      <c r="K40" s="112">
        <f>SUMIFS(CurrentMonthAgingData!$AN:$AN,CurrentMonthAgingData!$BC:$BC,"=8",CurrentMonthAgingData!$A:$A,"=Procedure",CurrentMonthAgingData!$BF:$BF,"&lt;"&amp;0,CurrentMonthAgingData!$BE:$BE,$B40,CurrentMonthAgingData!$BA:$BA,$C$2)</f>
        <v>-28.6</v>
      </c>
      <c r="L40" s="2">
        <f t="shared" si="2"/>
        <v>-28.6</v>
      </c>
      <c r="N40" s="123"/>
      <c r="P40" s="32"/>
    </row>
    <row r="41" spans="2:16" x14ac:dyDescent="0.25">
      <c r="B41" t="s">
        <v>333</v>
      </c>
      <c r="C41" s="1" t="s">
        <v>86</v>
      </c>
      <c r="D41" s="112">
        <f>SUMIFS(CurrentMonthAgingData!$AN:$AN,CurrentMonthAgingData!$BC:$BC,"=1",CurrentMonthAgingData!$A:$A,"=Procedure",CurrentMonthAgingData!$BF:$BF,"&lt;"&amp;0,CurrentMonthAgingData!$AP:$AP,$B41,CurrentMonthAgingData!$BA:$BA,$C$2)</f>
        <v>0</v>
      </c>
      <c r="E41" s="112">
        <f>SUMIFS(CurrentMonthAgingData!$AN:$AN,CurrentMonthAgingData!$BC:$BC,"=1",CurrentMonthAgingData!$A:$A,"=Procedure",CurrentMonthAgingData!$BF:$BF,"&lt;"&amp;0,CurrentMonthAgingData!$AP:$AP,$B41,CurrentMonthAgingData!$BA:$BA,$C$2)</f>
        <v>0</v>
      </c>
      <c r="F41" s="112">
        <f>SUMIFS(CurrentMonthAgingData!$AN:$AN,CurrentMonthAgingData!$BC:$BC,"=1",CurrentMonthAgingData!$A:$A,"=Procedure",CurrentMonthAgingData!$BF:$BF,"&lt;"&amp;0,CurrentMonthAgingData!$AP:$AP,$B41,CurrentMonthAgingData!$BA:$BA,$C$2)</f>
        <v>0</v>
      </c>
      <c r="G41" s="112">
        <f>SUMIFS(CurrentMonthAgingData!$AN:$AN,CurrentMonthAgingData!$BC:$BC,"=1",CurrentMonthAgingData!$A:$A,"=Procedure",CurrentMonthAgingData!$BF:$BF,"&lt;"&amp;0,CurrentMonthAgingData!$AP:$AP,$B41,CurrentMonthAgingData!$BA:$BA,$C$2)</f>
        <v>0</v>
      </c>
      <c r="H41" s="112">
        <f>SUMIFS(CurrentMonthAgingData!$AN:$AN,CurrentMonthAgingData!$BC:$BC,"=1",CurrentMonthAgingData!$A:$A,"=Procedure",CurrentMonthAgingData!$BF:$BF,"&lt;"&amp;0,CurrentMonthAgingData!$AP:$AP,$B41,CurrentMonthAgingData!$BA:$BA,$C$2)</f>
        <v>0</v>
      </c>
      <c r="I41" s="112">
        <f>SUMIFS(CurrentMonthAgingData!$AN:$AN,CurrentMonthAgingData!$BC:$BC,"=1",CurrentMonthAgingData!$A:$A,"=Procedure",CurrentMonthAgingData!$BF:$BF,"&lt;"&amp;0,CurrentMonthAgingData!$AP:$AP,$B41,CurrentMonthAgingData!$BA:$BA,$C$2)</f>
        <v>0</v>
      </c>
      <c r="J41" s="112">
        <f>SUMIFS(CurrentMonthAgingData!$AN:$AN,CurrentMonthAgingData!$BC:$BC,"=1",CurrentMonthAgingData!$A:$A,"=Procedure",CurrentMonthAgingData!$BF:$BF,"&lt;"&amp;0,CurrentMonthAgingData!$AP:$AP,$B41,CurrentMonthAgingData!$BA:$BA,$C$2)</f>
        <v>0</v>
      </c>
      <c r="K41" s="112">
        <f>SUMIFS(CurrentMonthAgingData!$AN:$AN,CurrentMonthAgingData!$BC:$BC,"=8",CurrentMonthAgingData!$A:$A,"=Procedure",CurrentMonthAgingData!$BF:$BF,"&lt;"&amp;0,CurrentMonthAgingData!$AP:$AP,$B41,CurrentMonthAgingData!$BA:$BA,$C$2)</f>
        <v>0</v>
      </c>
      <c r="L41" s="2">
        <f t="shared" si="2"/>
        <v>0</v>
      </c>
      <c r="N41" s="123"/>
      <c r="P41" s="32"/>
    </row>
    <row r="42" spans="2:16" x14ac:dyDescent="0.25">
      <c r="B42" t="s">
        <v>262</v>
      </c>
      <c r="C42" s="1" t="s">
        <v>29</v>
      </c>
      <c r="D42" s="112">
        <f>SUMIFS(CurrentMonthAgingData!$AN:$AN,CurrentMonthAgingData!$BC:$BC,"=1",CurrentMonthAgingData!$A:$A,"=Procedure",CurrentMonthAgingData!$BF:$BF,"&lt;"&amp;0,CurrentMonthAgingData!$AP:$AP,$B42,CurrentMonthAgingData!$BA:$BA,$C$2)</f>
        <v>0</v>
      </c>
      <c r="E42" s="112">
        <f>SUMIFS(CurrentMonthAgingData!$AN:$AN,CurrentMonthAgingData!$BC:$BC,"=1",CurrentMonthAgingData!$A:$A,"=Procedure",CurrentMonthAgingData!$BF:$BF,"&lt;"&amp;0,CurrentMonthAgingData!$AP:$AP,$B42,CurrentMonthAgingData!$BA:$BA,$C$2)</f>
        <v>0</v>
      </c>
      <c r="F42" s="112">
        <f>SUMIFS(CurrentMonthAgingData!$AN:$AN,CurrentMonthAgingData!$BC:$BC,"=1",CurrentMonthAgingData!$A:$A,"=Procedure",CurrentMonthAgingData!$BF:$BF,"&lt;"&amp;0,CurrentMonthAgingData!$AP:$AP,$B42,CurrentMonthAgingData!$BA:$BA,$C$2)</f>
        <v>0</v>
      </c>
      <c r="G42" s="112">
        <f>SUMIFS(CurrentMonthAgingData!$AN:$AN,CurrentMonthAgingData!$BC:$BC,"=1",CurrentMonthAgingData!$A:$A,"=Procedure",CurrentMonthAgingData!$BF:$BF,"&lt;"&amp;0,CurrentMonthAgingData!$AP:$AP,$B42,CurrentMonthAgingData!$BA:$BA,$C$2)</f>
        <v>0</v>
      </c>
      <c r="H42" s="112">
        <f>SUMIFS(CurrentMonthAgingData!$AN:$AN,CurrentMonthAgingData!$BC:$BC,"=1",CurrentMonthAgingData!$A:$A,"=Procedure",CurrentMonthAgingData!$BF:$BF,"&lt;"&amp;0,CurrentMonthAgingData!$AP:$AP,$B42,CurrentMonthAgingData!$BA:$BA,$C$2)</f>
        <v>0</v>
      </c>
      <c r="I42" s="112">
        <f>SUMIFS(CurrentMonthAgingData!$AN:$AN,CurrentMonthAgingData!$BC:$BC,"=1",CurrentMonthAgingData!$A:$A,"=Procedure",CurrentMonthAgingData!$BF:$BF,"&lt;"&amp;0,CurrentMonthAgingData!$AP:$AP,$B42,CurrentMonthAgingData!$BA:$BA,$C$2)</f>
        <v>0</v>
      </c>
      <c r="J42" s="112">
        <f>SUMIFS(CurrentMonthAgingData!$AN:$AN,CurrentMonthAgingData!$BC:$BC,"=1",CurrentMonthAgingData!$A:$A,"=Procedure",CurrentMonthAgingData!$BF:$BF,"&lt;"&amp;0,CurrentMonthAgingData!$AP:$AP,$B42,CurrentMonthAgingData!$BA:$BA,$C$2)</f>
        <v>0</v>
      </c>
      <c r="K42" s="112">
        <f>SUMIFS(CurrentMonthAgingData!$AN:$AN,CurrentMonthAgingData!$BC:$BC,"=8",CurrentMonthAgingData!$A:$A,"=Procedure",CurrentMonthAgingData!$BF:$BF,"&lt;"&amp;0,CurrentMonthAgingData!$AP:$AP,$B42,CurrentMonthAgingData!$BA:$BA,$C$2)</f>
        <v>-256.36</v>
      </c>
      <c r="L42" s="2">
        <f t="shared" si="2"/>
        <v>-256.36</v>
      </c>
      <c r="N42" s="123"/>
      <c r="P42" s="32"/>
    </row>
    <row r="43" spans="2:16" x14ac:dyDescent="0.25">
      <c r="B43" t="s">
        <v>477</v>
      </c>
      <c r="C43" s="1" t="s">
        <v>52</v>
      </c>
      <c r="D43" s="112">
        <f>SUMIFS(CurrentMonthAgingData!$AN:$AN,CurrentMonthAgingData!$BC:$BC,"=1",CurrentMonthAgingData!$A:$A,"=Procedure",CurrentMonthAgingData!$BF:$BF,"&lt;"&amp;0,CurrentMonthAgingData!$AP:$AP,$B43,CurrentMonthAgingData!$BA:$BA,$C$2)</f>
        <v>0</v>
      </c>
      <c r="E43" s="112">
        <f>SUMIFS(CurrentMonthAgingData!$AN:$AN,CurrentMonthAgingData!$BC:$BC,"=1",CurrentMonthAgingData!$A:$A,"=Procedure",CurrentMonthAgingData!$BF:$BF,"&lt;"&amp;0,CurrentMonthAgingData!$AP:$AP,$B43,CurrentMonthAgingData!$BA:$BA,$C$2)</f>
        <v>0</v>
      </c>
      <c r="F43" s="112">
        <f>SUMIFS(CurrentMonthAgingData!$AN:$AN,CurrentMonthAgingData!$BC:$BC,"=1",CurrentMonthAgingData!$A:$A,"=Procedure",CurrentMonthAgingData!$BF:$BF,"&lt;"&amp;0,CurrentMonthAgingData!$AP:$AP,$B43,CurrentMonthAgingData!$BA:$BA,$C$2)</f>
        <v>0</v>
      </c>
      <c r="G43" s="112">
        <f>SUMIFS(CurrentMonthAgingData!$AN:$AN,CurrentMonthAgingData!$BC:$BC,"=1",CurrentMonthAgingData!$A:$A,"=Procedure",CurrentMonthAgingData!$BF:$BF,"&lt;"&amp;0,CurrentMonthAgingData!$AP:$AP,$B43,CurrentMonthAgingData!$BA:$BA,$C$2)</f>
        <v>0</v>
      </c>
      <c r="H43" s="112">
        <f>SUMIFS(CurrentMonthAgingData!$AN:$AN,CurrentMonthAgingData!$BC:$BC,"=1",CurrentMonthAgingData!$A:$A,"=Procedure",CurrentMonthAgingData!$BF:$BF,"&lt;"&amp;0,CurrentMonthAgingData!$AP:$AP,$B43,CurrentMonthAgingData!$BA:$BA,$C$2)</f>
        <v>0</v>
      </c>
      <c r="I43" s="112">
        <f>SUMIFS(CurrentMonthAgingData!$AN:$AN,CurrentMonthAgingData!$BC:$BC,"=1",CurrentMonthAgingData!$A:$A,"=Procedure",CurrentMonthAgingData!$BF:$BF,"&lt;"&amp;0,CurrentMonthAgingData!$AP:$AP,$B43,CurrentMonthAgingData!$BA:$BA,$C$2)</f>
        <v>0</v>
      </c>
      <c r="J43" s="112">
        <f>SUMIFS(CurrentMonthAgingData!$AN:$AN,CurrentMonthAgingData!$BC:$BC,"=1",CurrentMonthAgingData!$A:$A,"=Procedure",CurrentMonthAgingData!$BF:$BF,"&lt;"&amp;0,CurrentMonthAgingData!$AP:$AP,$B43,CurrentMonthAgingData!$BA:$BA,$C$2)</f>
        <v>0</v>
      </c>
      <c r="K43" s="112">
        <f>SUMIFS(CurrentMonthAgingData!$AN:$AN,CurrentMonthAgingData!$BC:$BC,"=8",CurrentMonthAgingData!$A:$A,"=Procedure",CurrentMonthAgingData!$BF:$BF,"&lt;"&amp;0,CurrentMonthAgingData!$AP:$AP,$B43,CurrentMonthAgingData!$BA:$BA,$C$2)</f>
        <v>0</v>
      </c>
      <c r="L43" s="2">
        <f t="shared" si="2"/>
        <v>0</v>
      </c>
      <c r="N43" s="123"/>
      <c r="P43" s="32"/>
    </row>
    <row r="44" spans="2:16" x14ac:dyDescent="0.25">
      <c r="B44" t="s">
        <v>263</v>
      </c>
      <c r="C44" s="1" t="s">
        <v>1</v>
      </c>
      <c r="D44" s="112">
        <f>SUMIFS(CurrentMonthAgingData!$AN:$AN,CurrentMonthAgingData!$BC:$BC,"=1",CurrentMonthAgingData!$A:$A,"=Procedure",CurrentMonthAgingData!$BF:$BF,"&lt;"&amp;0,CurrentMonthAgingData!$AP:$AP,$B44,CurrentMonthAgingData!$BA:$BA,$C$2)</f>
        <v>0</v>
      </c>
      <c r="E44" s="112">
        <f>SUMIFS(CurrentMonthAgingData!$AN:$AN,CurrentMonthAgingData!$BC:$BC,"=1",CurrentMonthAgingData!$A:$A,"=Procedure",CurrentMonthAgingData!$BF:$BF,"&lt;"&amp;0,CurrentMonthAgingData!$AP:$AP,$B44,CurrentMonthAgingData!$BA:$BA,$C$2)</f>
        <v>0</v>
      </c>
      <c r="F44" s="112">
        <f>SUMIFS(CurrentMonthAgingData!$AN:$AN,CurrentMonthAgingData!$BC:$BC,"=1",CurrentMonthAgingData!$A:$A,"=Procedure",CurrentMonthAgingData!$BF:$BF,"&lt;"&amp;0,CurrentMonthAgingData!$AP:$AP,$B44,CurrentMonthAgingData!$BA:$BA,$C$2)</f>
        <v>0</v>
      </c>
      <c r="G44" s="112">
        <f>SUMIFS(CurrentMonthAgingData!$AN:$AN,CurrentMonthAgingData!$BC:$BC,"=1",CurrentMonthAgingData!$A:$A,"=Procedure",CurrentMonthAgingData!$BF:$BF,"&lt;"&amp;0,CurrentMonthAgingData!$AP:$AP,$B44,CurrentMonthAgingData!$BA:$BA,$C$2)</f>
        <v>0</v>
      </c>
      <c r="H44" s="112">
        <f>SUMIFS(CurrentMonthAgingData!$AN:$AN,CurrentMonthAgingData!$BC:$BC,"=1",CurrentMonthAgingData!$A:$A,"=Procedure",CurrentMonthAgingData!$BF:$BF,"&lt;"&amp;0,CurrentMonthAgingData!$AP:$AP,$B44,CurrentMonthAgingData!$BA:$BA,$C$2)</f>
        <v>0</v>
      </c>
      <c r="I44" s="112">
        <f>SUMIFS(CurrentMonthAgingData!$AN:$AN,CurrentMonthAgingData!$BC:$BC,"=1",CurrentMonthAgingData!$A:$A,"=Procedure",CurrentMonthAgingData!$BF:$BF,"&lt;"&amp;0,CurrentMonthAgingData!$AP:$AP,$B44,CurrentMonthAgingData!$BA:$BA,$C$2)</f>
        <v>0</v>
      </c>
      <c r="J44" s="112">
        <f>SUMIFS(CurrentMonthAgingData!$AN:$AN,CurrentMonthAgingData!$BC:$BC,"=1",CurrentMonthAgingData!$A:$A,"=Procedure",CurrentMonthAgingData!$BF:$BF,"&lt;"&amp;0,CurrentMonthAgingData!$AP:$AP,$B44,CurrentMonthAgingData!$BA:$BA,$C$2)</f>
        <v>0</v>
      </c>
      <c r="K44" s="112">
        <f>SUMIFS(CurrentMonthAgingData!$AN:$AN,CurrentMonthAgingData!$BC:$BC,"=8",CurrentMonthAgingData!$A:$A,"=Procedure",CurrentMonthAgingData!$BF:$BF,"&lt;"&amp;0,CurrentMonthAgingData!$AP:$AP,$B44,CurrentMonthAgingData!$BA:$BA,$C$2)</f>
        <v>-709.63</v>
      </c>
      <c r="L44" s="2">
        <f t="shared" si="2"/>
        <v>-709.63</v>
      </c>
      <c r="N44" s="123"/>
      <c r="P44" s="32"/>
    </row>
    <row r="45" spans="2:16" x14ac:dyDescent="0.25">
      <c r="C45" s="1" t="s">
        <v>0</v>
      </c>
      <c r="D45" s="10">
        <f>SUM(D28:D44)</f>
        <v>0</v>
      </c>
      <c r="E45" s="10">
        <f t="shared" ref="E45:L45" si="3">SUM(E28:E44)</f>
        <v>0</v>
      </c>
      <c r="F45" s="10">
        <f t="shared" si="3"/>
        <v>0</v>
      </c>
      <c r="G45" s="10">
        <f t="shared" si="3"/>
        <v>0</v>
      </c>
      <c r="H45" s="10">
        <f t="shared" si="3"/>
        <v>0</v>
      </c>
      <c r="I45" s="10">
        <f t="shared" si="3"/>
        <v>0</v>
      </c>
      <c r="J45" s="10">
        <f t="shared" si="3"/>
        <v>0</v>
      </c>
      <c r="K45" s="10">
        <f t="shared" si="3"/>
        <v>-3410.3300000000008</v>
      </c>
      <c r="L45" s="10">
        <f t="shared" si="3"/>
        <v>-3410.3300000000008</v>
      </c>
      <c r="N45" s="123"/>
      <c r="P45" s="32"/>
    </row>
    <row r="46" spans="2:16" ht="15.75" thickBot="1" x14ac:dyDescent="0.3">
      <c r="C46" s="1"/>
      <c r="D46" s="9"/>
      <c r="E46" s="9"/>
      <c r="F46" s="9"/>
      <c r="G46" s="9"/>
      <c r="H46" s="9"/>
      <c r="I46" s="9"/>
      <c r="J46" s="9"/>
      <c r="K46" s="9"/>
      <c r="L46" s="9"/>
      <c r="N46" s="123"/>
      <c r="P46" s="32"/>
    </row>
    <row r="47" spans="2:16" ht="15.75" thickBot="1" x14ac:dyDescent="0.3">
      <c r="C47" s="159" t="s">
        <v>251</v>
      </c>
      <c r="D47" s="160"/>
      <c r="E47" s="160"/>
      <c r="F47" s="160"/>
      <c r="G47" s="160"/>
      <c r="H47" s="160"/>
      <c r="I47" s="160"/>
      <c r="J47" s="160"/>
      <c r="K47" s="160"/>
      <c r="L47" s="161"/>
      <c r="N47" s="123"/>
      <c r="P47" s="32"/>
    </row>
    <row r="48" spans="2:16" x14ac:dyDescent="0.25">
      <c r="C48" s="4" t="s">
        <v>16</v>
      </c>
      <c r="D48" s="5" t="s">
        <v>15</v>
      </c>
      <c r="E48" s="5" t="s">
        <v>14</v>
      </c>
      <c r="F48" s="5" t="s">
        <v>13</v>
      </c>
      <c r="G48" s="5" t="s">
        <v>12</v>
      </c>
      <c r="H48" s="5" t="s">
        <v>94</v>
      </c>
      <c r="I48" s="5" t="s">
        <v>95</v>
      </c>
      <c r="J48" s="5" t="s">
        <v>38</v>
      </c>
      <c r="K48" s="5" t="s">
        <v>9</v>
      </c>
      <c r="L48" s="5" t="s">
        <v>0</v>
      </c>
      <c r="N48" s="123"/>
      <c r="P48" s="32"/>
    </row>
    <row r="49" spans="3:16" x14ac:dyDescent="0.25">
      <c r="C49" s="1" t="s">
        <v>49</v>
      </c>
      <c r="D49" s="33">
        <f t="shared" ref="D49:K58" si="4">D7-D28</f>
        <v>0</v>
      </c>
      <c r="E49" s="33">
        <f t="shared" si="4"/>
        <v>0</v>
      </c>
      <c r="F49" s="33">
        <f t="shared" si="4"/>
        <v>0</v>
      </c>
      <c r="G49" s="33">
        <f t="shared" si="4"/>
        <v>0</v>
      </c>
      <c r="H49" s="33">
        <f t="shared" si="4"/>
        <v>0</v>
      </c>
      <c r="I49" s="33">
        <f t="shared" si="4"/>
        <v>0</v>
      </c>
      <c r="J49" s="33">
        <f t="shared" si="4"/>
        <v>0</v>
      </c>
      <c r="K49" s="33">
        <f t="shared" si="4"/>
        <v>0</v>
      </c>
      <c r="L49" s="2">
        <f>SUM(D49:K49)</f>
        <v>0</v>
      </c>
      <c r="N49" s="123"/>
      <c r="P49" s="32"/>
    </row>
    <row r="50" spans="3:16" x14ac:dyDescent="0.25">
      <c r="C50" s="1" t="s">
        <v>8</v>
      </c>
      <c r="D50" s="33">
        <f t="shared" si="4"/>
        <v>0</v>
      </c>
      <c r="E50" s="33">
        <f t="shared" si="4"/>
        <v>0</v>
      </c>
      <c r="F50" s="33">
        <f t="shared" si="4"/>
        <v>0</v>
      </c>
      <c r="G50" s="33">
        <f t="shared" si="4"/>
        <v>0</v>
      </c>
      <c r="H50" s="33">
        <f t="shared" si="4"/>
        <v>0</v>
      </c>
      <c r="I50" s="33">
        <f t="shared" si="4"/>
        <v>0</v>
      </c>
      <c r="J50" s="33">
        <f t="shared" si="4"/>
        <v>0</v>
      </c>
      <c r="K50" s="33">
        <f t="shared" si="4"/>
        <v>115</v>
      </c>
      <c r="L50" s="2">
        <f t="shared" ref="L50:L65" si="5">SUM(D50:K50)</f>
        <v>115</v>
      </c>
      <c r="N50" s="123"/>
      <c r="P50" s="32"/>
    </row>
    <row r="51" spans="3:16" x14ac:dyDescent="0.25">
      <c r="C51" s="1" t="s">
        <v>7</v>
      </c>
      <c r="D51" s="33">
        <f t="shared" si="4"/>
        <v>0</v>
      </c>
      <c r="E51" s="33">
        <f t="shared" si="4"/>
        <v>0</v>
      </c>
      <c r="F51" s="33">
        <f t="shared" si="4"/>
        <v>0</v>
      </c>
      <c r="G51" s="33">
        <f t="shared" si="4"/>
        <v>0</v>
      </c>
      <c r="H51" s="33">
        <f t="shared" si="4"/>
        <v>0</v>
      </c>
      <c r="I51" s="33">
        <f t="shared" si="4"/>
        <v>0</v>
      </c>
      <c r="J51" s="33">
        <f t="shared" si="4"/>
        <v>0</v>
      </c>
      <c r="K51" s="33">
        <f t="shared" si="4"/>
        <v>0</v>
      </c>
      <c r="L51" s="2">
        <f t="shared" si="5"/>
        <v>0</v>
      </c>
      <c r="N51" s="123"/>
      <c r="P51" s="32"/>
    </row>
    <row r="52" spans="3:16" x14ac:dyDescent="0.25">
      <c r="C52" s="1" t="s">
        <v>42</v>
      </c>
      <c r="D52" s="33">
        <f t="shared" si="4"/>
        <v>0</v>
      </c>
      <c r="E52" s="33">
        <f t="shared" si="4"/>
        <v>0</v>
      </c>
      <c r="F52" s="33">
        <f t="shared" si="4"/>
        <v>0</v>
      </c>
      <c r="G52" s="33">
        <f t="shared" si="4"/>
        <v>0</v>
      </c>
      <c r="H52" s="33">
        <f t="shared" si="4"/>
        <v>0</v>
      </c>
      <c r="I52" s="33">
        <f t="shared" si="4"/>
        <v>0</v>
      </c>
      <c r="J52" s="33">
        <f t="shared" si="4"/>
        <v>0</v>
      </c>
      <c r="K52" s="33">
        <f t="shared" si="4"/>
        <v>0</v>
      </c>
      <c r="L52" s="2">
        <f t="shared" si="5"/>
        <v>0</v>
      </c>
      <c r="N52" s="123"/>
      <c r="P52" s="32"/>
    </row>
    <row r="53" spans="3:16" x14ac:dyDescent="0.25">
      <c r="C53" s="1" t="s">
        <v>6</v>
      </c>
      <c r="D53" s="33">
        <f t="shared" si="4"/>
        <v>0</v>
      </c>
      <c r="E53" s="33">
        <f t="shared" si="4"/>
        <v>0</v>
      </c>
      <c r="F53" s="33">
        <f t="shared" si="4"/>
        <v>0</v>
      </c>
      <c r="G53" s="33">
        <f t="shared" si="4"/>
        <v>0</v>
      </c>
      <c r="H53" s="33">
        <f t="shared" si="4"/>
        <v>0</v>
      </c>
      <c r="I53" s="33">
        <f t="shared" si="4"/>
        <v>0</v>
      </c>
      <c r="J53" s="33">
        <f t="shared" si="4"/>
        <v>0</v>
      </c>
      <c r="K53" s="33">
        <f t="shared" si="4"/>
        <v>-1726.8100000000006</v>
      </c>
      <c r="L53" s="2">
        <f t="shared" si="5"/>
        <v>-1726.8100000000006</v>
      </c>
      <c r="N53" s="123"/>
      <c r="P53" s="32"/>
    </row>
    <row r="54" spans="3:16" x14ac:dyDescent="0.25">
      <c r="C54" s="1" t="s">
        <v>50</v>
      </c>
      <c r="D54" s="33">
        <f t="shared" si="4"/>
        <v>0</v>
      </c>
      <c r="E54" s="33">
        <f t="shared" si="4"/>
        <v>0</v>
      </c>
      <c r="F54" s="33">
        <f t="shared" si="4"/>
        <v>0</v>
      </c>
      <c r="G54" s="33">
        <f t="shared" si="4"/>
        <v>0</v>
      </c>
      <c r="H54" s="33">
        <f t="shared" si="4"/>
        <v>0</v>
      </c>
      <c r="I54" s="33">
        <f t="shared" si="4"/>
        <v>0</v>
      </c>
      <c r="J54" s="33">
        <f t="shared" si="4"/>
        <v>0</v>
      </c>
      <c r="K54" s="33">
        <f t="shared" si="4"/>
        <v>0</v>
      </c>
      <c r="L54" s="2">
        <f t="shared" si="5"/>
        <v>0</v>
      </c>
      <c r="N54" s="123"/>
      <c r="P54" s="32"/>
    </row>
    <row r="55" spans="3:16" x14ac:dyDescent="0.25">
      <c r="C55" s="1" t="s">
        <v>89</v>
      </c>
      <c r="D55" s="33">
        <f t="shared" si="4"/>
        <v>0</v>
      </c>
      <c r="E55" s="33">
        <f t="shared" si="4"/>
        <v>0</v>
      </c>
      <c r="F55" s="33">
        <f t="shared" si="4"/>
        <v>0</v>
      </c>
      <c r="G55" s="33">
        <f t="shared" si="4"/>
        <v>0</v>
      </c>
      <c r="H55" s="33">
        <f t="shared" si="4"/>
        <v>0</v>
      </c>
      <c r="I55" s="33">
        <f t="shared" si="4"/>
        <v>0</v>
      </c>
      <c r="J55" s="33">
        <f t="shared" si="4"/>
        <v>0</v>
      </c>
      <c r="K55" s="33">
        <f t="shared" si="4"/>
        <v>0</v>
      </c>
      <c r="L55" s="2">
        <f t="shared" si="5"/>
        <v>0</v>
      </c>
      <c r="N55" s="123"/>
      <c r="P55" s="32"/>
    </row>
    <row r="56" spans="3:16" x14ac:dyDescent="0.25">
      <c r="C56" s="1" t="s">
        <v>5</v>
      </c>
      <c r="D56" s="33">
        <f t="shared" si="4"/>
        <v>0</v>
      </c>
      <c r="E56" s="33">
        <f t="shared" si="4"/>
        <v>0</v>
      </c>
      <c r="F56" s="33">
        <f t="shared" si="4"/>
        <v>0</v>
      </c>
      <c r="G56" s="33">
        <f t="shared" si="4"/>
        <v>0</v>
      </c>
      <c r="H56" s="33">
        <f t="shared" si="4"/>
        <v>0</v>
      </c>
      <c r="I56" s="33">
        <f t="shared" si="4"/>
        <v>0</v>
      </c>
      <c r="J56" s="33">
        <f t="shared" si="4"/>
        <v>0</v>
      </c>
      <c r="K56" s="33">
        <f t="shared" si="4"/>
        <v>0</v>
      </c>
      <c r="L56" s="2">
        <f t="shared" si="5"/>
        <v>0</v>
      </c>
      <c r="N56" s="123"/>
      <c r="P56" s="32"/>
    </row>
    <row r="57" spans="3:16" x14ac:dyDescent="0.25">
      <c r="C57" s="1" t="s">
        <v>84</v>
      </c>
      <c r="D57" s="33">
        <f t="shared" si="4"/>
        <v>0</v>
      </c>
      <c r="E57" s="33">
        <f t="shared" si="4"/>
        <v>0</v>
      </c>
      <c r="F57" s="33">
        <f t="shared" si="4"/>
        <v>0</v>
      </c>
      <c r="G57" s="33">
        <f t="shared" si="4"/>
        <v>0</v>
      </c>
      <c r="H57" s="33">
        <f t="shared" si="4"/>
        <v>0</v>
      </c>
      <c r="I57" s="33">
        <f t="shared" si="4"/>
        <v>0</v>
      </c>
      <c r="J57" s="33">
        <f t="shared" si="4"/>
        <v>0</v>
      </c>
      <c r="K57" s="33">
        <f t="shared" si="4"/>
        <v>-28.6</v>
      </c>
      <c r="L57" s="2">
        <f t="shared" si="5"/>
        <v>-28.6</v>
      </c>
      <c r="N57" s="123"/>
      <c r="P57" s="32"/>
    </row>
    <row r="58" spans="3:16" x14ac:dyDescent="0.25">
      <c r="C58" s="1" t="s">
        <v>4</v>
      </c>
      <c r="D58" s="33">
        <f t="shared" si="4"/>
        <v>0</v>
      </c>
      <c r="E58" s="33">
        <f t="shared" si="4"/>
        <v>0</v>
      </c>
      <c r="F58" s="33">
        <f t="shared" si="4"/>
        <v>0</v>
      </c>
      <c r="G58" s="33">
        <f t="shared" si="4"/>
        <v>0</v>
      </c>
      <c r="H58" s="33">
        <f t="shared" si="4"/>
        <v>0</v>
      </c>
      <c r="I58" s="33">
        <f t="shared" si="4"/>
        <v>0</v>
      </c>
      <c r="J58" s="33">
        <f t="shared" si="4"/>
        <v>0</v>
      </c>
      <c r="K58" s="33">
        <f t="shared" si="4"/>
        <v>1723.8000000000009</v>
      </c>
      <c r="L58" s="2">
        <f t="shared" si="5"/>
        <v>1723.8000000000009</v>
      </c>
      <c r="N58" s="123"/>
      <c r="P58" s="32"/>
    </row>
    <row r="59" spans="3:16" x14ac:dyDescent="0.25">
      <c r="C59" s="1" t="s">
        <v>51</v>
      </c>
      <c r="D59" s="33">
        <f t="shared" ref="D59:K65" si="6">D17-D38</f>
        <v>0</v>
      </c>
      <c r="E59" s="33">
        <f t="shared" si="6"/>
        <v>0</v>
      </c>
      <c r="F59" s="33">
        <f t="shared" si="6"/>
        <v>0</v>
      </c>
      <c r="G59" s="33">
        <f t="shared" si="6"/>
        <v>0</v>
      </c>
      <c r="H59" s="33">
        <f t="shared" si="6"/>
        <v>0</v>
      </c>
      <c r="I59" s="33">
        <f t="shared" si="6"/>
        <v>0</v>
      </c>
      <c r="J59" s="33">
        <f t="shared" si="6"/>
        <v>0</v>
      </c>
      <c r="K59" s="33">
        <f t="shared" si="6"/>
        <v>0</v>
      </c>
      <c r="L59" s="2">
        <f t="shared" si="5"/>
        <v>0</v>
      </c>
      <c r="N59" s="123"/>
      <c r="P59" s="32"/>
    </row>
    <row r="60" spans="3:16" x14ac:dyDescent="0.25">
      <c r="C60" s="1" t="s">
        <v>85</v>
      </c>
      <c r="D60" s="33">
        <f t="shared" si="6"/>
        <v>0</v>
      </c>
      <c r="E60" s="33">
        <f t="shared" si="6"/>
        <v>0</v>
      </c>
      <c r="F60" s="33">
        <f t="shared" si="6"/>
        <v>0</v>
      </c>
      <c r="G60" s="33">
        <f t="shared" si="6"/>
        <v>0</v>
      </c>
      <c r="H60" s="33">
        <f t="shared" si="6"/>
        <v>0</v>
      </c>
      <c r="I60" s="33">
        <f t="shared" si="6"/>
        <v>0</v>
      </c>
      <c r="J60" s="33">
        <f t="shared" si="6"/>
        <v>0</v>
      </c>
      <c r="K60" s="33">
        <f t="shared" si="6"/>
        <v>0</v>
      </c>
      <c r="L60" s="2">
        <f t="shared" si="5"/>
        <v>0</v>
      </c>
      <c r="N60" s="123"/>
      <c r="P60" s="32"/>
    </row>
    <row r="61" spans="3:16" x14ac:dyDescent="0.25">
      <c r="C61" s="1" t="s">
        <v>2</v>
      </c>
      <c r="D61" s="33">
        <f t="shared" si="6"/>
        <v>-13808.970000000001</v>
      </c>
      <c r="E61" s="33">
        <f t="shared" si="6"/>
        <v>0</v>
      </c>
      <c r="F61" s="33">
        <f t="shared" si="6"/>
        <v>0</v>
      </c>
      <c r="G61" s="33">
        <f t="shared" si="6"/>
        <v>0</v>
      </c>
      <c r="H61" s="33">
        <f t="shared" si="6"/>
        <v>0</v>
      </c>
      <c r="I61" s="33">
        <f t="shared" si="6"/>
        <v>0</v>
      </c>
      <c r="J61" s="33">
        <f t="shared" si="6"/>
        <v>0</v>
      </c>
      <c r="K61" s="33">
        <f t="shared" si="6"/>
        <v>-73.400000000000006</v>
      </c>
      <c r="L61" s="2">
        <f t="shared" si="5"/>
        <v>-13882.37</v>
      </c>
      <c r="N61" s="123"/>
      <c r="P61" s="32"/>
    </row>
    <row r="62" spans="3:16" x14ac:dyDescent="0.25">
      <c r="C62" s="1" t="s">
        <v>86</v>
      </c>
      <c r="D62" s="33">
        <f t="shared" si="6"/>
        <v>0</v>
      </c>
      <c r="E62" s="33">
        <f t="shared" si="6"/>
        <v>0</v>
      </c>
      <c r="F62" s="33">
        <f t="shared" si="6"/>
        <v>0</v>
      </c>
      <c r="G62" s="33">
        <f t="shared" si="6"/>
        <v>0</v>
      </c>
      <c r="H62" s="33">
        <f t="shared" si="6"/>
        <v>0</v>
      </c>
      <c r="I62" s="33">
        <f t="shared" si="6"/>
        <v>0</v>
      </c>
      <c r="J62" s="33">
        <f t="shared" si="6"/>
        <v>0</v>
      </c>
      <c r="K62" s="33">
        <f t="shared" si="6"/>
        <v>0</v>
      </c>
      <c r="L62" s="2">
        <f t="shared" si="5"/>
        <v>0</v>
      </c>
      <c r="N62" s="123"/>
      <c r="P62" s="32"/>
    </row>
    <row r="63" spans="3:16" x14ac:dyDescent="0.25">
      <c r="C63" s="1" t="s">
        <v>29</v>
      </c>
      <c r="D63" s="33">
        <f t="shared" si="6"/>
        <v>0</v>
      </c>
      <c r="E63" s="33">
        <f t="shared" si="6"/>
        <v>0</v>
      </c>
      <c r="F63" s="33">
        <f t="shared" si="6"/>
        <v>0</v>
      </c>
      <c r="G63" s="33">
        <f t="shared" si="6"/>
        <v>0</v>
      </c>
      <c r="H63" s="33">
        <f t="shared" si="6"/>
        <v>0</v>
      </c>
      <c r="I63" s="33">
        <f t="shared" si="6"/>
        <v>0</v>
      </c>
      <c r="J63" s="33">
        <f t="shared" si="6"/>
        <v>0</v>
      </c>
      <c r="K63" s="33">
        <f t="shared" si="6"/>
        <v>-9.9900000000000091</v>
      </c>
      <c r="L63" s="2">
        <f t="shared" si="5"/>
        <v>-9.9900000000000091</v>
      </c>
      <c r="N63" s="123"/>
      <c r="P63" s="32"/>
    </row>
    <row r="64" spans="3:16" x14ac:dyDescent="0.25">
      <c r="C64" s="1" t="s">
        <v>52</v>
      </c>
      <c r="D64" s="33">
        <f t="shared" si="6"/>
        <v>0</v>
      </c>
      <c r="E64" s="33">
        <f t="shared" si="6"/>
        <v>0</v>
      </c>
      <c r="F64" s="33">
        <f t="shared" si="6"/>
        <v>0</v>
      </c>
      <c r="G64" s="33">
        <f t="shared" si="6"/>
        <v>0</v>
      </c>
      <c r="H64" s="33">
        <f t="shared" si="6"/>
        <v>0</v>
      </c>
      <c r="I64" s="33">
        <f t="shared" si="6"/>
        <v>0</v>
      </c>
      <c r="J64" s="33">
        <f t="shared" si="6"/>
        <v>0</v>
      </c>
      <c r="K64" s="33">
        <f t="shared" si="6"/>
        <v>0</v>
      </c>
      <c r="L64" s="2">
        <f t="shared" si="5"/>
        <v>0</v>
      </c>
      <c r="N64" s="123"/>
      <c r="P64" s="32"/>
    </row>
    <row r="65" spans="3:19" x14ac:dyDescent="0.25">
      <c r="C65" s="1" t="s">
        <v>1</v>
      </c>
      <c r="D65" s="33">
        <f t="shared" si="6"/>
        <v>0</v>
      </c>
      <c r="E65" s="33">
        <f t="shared" si="6"/>
        <v>0</v>
      </c>
      <c r="F65" s="33">
        <f t="shared" si="6"/>
        <v>0</v>
      </c>
      <c r="G65" s="33">
        <f t="shared" si="6"/>
        <v>0</v>
      </c>
      <c r="H65" s="33">
        <f t="shared" si="6"/>
        <v>0</v>
      </c>
      <c r="I65" s="33">
        <f t="shared" si="6"/>
        <v>0</v>
      </c>
      <c r="J65" s="33">
        <f t="shared" si="6"/>
        <v>0</v>
      </c>
      <c r="K65" s="33">
        <f t="shared" si="6"/>
        <v>0</v>
      </c>
      <c r="L65" s="2">
        <f t="shared" si="5"/>
        <v>0</v>
      </c>
      <c r="N65" s="123"/>
      <c r="P65" s="32"/>
    </row>
    <row r="66" spans="3:19" x14ac:dyDescent="0.25">
      <c r="C66" s="1" t="s">
        <v>0</v>
      </c>
      <c r="D66" s="10">
        <f>SUM(D49:D65)</f>
        <v>-13808.970000000001</v>
      </c>
      <c r="E66" s="10">
        <f t="shared" ref="E66:L66" si="7">SUM(E49:E65)</f>
        <v>0</v>
      </c>
      <c r="F66" s="10">
        <f t="shared" si="7"/>
        <v>0</v>
      </c>
      <c r="G66" s="10">
        <f t="shared" si="7"/>
        <v>0</v>
      </c>
      <c r="H66" s="10">
        <f t="shared" si="7"/>
        <v>0</v>
      </c>
      <c r="I66" s="10">
        <f t="shared" si="7"/>
        <v>0</v>
      </c>
      <c r="J66" s="10">
        <f t="shared" si="7"/>
        <v>0</v>
      </c>
      <c r="K66" s="10">
        <f t="shared" si="7"/>
        <v>3.1263880373444408E-13</v>
      </c>
      <c r="L66" s="10">
        <f t="shared" si="7"/>
        <v>-13808.97</v>
      </c>
      <c r="M66" s="115">
        <v>39837.800000000003</v>
      </c>
      <c r="N66" s="108">
        <f>+L66-M66</f>
        <v>-53646.770000000004</v>
      </c>
      <c r="P66" s="32"/>
    </row>
    <row r="67" spans="3:19" ht="15.75" thickBot="1" x14ac:dyDescent="0.3">
      <c r="C67" s="1"/>
      <c r="D67" s="9"/>
      <c r="E67" s="9"/>
      <c r="F67" s="9"/>
      <c r="G67" s="9"/>
      <c r="H67" s="9"/>
      <c r="I67" s="9"/>
      <c r="J67" s="9"/>
      <c r="K67" s="9"/>
      <c r="L67" s="9"/>
      <c r="N67" s="123"/>
      <c r="P67" s="32"/>
    </row>
    <row r="68" spans="3:19" ht="15.75" thickBot="1" x14ac:dyDescent="0.3">
      <c r="C68" s="153" t="s">
        <v>55</v>
      </c>
      <c r="D68" s="154"/>
      <c r="E68" s="154"/>
      <c r="F68" s="154"/>
      <c r="G68" s="154"/>
      <c r="H68" s="154"/>
      <c r="I68" s="154"/>
      <c r="J68" s="154"/>
      <c r="K68" s="154"/>
      <c r="L68" s="155"/>
      <c r="S68" s="27"/>
    </row>
    <row r="69" spans="3:19" x14ac:dyDescent="0.25">
      <c r="C69" s="4" t="s">
        <v>16</v>
      </c>
      <c r="D69" s="5" t="s">
        <v>15</v>
      </c>
      <c r="E69" s="5" t="s">
        <v>14</v>
      </c>
      <c r="F69" s="5" t="s">
        <v>13</v>
      </c>
      <c r="G69" s="5" t="s">
        <v>12</v>
      </c>
      <c r="H69" s="5" t="s">
        <v>94</v>
      </c>
      <c r="I69" s="5" t="s">
        <v>95</v>
      </c>
      <c r="J69" s="5" t="s">
        <v>38</v>
      </c>
      <c r="K69" s="5" t="s">
        <v>9</v>
      </c>
      <c r="L69" s="5" t="s">
        <v>0</v>
      </c>
      <c r="S69" s="27"/>
    </row>
    <row r="70" spans="3:19" x14ac:dyDescent="0.25">
      <c r="C70" s="1" t="s">
        <v>49</v>
      </c>
      <c r="D70" s="36">
        <f>'Reimbursement Rates &lt;-INPUT'!C9</f>
        <v>0</v>
      </c>
      <c r="E70" s="36">
        <f t="shared" ref="E70:J86" si="8">D70</f>
        <v>0</v>
      </c>
      <c r="F70" s="36">
        <f t="shared" si="8"/>
        <v>0</v>
      </c>
      <c r="G70" s="36">
        <f t="shared" si="8"/>
        <v>0</v>
      </c>
      <c r="H70" s="36">
        <f t="shared" si="8"/>
        <v>0</v>
      </c>
      <c r="I70" s="36">
        <f t="shared" si="8"/>
        <v>0</v>
      </c>
      <c r="J70" s="36">
        <f t="shared" si="8"/>
        <v>0</v>
      </c>
      <c r="K70" s="36">
        <f>J70</f>
        <v>0</v>
      </c>
      <c r="L70" s="36">
        <f t="shared" ref="L70:L86" si="9">J70</f>
        <v>0</v>
      </c>
    </row>
    <row r="71" spans="3:19" x14ac:dyDescent="0.25">
      <c r="C71" s="1" t="s">
        <v>8</v>
      </c>
      <c r="D71" s="36">
        <f>'Reimbursement Rates &lt;-INPUT'!C10</f>
        <v>1</v>
      </c>
      <c r="E71" s="36">
        <f t="shared" si="8"/>
        <v>1</v>
      </c>
      <c r="F71" s="36">
        <f t="shared" si="8"/>
        <v>1</v>
      </c>
      <c r="G71" s="36">
        <f t="shared" si="8"/>
        <v>1</v>
      </c>
      <c r="H71" s="36">
        <f t="shared" si="8"/>
        <v>1</v>
      </c>
      <c r="I71" s="36">
        <f t="shared" si="8"/>
        <v>1</v>
      </c>
      <c r="J71" s="36">
        <f t="shared" si="8"/>
        <v>1</v>
      </c>
      <c r="K71" s="36">
        <f t="shared" ref="K71:K86" si="10">J71</f>
        <v>1</v>
      </c>
      <c r="L71" s="36">
        <f t="shared" si="9"/>
        <v>1</v>
      </c>
      <c r="S71" s="27"/>
    </row>
    <row r="72" spans="3:19" x14ac:dyDescent="0.25">
      <c r="C72" s="1" t="s">
        <v>7</v>
      </c>
      <c r="D72" s="36">
        <f>'Reimbursement Rates &lt;-INPUT'!C11</f>
        <v>0</v>
      </c>
      <c r="E72" s="36">
        <f t="shared" si="8"/>
        <v>0</v>
      </c>
      <c r="F72" s="36">
        <f t="shared" si="8"/>
        <v>0</v>
      </c>
      <c r="G72" s="36">
        <f t="shared" si="8"/>
        <v>0</v>
      </c>
      <c r="H72" s="36">
        <f t="shared" si="8"/>
        <v>0</v>
      </c>
      <c r="I72" s="36">
        <f t="shared" si="8"/>
        <v>0</v>
      </c>
      <c r="J72" s="36">
        <f t="shared" si="8"/>
        <v>0</v>
      </c>
      <c r="K72" s="36">
        <f t="shared" si="10"/>
        <v>0</v>
      </c>
      <c r="L72" s="36">
        <f t="shared" si="9"/>
        <v>0</v>
      </c>
    </row>
    <row r="73" spans="3:19" x14ac:dyDescent="0.25">
      <c r="C73" s="1" t="s">
        <v>42</v>
      </c>
      <c r="D73" s="36">
        <f>'Reimbursement Rates &lt;-INPUT'!C12</f>
        <v>0</v>
      </c>
      <c r="E73" s="36">
        <f t="shared" si="8"/>
        <v>0</v>
      </c>
      <c r="F73" s="36">
        <f t="shared" si="8"/>
        <v>0</v>
      </c>
      <c r="G73" s="36">
        <f t="shared" si="8"/>
        <v>0</v>
      </c>
      <c r="H73" s="36">
        <f t="shared" si="8"/>
        <v>0</v>
      </c>
      <c r="I73" s="36">
        <f t="shared" si="8"/>
        <v>0</v>
      </c>
      <c r="J73" s="36">
        <f t="shared" si="8"/>
        <v>0</v>
      </c>
      <c r="K73" s="36">
        <f t="shared" si="10"/>
        <v>0</v>
      </c>
      <c r="L73" s="36">
        <f t="shared" si="9"/>
        <v>0</v>
      </c>
    </row>
    <row r="74" spans="3:19" x14ac:dyDescent="0.25">
      <c r="C74" s="1" t="s">
        <v>6</v>
      </c>
      <c r="D74" s="36">
        <f>'Reimbursement Rates &lt;-INPUT'!C13</f>
        <v>0</v>
      </c>
      <c r="E74" s="36">
        <f t="shared" si="8"/>
        <v>0</v>
      </c>
      <c r="F74" s="36">
        <f t="shared" si="8"/>
        <v>0</v>
      </c>
      <c r="G74" s="36">
        <f t="shared" si="8"/>
        <v>0</v>
      </c>
      <c r="H74" s="36">
        <f t="shared" si="8"/>
        <v>0</v>
      </c>
      <c r="I74" s="36">
        <f t="shared" si="8"/>
        <v>0</v>
      </c>
      <c r="J74" s="36">
        <f t="shared" si="8"/>
        <v>0</v>
      </c>
      <c r="K74" s="36">
        <f t="shared" si="10"/>
        <v>0</v>
      </c>
      <c r="L74" s="36">
        <f t="shared" si="9"/>
        <v>0</v>
      </c>
      <c r="S74" s="27"/>
    </row>
    <row r="75" spans="3:19" x14ac:dyDescent="0.25">
      <c r="C75" s="1" t="s">
        <v>50</v>
      </c>
      <c r="D75" s="36">
        <f>'Reimbursement Rates &lt;-INPUT'!C15</f>
        <v>0</v>
      </c>
      <c r="E75" s="36">
        <f t="shared" si="8"/>
        <v>0</v>
      </c>
      <c r="F75" s="36">
        <f t="shared" si="8"/>
        <v>0</v>
      </c>
      <c r="G75" s="36">
        <f t="shared" si="8"/>
        <v>0</v>
      </c>
      <c r="H75" s="36">
        <f t="shared" si="8"/>
        <v>0</v>
      </c>
      <c r="I75" s="36">
        <f t="shared" si="8"/>
        <v>0</v>
      </c>
      <c r="J75" s="36">
        <f t="shared" si="8"/>
        <v>0</v>
      </c>
      <c r="K75" s="36">
        <f t="shared" si="10"/>
        <v>0</v>
      </c>
      <c r="L75" s="36">
        <f t="shared" si="9"/>
        <v>0</v>
      </c>
      <c r="O75" s="9"/>
    </row>
    <row r="76" spans="3:19" x14ac:dyDescent="0.25">
      <c r="C76" s="1" t="s">
        <v>89</v>
      </c>
      <c r="D76" s="36">
        <f>'Reimbursement Rates &lt;-INPUT'!C16</f>
        <v>0</v>
      </c>
      <c r="E76" s="36">
        <f t="shared" si="8"/>
        <v>0</v>
      </c>
      <c r="F76" s="36">
        <f t="shared" si="8"/>
        <v>0</v>
      </c>
      <c r="G76" s="36">
        <f t="shared" si="8"/>
        <v>0</v>
      </c>
      <c r="H76" s="36">
        <f t="shared" si="8"/>
        <v>0</v>
      </c>
      <c r="I76" s="36">
        <f t="shared" si="8"/>
        <v>0</v>
      </c>
      <c r="J76" s="36">
        <f t="shared" si="8"/>
        <v>0</v>
      </c>
      <c r="K76" s="36">
        <f t="shared" si="10"/>
        <v>0</v>
      </c>
      <c r="L76" s="36">
        <f t="shared" si="9"/>
        <v>0</v>
      </c>
      <c r="O76" s="9"/>
    </row>
    <row r="77" spans="3:19" x14ac:dyDescent="0.25">
      <c r="C77" s="1" t="s">
        <v>5</v>
      </c>
      <c r="D77" s="36">
        <f>'Reimbursement Rates &lt;-INPUT'!C17</f>
        <v>0</v>
      </c>
      <c r="E77" s="36">
        <f t="shared" si="8"/>
        <v>0</v>
      </c>
      <c r="F77" s="36">
        <f t="shared" si="8"/>
        <v>0</v>
      </c>
      <c r="G77" s="36">
        <f t="shared" si="8"/>
        <v>0</v>
      </c>
      <c r="H77" s="36">
        <f t="shared" si="8"/>
        <v>0</v>
      </c>
      <c r="I77" s="36">
        <f t="shared" si="8"/>
        <v>0</v>
      </c>
      <c r="J77" s="36">
        <f t="shared" si="8"/>
        <v>0</v>
      </c>
      <c r="K77" s="36">
        <f t="shared" si="10"/>
        <v>0</v>
      </c>
      <c r="L77" s="36">
        <f t="shared" si="9"/>
        <v>0</v>
      </c>
      <c r="O77" s="9"/>
      <c r="S77" s="27"/>
    </row>
    <row r="78" spans="3:19" x14ac:dyDescent="0.25">
      <c r="C78" s="1" t="s">
        <v>84</v>
      </c>
      <c r="D78" s="36">
        <f>'Reimbursement Rates &lt;-INPUT'!C18</f>
        <v>0</v>
      </c>
      <c r="E78" s="36">
        <f t="shared" si="8"/>
        <v>0</v>
      </c>
      <c r="F78" s="36">
        <f t="shared" si="8"/>
        <v>0</v>
      </c>
      <c r="G78" s="36">
        <f t="shared" si="8"/>
        <v>0</v>
      </c>
      <c r="H78" s="36">
        <f t="shared" si="8"/>
        <v>0</v>
      </c>
      <c r="I78" s="36">
        <f t="shared" si="8"/>
        <v>0</v>
      </c>
      <c r="J78" s="36">
        <f t="shared" si="8"/>
        <v>0</v>
      </c>
      <c r="K78" s="36">
        <f t="shared" si="10"/>
        <v>0</v>
      </c>
      <c r="L78" s="36">
        <f t="shared" si="9"/>
        <v>0</v>
      </c>
      <c r="O78" s="9"/>
      <c r="S78" s="27"/>
    </row>
    <row r="79" spans="3:19" x14ac:dyDescent="0.25">
      <c r="C79" s="1" t="s">
        <v>4</v>
      </c>
      <c r="D79" s="36">
        <f>'Reimbursement Rates &lt;-INPUT'!C19</f>
        <v>0</v>
      </c>
      <c r="E79" s="36">
        <f t="shared" si="8"/>
        <v>0</v>
      </c>
      <c r="F79" s="36">
        <f t="shared" si="8"/>
        <v>0</v>
      </c>
      <c r="G79" s="36">
        <f t="shared" si="8"/>
        <v>0</v>
      </c>
      <c r="H79" s="36">
        <f t="shared" si="8"/>
        <v>0</v>
      </c>
      <c r="I79" s="36">
        <f t="shared" si="8"/>
        <v>0</v>
      </c>
      <c r="J79" s="36">
        <f t="shared" si="8"/>
        <v>0</v>
      </c>
      <c r="K79" s="36">
        <f t="shared" si="10"/>
        <v>0</v>
      </c>
      <c r="L79" s="36">
        <f t="shared" si="9"/>
        <v>0</v>
      </c>
      <c r="O79" s="9"/>
    </row>
    <row r="80" spans="3:19" x14ac:dyDescent="0.25">
      <c r="C80" s="1" t="s">
        <v>51</v>
      </c>
      <c r="D80" s="36">
        <f>'Reimbursement Rates &lt;-INPUT'!C20</f>
        <v>0</v>
      </c>
      <c r="E80" s="36">
        <f t="shared" si="8"/>
        <v>0</v>
      </c>
      <c r="F80" s="36">
        <f t="shared" si="8"/>
        <v>0</v>
      </c>
      <c r="G80" s="36">
        <f t="shared" si="8"/>
        <v>0</v>
      </c>
      <c r="H80" s="36">
        <f t="shared" si="8"/>
        <v>0</v>
      </c>
      <c r="I80" s="36">
        <f t="shared" si="8"/>
        <v>0</v>
      </c>
      <c r="J80" s="36">
        <f t="shared" si="8"/>
        <v>0</v>
      </c>
      <c r="K80" s="36">
        <f t="shared" si="10"/>
        <v>0</v>
      </c>
      <c r="L80" s="36">
        <f t="shared" si="9"/>
        <v>0</v>
      </c>
      <c r="O80" s="9"/>
      <c r="S80" s="27"/>
    </row>
    <row r="81" spans="3:22" x14ac:dyDescent="0.25">
      <c r="C81" s="1" t="s">
        <v>85</v>
      </c>
      <c r="D81" s="36">
        <f>'Reimbursement Rates &lt;-INPUT'!C22</f>
        <v>0</v>
      </c>
      <c r="E81" s="36">
        <f t="shared" si="8"/>
        <v>0</v>
      </c>
      <c r="F81" s="36">
        <f t="shared" si="8"/>
        <v>0</v>
      </c>
      <c r="G81" s="36">
        <f t="shared" si="8"/>
        <v>0</v>
      </c>
      <c r="H81" s="36">
        <f t="shared" si="8"/>
        <v>0</v>
      </c>
      <c r="I81" s="36">
        <f t="shared" si="8"/>
        <v>0</v>
      </c>
      <c r="J81" s="36">
        <f t="shared" si="8"/>
        <v>0</v>
      </c>
      <c r="K81" s="36">
        <f t="shared" si="10"/>
        <v>0</v>
      </c>
      <c r="L81" s="36">
        <f t="shared" si="9"/>
        <v>0</v>
      </c>
      <c r="O81" s="9"/>
      <c r="S81" s="27"/>
    </row>
    <row r="82" spans="3:22" x14ac:dyDescent="0.25">
      <c r="C82" s="1" t="s">
        <v>2</v>
      </c>
      <c r="D82" s="36">
        <f>'Reimbursement Rates &lt;-INPUT'!C23</f>
        <v>1</v>
      </c>
      <c r="E82" s="36">
        <f t="shared" si="8"/>
        <v>1</v>
      </c>
      <c r="F82" s="36">
        <f t="shared" si="8"/>
        <v>1</v>
      </c>
      <c r="G82" s="36">
        <f t="shared" si="8"/>
        <v>1</v>
      </c>
      <c r="H82" s="36">
        <f t="shared" si="8"/>
        <v>1</v>
      </c>
      <c r="I82" s="36">
        <f t="shared" si="8"/>
        <v>1</v>
      </c>
      <c r="J82" s="36">
        <f t="shared" si="8"/>
        <v>1</v>
      </c>
      <c r="K82" s="36">
        <f t="shared" si="10"/>
        <v>1</v>
      </c>
      <c r="L82" s="36">
        <f t="shared" si="9"/>
        <v>1</v>
      </c>
      <c r="O82" s="9"/>
      <c r="S82" s="27"/>
    </row>
    <row r="83" spans="3:22" x14ac:dyDescent="0.25">
      <c r="C83" s="1" t="s">
        <v>86</v>
      </c>
      <c r="D83" s="36">
        <f>'Reimbursement Rates &lt;-INPUT'!C24</f>
        <v>0</v>
      </c>
      <c r="E83" s="36">
        <f t="shared" si="8"/>
        <v>0</v>
      </c>
      <c r="F83" s="36">
        <f t="shared" si="8"/>
        <v>0</v>
      </c>
      <c r="G83" s="36">
        <f t="shared" si="8"/>
        <v>0</v>
      </c>
      <c r="H83" s="36">
        <f t="shared" si="8"/>
        <v>0</v>
      </c>
      <c r="I83" s="36">
        <f t="shared" si="8"/>
        <v>0</v>
      </c>
      <c r="J83" s="36">
        <f t="shared" si="8"/>
        <v>0</v>
      </c>
      <c r="K83" s="36">
        <f t="shared" si="10"/>
        <v>0</v>
      </c>
      <c r="L83" s="36">
        <f t="shared" si="9"/>
        <v>0</v>
      </c>
      <c r="O83" s="9"/>
    </row>
    <row r="84" spans="3:22" x14ac:dyDescent="0.25">
      <c r="C84" s="1" t="s">
        <v>29</v>
      </c>
      <c r="D84" s="36">
        <f>'Reimbursement Rates &lt;-INPUT'!C25</f>
        <v>0</v>
      </c>
      <c r="E84" s="36">
        <f t="shared" si="8"/>
        <v>0</v>
      </c>
      <c r="F84" s="36">
        <f t="shared" si="8"/>
        <v>0</v>
      </c>
      <c r="G84" s="36">
        <f t="shared" si="8"/>
        <v>0</v>
      </c>
      <c r="H84" s="36">
        <f t="shared" si="8"/>
        <v>0</v>
      </c>
      <c r="I84" s="36">
        <f t="shared" si="8"/>
        <v>0</v>
      </c>
      <c r="J84" s="36">
        <f t="shared" si="8"/>
        <v>0</v>
      </c>
      <c r="K84" s="36">
        <f t="shared" si="10"/>
        <v>0</v>
      </c>
      <c r="L84" s="36">
        <f t="shared" si="9"/>
        <v>0</v>
      </c>
      <c r="O84" s="9"/>
    </row>
    <row r="85" spans="3:22" x14ac:dyDescent="0.25">
      <c r="C85" s="1" t="s">
        <v>52</v>
      </c>
      <c r="D85" s="36">
        <f>'Reimbursement Rates &lt;-INPUT'!C26</f>
        <v>0</v>
      </c>
      <c r="E85" s="36">
        <f t="shared" si="8"/>
        <v>0</v>
      </c>
      <c r="F85" s="36">
        <f t="shared" si="8"/>
        <v>0</v>
      </c>
      <c r="G85" s="36">
        <f t="shared" si="8"/>
        <v>0</v>
      </c>
      <c r="H85" s="36">
        <f t="shared" si="8"/>
        <v>0</v>
      </c>
      <c r="I85" s="36">
        <f t="shared" si="8"/>
        <v>0</v>
      </c>
      <c r="J85" s="36">
        <f t="shared" si="8"/>
        <v>0</v>
      </c>
      <c r="K85" s="36">
        <f t="shared" si="10"/>
        <v>0</v>
      </c>
      <c r="L85" s="36">
        <f t="shared" si="9"/>
        <v>0</v>
      </c>
      <c r="O85" s="9"/>
      <c r="S85" s="27"/>
    </row>
    <row r="86" spans="3:22" x14ac:dyDescent="0.25">
      <c r="C86" s="1" t="s">
        <v>1</v>
      </c>
      <c r="D86" s="36">
        <f>'Reimbursement Rates &lt;-INPUT'!C28</f>
        <v>0</v>
      </c>
      <c r="E86" s="36">
        <f t="shared" si="8"/>
        <v>0</v>
      </c>
      <c r="F86" s="36">
        <f t="shared" si="8"/>
        <v>0</v>
      </c>
      <c r="G86" s="36">
        <f t="shared" si="8"/>
        <v>0</v>
      </c>
      <c r="H86" s="36">
        <f t="shared" si="8"/>
        <v>0</v>
      </c>
      <c r="I86" s="36">
        <f t="shared" si="8"/>
        <v>0</v>
      </c>
      <c r="J86" s="36">
        <f t="shared" si="8"/>
        <v>0</v>
      </c>
      <c r="K86" s="36">
        <f t="shared" si="10"/>
        <v>0</v>
      </c>
      <c r="L86" s="36">
        <f t="shared" si="9"/>
        <v>0</v>
      </c>
      <c r="O86" s="9"/>
      <c r="S86" s="27"/>
    </row>
    <row r="87" spans="3:22" ht="15.75" thickBot="1" x14ac:dyDescent="0.3">
      <c r="C87" s="1"/>
      <c r="D87" s="9"/>
      <c r="E87" s="9"/>
      <c r="F87" s="9"/>
      <c r="G87" s="9"/>
      <c r="H87" s="9"/>
      <c r="I87" s="9"/>
      <c r="J87" s="9"/>
      <c r="K87" s="9"/>
      <c r="L87" s="9"/>
      <c r="O87" s="9"/>
      <c r="S87" s="27"/>
    </row>
    <row r="88" spans="3:22" ht="15.75" thickBot="1" x14ac:dyDescent="0.3">
      <c r="C88" s="150" t="s">
        <v>33</v>
      </c>
      <c r="D88" s="151"/>
      <c r="E88" s="151"/>
      <c r="F88" s="151"/>
      <c r="G88" s="151"/>
      <c r="H88" s="151"/>
      <c r="I88" s="151"/>
      <c r="J88" s="151"/>
      <c r="K88" s="151"/>
      <c r="L88" s="152"/>
      <c r="O88" s="9"/>
      <c r="S88" s="27"/>
    </row>
    <row r="89" spans="3:22" x14ac:dyDescent="0.25">
      <c r="C89" s="4" t="s">
        <v>16</v>
      </c>
      <c r="D89" s="5" t="s">
        <v>15</v>
      </c>
      <c r="E89" s="5" t="s">
        <v>14</v>
      </c>
      <c r="F89" s="5" t="s">
        <v>13</v>
      </c>
      <c r="G89" s="5" t="s">
        <v>12</v>
      </c>
      <c r="H89" s="5" t="s">
        <v>94</v>
      </c>
      <c r="I89" s="5" t="s">
        <v>95</v>
      </c>
      <c r="J89" s="5" t="s">
        <v>38</v>
      </c>
      <c r="K89" s="5" t="s">
        <v>9</v>
      </c>
      <c r="L89" s="5" t="s">
        <v>0</v>
      </c>
      <c r="M89" s="33"/>
      <c r="N89" s="33"/>
      <c r="O89" s="32"/>
      <c r="P89" s="33"/>
      <c r="Q89" s="33"/>
      <c r="R89" s="33"/>
      <c r="S89" s="33"/>
      <c r="T89" s="33"/>
      <c r="U89" s="33"/>
      <c r="V89" s="33"/>
    </row>
    <row r="90" spans="3:22" x14ac:dyDescent="0.25">
      <c r="C90" s="1" t="s">
        <v>49</v>
      </c>
      <c r="D90" s="98">
        <f>D49*(1-D70)</f>
        <v>0</v>
      </c>
      <c r="E90" s="98">
        <f t="shared" ref="E90:K90" si="11">E49*(1-E70)</f>
        <v>0</v>
      </c>
      <c r="F90" s="98">
        <f t="shared" si="11"/>
        <v>0</v>
      </c>
      <c r="G90" s="98">
        <f t="shared" si="11"/>
        <v>0</v>
      </c>
      <c r="H90" s="98">
        <f t="shared" si="11"/>
        <v>0</v>
      </c>
      <c r="I90" s="98">
        <f t="shared" si="11"/>
        <v>0</v>
      </c>
      <c r="J90" s="98">
        <f t="shared" si="11"/>
        <v>0</v>
      </c>
      <c r="K90" s="98">
        <f t="shared" si="11"/>
        <v>0</v>
      </c>
      <c r="L90" s="98">
        <f>SUM(D90:K90)</f>
        <v>0</v>
      </c>
      <c r="M90" s="33"/>
      <c r="N90" s="124"/>
      <c r="O90" s="32"/>
      <c r="P90" s="33"/>
      <c r="Q90" s="33"/>
      <c r="R90" s="33"/>
      <c r="S90" s="27"/>
      <c r="T90" s="33"/>
      <c r="U90" s="33"/>
      <c r="V90" s="33"/>
    </row>
    <row r="91" spans="3:22" x14ac:dyDescent="0.25">
      <c r="C91" s="1" t="s">
        <v>8</v>
      </c>
      <c r="D91" s="37">
        <f t="shared" ref="D91:K91" si="12">D50*(1-D71)</f>
        <v>0</v>
      </c>
      <c r="E91" s="37">
        <f t="shared" si="12"/>
        <v>0</v>
      </c>
      <c r="F91" s="37">
        <f t="shared" si="12"/>
        <v>0</v>
      </c>
      <c r="G91" s="37">
        <f t="shared" si="12"/>
        <v>0</v>
      </c>
      <c r="H91" s="37">
        <f t="shared" si="12"/>
        <v>0</v>
      </c>
      <c r="I91" s="37">
        <f t="shared" si="12"/>
        <v>0</v>
      </c>
      <c r="J91" s="37">
        <f t="shared" si="12"/>
        <v>0</v>
      </c>
      <c r="K91" s="37">
        <f t="shared" si="12"/>
        <v>0</v>
      </c>
      <c r="L91" s="37">
        <f t="shared" ref="L91:L106" si="13">SUM(D91:K91)</f>
        <v>0</v>
      </c>
      <c r="M91" s="33"/>
      <c r="N91" s="33"/>
      <c r="O91" s="32"/>
      <c r="P91" s="33"/>
      <c r="Q91" s="33"/>
      <c r="R91" s="33"/>
      <c r="S91" s="9"/>
      <c r="T91" s="33"/>
      <c r="U91" s="33"/>
      <c r="V91" s="33"/>
    </row>
    <row r="92" spans="3:22" x14ac:dyDescent="0.25">
      <c r="C92" s="1" t="s">
        <v>7</v>
      </c>
      <c r="D92" s="37">
        <f t="shared" ref="D92:K92" si="14">D51*(1-D72)</f>
        <v>0</v>
      </c>
      <c r="E92" s="37">
        <f t="shared" si="14"/>
        <v>0</v>
      </c>
      <c r="F92" s="37">
        <f t="shared" si="14"/>
        <v>0</v>
      </c>
      <c r="G92" s="37">
        <f t="shared" si="14"/>
        <v>0</v>
      </c>
      <c r="H92" s="37">
        <f t="shared" si="14"/>
        <v>0</v>
      </c>
      <c r="I92" s="37">
        <f t="shared" si="14"/>
        <v>0</v>
      </c>
      <c r="J92" s="37">
        <f t="shared" si="14"/>
        <v>0</v>
      </c>
      <c r="K92" s="37">
        <f t="shared" si="14"/>
        <v>0</v>
      </c>
      <c r="L92" s="37">
        <f t="shared" si="13"/>
        <v>0</v>
      </c>
      <c r="M92" s="33"/>
      <c r="N92" s="33"/>
      <c r="O92" s="32"/>
      <c r="P92" s="33"/>
      <c r="Q92" s="33"/>
      <c r="R92" s="33"/>
      <c r="S92" s="33"/>
      <c r="T92" s="33"/>
      <c r="U92" s="33"/>
      <c r="V92" s="33"/>
    </row>
    <row r="93" spans="3:22" x14ac:dyDescent="0.25">
      <c r="C93" s="1" t="s">
        <v>42</v>
      </c>
      <c r="D93" s="37">
        <f t="shared" ref="D93:K93" si="15">D52*(1-D73)</f>
        <v>0</v>
      </c>
      <c r="E93" s="37">
        <f t="shared" si="15"/>
        <v>0</v>
      </c>
      <c r="F93" s="37">
        <f t="shared" si="15"/>
        <v>0</v>
      </c>
      <c r="G93" s="37">
        <f t="shared" si="15"/>
        <v>0</v>
      </c>
      <c r="H93" s="37">
        <f t="shared" si="15"/>
        <v>0</v>
      </c>
      <c r="I93" s="37">
        <f t="shared" si="15"/>
        <v>0</v>
      </c>
      <c r="J93" s="37">
        <f t="shared" si="15"/>
        <v>0</v>
      </c>
      <c r="K93" s="37">
        <f t="shared" si="15"/>
        <v>0</v>
      </c>
      <c r="L93" s="37">
        <f t="shared" si="13"/>
        <v>0</v>
      </c>
      <c r="M93" s="33"/>
      <c r="N93" s="33"/>
      <c r="O93" s="32"/>
      <c r="P93" s="33"/>
      <c r="Q93" s="33"/>
      <c r="R93" s="33"/>
      <c r="S93" s="33"/>
      <c r="T93" s="33"/>
      <c r="U93" s="33"/>
      <c r="V93" s="33"/>
    </row>
    <row r="94" spans="3:22" x14ac:dyDescent="0.25">
      <c r="C94" s="1" t="s">
        <v>6</v>
      </c>
      <c r="D94" s="37">
        <f t="shared" ref="D94:K94" si="16">D53*(1-D74)</f>
        <v>0</v>
      </c>
      <c r="E94" s="37">
        <f t="shared" si="16"/>
        <v>0</v>
      </c>
      <c r="F94" s="37">
        <f t="shared" si="16"/>
        <v>0</v>
      </c>
      <c r="G94" s="37">
        <f t="shared" si="16"/>
        <v>0</v>
      </c>
      <c r="H94" s="37">
        <f t="shared" si="16"/>
        <v>0</v>
      </c>
      <c r="I94" s="37">
        <f t="shared" si="16"/>
        <v>0</v>
      </c>
      <c r="J94" s="37">
        <f t="shared" si="16"/>
        <v>0</v>
      </c>
      <c r="K94" s="37">
        <f t="shared" si="16"/>
        <v>-1726.8100000000006</v>
      </c>
      <c r="L94" s="37">
        <f t="shared" si="13"/>
        <v>-1726.8100000000006</v>
      </c>
      <c r="M94" s="33"/>
      <c r="N94" s="33"/>
      <c r="O94" s="32"/>
      <c r="P94" s="33"/>
      <c r="Q94" s="33"/>
      <c r="R94" s="33"/>
      <c r="S94" s="33"/>
      <c r="T94" s="33"/>
      <c r="U94" s="33"/>
      <c r="V94" s="33"/>
    </row>
    <row r="95" spans="3:22" x14ac:dyDescent="0.25">
      <c r="C95" s="1" t="s">
        <v>50</v>
      </c>
      <c r="D95" s="37">
        <f t="shared" ref="D95:K95" si="17">D54*(1-D75)</f>
        <v>0</v>
      </c>
      <c r="E95" s="37">
        <f t="shared" si="17"/>
        <v>0</v>
      </c>
      <c r="F95" s="37">
        <f t="shared" si="17"/>
        <v>0</v>
      </c>
      <c r="G95" s="37">
        <f t="shared" si="17"/>
        <v>0</v>
      </c>
      <c r="H95" s="37">
        <f t="shared" si="17"/>
        <v>0</v>
      </c>
      <c r="I95" s="37">
        <f t="shared" si="17"/>
        <v>0</v>
      </c>
      <c r="J95" s="37">
        <f t="shared" si="17"/>
        <v>0</v>
      </c>
      <c r="K95" s="37">
        <f t="shared" si="17"/>
        <v>0</v>
      </c>
      <c r="L95" s="37">
        <f t="shared" si="13"/>
        <v>0</v>
      </c>
      <c r="M95" s="33"/>
      <c r="N95" s="33"/>
      <c r="O95" s="32"/>
      <c r="P95" s="33"/>
      <c r="Q95" s="33"/>
      <c r="R95" s="33"/>
      <c r="S95" s="33"/>
      <c r="T95" s="33"/>
      <c r="U95" s="33"/>
      <c r="V95" s="33"/>
    </row>
    <row r="96" spans="3:22" x14ac:dyDescent="0.25">
      <c r="C96" s="1" t="s">
        <v>89</v>
      </c>
      <c r="D96" s="37">
        <f t="shared" ref="D96:K96" si="18">D55*(1-D76)</f>
        <v>0</v>
      </c>
      <c r="E96" s="37">
        <f t="shared" si="18"/>
        <v>0</v>
      </c>
      <c r="F96" s="37">
        <f t="shared" si="18"/>
        <v>0</v>
      </c>
      <c r="G96" s="37">
        <f t="shared" si="18"/>
        <v>0</v>
      </c>
      <c r="H96" s="37">
        <f t="shared" si="18"/>
        <v>0</v>
      </c>
      <c r="I96" s="37">
        <f t="shared" si="18"/>
        <v>0</v>
      </c>
      <c r="J96" s="37">
        <f t="shared" si="18"/>
        <v>0</v>
      </c>
      <c r="K96" s="37">
        <f t="shared" si="18"/>
        <v>0</v>
      </c>
      <c r="L96" s="37">
        <f t="shared" si="13"/>
        <v>0</v>
      </c>
      <c r="M96" s="33"/>
      <c r="N96" s="33"/>
      <c r="O96" s="32"/>
      <c r="P96" s="33"/>
      <c r="Q96" s="33"/>
      <c r="R96" s="33"/>
      <c r="S96" s="33"/>
      <c r="T96" s="33"/>
      <c r="U96" s="33"/>
      <c r="V96" s="33"/>
    </row>
    <row r="97" spans="3:22" x14ac:dyDescent="0.25">
      <c r="C97" s="1" t="s">
        <v>5</v>
      </c>
      <c r="D97" s="37">
        <f t="shared" ref="D97:K97" si="19">D56*(1-D77)</f>
        <v>0</v>
      </c>
      <c r="E97" s="37">
        <f t="shared" si="19"/>
        <v>0</v>
      </c>
      <c r="F97" s="37">
        <f t="shared" si="19"/>
        <v>0</v>
      </c>
      <c r="G97" s="37">
        <f t="shared" si="19"/>
        <v>0</v>
      </c>
      <c r="H97" s="37">
        <f t="shared" si="19"/>
        <v>0</v>
      </c>
      <c r="I97" s="37">
        <f t="shared" si="19"/>
        <v>0</v>
      </c>
      <c r="J97" s="37">
        <f t="shared" si="19"/>
        <v>0</v>
      </c>
      <c r="K97" s="37">
        <f t="shared" si="19"/>
        <v>0</v>
      </c>
      <c r="L97" s="37">
        <f t="shared" si="13"/>
        <v>0</v>
      </c>
      <c r="M97" s="33"/>
      <c r="N97" s="33"/>
      <c r="O97" s="32"/>
      <c r="P97" s="33"/>
      <c r="Q97" s="33"/>
      <c r="R97" s="33"/>
      <c r="S97" s="33"/>
      <c r="T97" s="33"/>
      <c r="U97" s="33"/>
      <c r="V97" s="33"/>
    </row>
    <row r="98" spans="3:22" x14ac:dyDescent="0.25">
      <c r="C98" s="1" t="s">
        <v>84</v>
      </c>
      <c r="D98" s="37">
        <f t="shared" ref="D98:K98" si="20">D57*(1-D78)</f>
        <v>0</v>
      </c>
      <c r="E98" s="37">
        <f t="shared" si="20"/>
        <v>0</v>
      </c>
      <c r="F98" s="37">
        <f t="shared" si="20"/>
        <v>0</v>
      </c>
      <c r="G98" s="37">
        <f t="shared" si="20"/>
        <v>0</v>
      </c>
      <c r="H98" s="37">
        <f t="shared" si="20"/>
        <v>0</v>
      </c>
      <c r="I98" s="37">
        <f t="shared" si="20"/>
        <v>0</v>
      </c>
      <c r="J98" s="37">
        <f t="shared" si="20"/>
        <v>0</v>
      </c>
      <c r="K98" s="37">
        <f t="shared" si="20"/>
        <v>-28.6</v>
      </c>
      <c r="L98" s="37">
        <f t="shared" si="13"/>
        <v>-28.6</v>
      </c>
      <c r="M98" s="33"/>
      <c r="N98" s="33"/>
      <c r="O98" s="32"/>
      <c r="P98" s="33"/>
      <c r="Q98" s="33"/>
      <c r="R98" s="33"/>
      <c r="S98" s="33"/>
      <c r="T98" s="33"/>
      <c r="U98" s="33"/>
      <c r="V98" s="33"/>
    </row>
    <row r="99" spans="3:22" x14ac:dyDescent="0.25">
      <c r="C99" s="1" t="s">
        <v>4</v>
      </c>
      <c r="D99" s="37">
        <f t="shared" ref="D99:K99" si="21">D58*(1-D79)</f>
        <v>0</v>
      </c>
      <c r="E99" s="37">
        <f t="shared" si="21"/>
        <v>0</v>
      </c>
      <c r="F99" s="37">
        <f t="shared" si="21"/>
        <v>0</v>
      </c>
      <c r="G99" s="37">
        <f t="shared" si="21"/>
        <v>0</v>
      </c>
      <c r="H99" s="37">
        <f t="shared" si="21"/>
        <v>0</v>
      </c>
      <c r="I99" s="37">
        <f t="shared" si="21"/>
        <v>0</v>
      </c>
      <c r="J99" s="37">
        <f t="shared" si="21"/>
        <v>0</v>
      </c>
      <c r="K99" s="37">
        <f t="shared" si="21"/>
        <v>1723.8000000000009</v>
      </c>
      <c r="L99" s="37">
        <f t="shared" si="13"/>
        <v>1723.8000000000009</v>
      </c>
      <c r="M99" s="33"/>
      <c r="N99" s="33"/>
      <c r="O99" s="32"/>
      <c r="P99" s="33"/>
      <c r="Q99" s="33"/>
      <c r="R99" s="33"/>
      <c r="S99" s="33"/>
      <c r="T99" s="33"/>
      <c r="U99" s="33"/>
      <c r="V99" s="33"/>
    </row>
    <row r="100" spans="3:22" x14ac:dyDescent="0.25">
      <c r="C100" s="1" t="s">
        <v>51</v>
      </c>
      <c r="D100" s="37">
        <f t="shared" ref="D100:K100" si="22">D59*(1-D80)</f>
        <v>0</v>
      </c>
      <c r="E100" s="37">
        <f t="shared" si="22"/>
        <v>0</v>
      </c>
      <c r="F100" s="37">
        <f t="shared" si="22"/>
        <v>0</v>
      </c>
      <c r="G100" s="37">
        <f t="shared" si="22"/>
        <v>0</v>
      </c>
      <c r="H100" s="37">
        <f t="shared" si="22"/>
        <v>0</v>
      </c>
      <c r="I100" s="37">
        <f t="shared" si="22"/>
        <v>0</v>
      </c>
      <c r="J100" s="37">
        <f t="shared" si="22"/>
        <v>0</v>
      </c>
      <c r="K100" s="37">
        <f t="shared" si="22"/>
        <v>0</v>
      </c>
      <c r="L100" s="37">
        <f t="shared" si="13"/>
        <v>0</v>
      </c>
      <c r="M100" s="33"/>
      <c r="N100" s="33"/>
      <c r="O100" s="32"/>
      <c r="P100" s="33"/>
      <c r="Q100" s="33"/>
      <c r="R100" s="33"/>
      <c r="S100" s="33"/>
      <c r="T100" s="33"/>
      <c r="U100" s="33"/>
      <c r="V100" s="33"/>
    </row>
    <row r="101" spans="3:22" x14ac:dyDescent="0.25">
      <c r="C101" s="1" t="s">
        <v>85</v>
      </c>
      <c r="D101" s="37">
        <f t="shared" ref="D101:K101" si="23">D60*(1-D81)</f>
        <v>0</v>
      </c>
      <c r="E101" s="37">
        <f t="shared" si="23"/>
        <v>0</v>
      </c>
      <c r="F101" s="37">
        <f t="shared" si="23"/>
        <v>0</v>
      </c>
      <c r="G101" s="37">
        <f t="shared" si="23"/>
        <v>0</v>
      </c>
      <c r="H101" s="37">
        <f t="shared" si="23"/>
        <v>0</v>
      </c>
      <c r="I101" s="37">
        <f t="shared" si="23"/>
        <v>0</v>
      </c>
      <c r="J101" s="37">
        <f t="shared" si="23"/>
        <v>0</v>
      </c>
      <c r="K101" s="37">
        <f t="shared" si="23"/>
        <v>0</v>
      </c>
      <c r="L101" s="37">
        <f t="shared" si="13"/>
        <v>0</v>
      </c>
      <c r="M101" s="33"/>
      <c r="N101" s="33"/>
      <c r="O101" s="32"/>
      <c r="P101" s="33"/>
      <c r="Q101" s="33"/>
      <c r="R101" s="33"/>
      <c r="S101" s="33"/>
      <c r="T101" s="33"/>
      <c r="U101" s="33"/>
      <c r="V101" s="33"/>
    </row>
    <row r="102" spans="3:22" x14ac:dyDescent="0.25">
      <c r="C102" s="1" t="s">
        <v>2</v>
      </c>
      <c r="D102" s="37">
        <f t="shared" ref="D102:K102" si="24">D61*(1-D82)</f>
        <v>0</v>
      </c>
      <c r="E102" s="37">
        <f t="shared" si="24"/>
        <v>0</v>
      </c>
      <c r="F102" s="37">
        <f t="shared" si="24"/>
        <v>0</v>
      </c>
      <c r="G102" s="37">
        <f t="shared" si="24"/>
        <v>0</v>
      </c>
      <c r="H102" s="37">
        <f t="shared" si="24"/>
        <v>0</v>
      </c>
      <c r="I102" s="37">
        <f t="shared" si="24"/>
        <v>0</v>
      </c>
      <c r="J102" s="37">
        <f t="shared" si="24"/>
        <v>0</v>
      </c>
      <c r="K102" s="37">
        <f t="shared" si="24"/>
        <v>0</v>
      </c>
      <c r="L102" s="37">
        <f t="shared" si="13"/>
        <v>0</v>
      </c>
      <c r="M102" s="33"/>
      <c r="N102" s="33"/>
      <c r="O102" s="32"/>
      <c r="P102" s="33"/>
      <c r="Q102" s="33"/>
      <c r="R102" s="33"/>
      <c r="S102" s="33"/>
      <c r="T102" s="33"/>
      <c r="U102" s="33"/>
      <c r="V102" s="33"/>
    </row>
    <row r="103" spans="3:22" x14ac:dyDescent="0.25">
      <c r="C103" s="1" t="s">
        <v>86</v>
      </c>
      <c r="D103" s="37">
        <f t="shared" ref="D103:K103" si="25">D62*(1-D83)</f>
        <v>0</v>
      </c>
      <c r="E103" s="37">
        <f t="shared" si="25"/>
        <v>0</v>
      </c>
      <c r="F103" s="37">
        <f t="shared" si="25"/>
        <v>0</v>
      </c>
      <c r="G103" s="37">
        <f t="shared" si="25"/>
        <v>0</v>
      </c>
      <c r="H103" s="37">
        <f t="shared" si="25"/>
        <v>0</v>
      </c>
      <c r="I103" s="37">
        <f t="shared" si="25"/>
        <v>0</v>
      </c>
      <c r="J103" s="37">
        <f t="shared" si="25"/>
        <v>0</v>
      </c>
      <c r="K103" s="37">
        <f t="shared" si="25"/>
        <v>0</v>
      </c>
      <c r="L103" s="37">
        <f t="shared" si="13"/>
        <v>0</v>
      </c>
      <c r="M103" s="33"/>
      <c r="N103" s="33"/>
      <c r="O103" s="172" t="s">
        <v>62</v>
      </c>
      <c r="P103" s="33"/>
      <c r="Q103" s="33"/>
      <c r="R103" s="33"/>
      <c r="S103" s="33"/>
      <c r="T103" s="33"/>
      <c r="U103" s="33"/>
      <c r="V103" s="33"/>
    </row>
    <row r="104" spans="3:22" x14ac:dyDescent="0.25">
      <c r="C104" s="1" t="s">
        <v>29</v>
      </c>
      <c r="D104" s="37">
        <f t="shared" ref="D104:K104" si="26">D63*(1-D84)</f>
        <v>0</v>
      </c>
      <c r="E104" s="37">
        <f t="shared" si="26"/>
        <v>0</v>
      </c>
      <c r="F104" s="37">
        <f t="shared" si="26"/>
        <v>0</v>
      </c>
      <c r="G104" s="37">
        <f t="shared" si="26"/>
        <v>0</v>
      </c>
      <c r="H104" s="37">
        <f t="shared" si="26"/>
        <v>0</v>
      </c>
      <c r="I104" s="37">
        <f t="shared" si="26"/>
        <v>0</v>
      </c>
      <c r="J104" s="37">
        <f t="shared" si="26"/>
        <v>0</v>
      </c>
      <c r="K104" s="37">
        <f t="shared" si="26"/>
        <v>-9.9900000000000091</v>
      </c>
      <c r="L104" s="37">
        <f t="shared" si="13"/>
        <v>-9.9900000000000091</v>
      </c>
      <c r="M104" s="33"/>
      <c r="N104" s="33"/>
      <c r="O104" s="172"/>
      <c r="P104" s="33"/>
      <c r="Q104" s="33"/>
      <c r="R104" s="33"/>
      <c r="S104" s="33"/>
      <c r="T104" s="33"/>
      <c r="U104" s="33"/>
      <c r="V104" s="33"/>
    </row>
    <row r="105" spans="3:22" x14ac:dyDescent="0.25">
      <c r="C105" s="1" t="s">
        <v>52</v>
      </c>
      <c r="D105" s="37">
        <f t="shared" ref="D105:K105" si="27">D64*(1-D85)</f>
        <v>0</v>
      </c>
      <c r="E105" s="37">
        <f t="shared" si="27"/>
        <v>0</v>
      </c>
      <c r="F105" s="37">
        <f t="shared" si="27"/>
        <v>0</v>
      </c>
      <c r="G105" s="37">
        <f t="shared" si="27"/>
        <v>0</v>
      </c>
      <c r="H105" s="37">
        <f t="shared" si="27"/>
        <v>0</v>
      </c>
      <c r="I105" s="37">
        <f t="shared" si="27"/>
        <v>0</v>
      </c>
      <c r="J105" s="37">
        <f t="shared" si="27"/>
        <v>0</v>
      </c>
      <c r="K105" s="37">
        <f t="shared" si="27"/>
        <v>0</v>
      </c>
      <c r="L105" s="37">
        <f t="shared" si="13"/>
        <v>0</v>
      </c>
      <c r="M105" s="33"/>
      <c r="N105" s="125" t="s">
        <v>236</v>
      </c>
      <c r="O105" s="172" t="s">
        <v>63</v>
      </c>
      <c r="P105" s="33"/>
      <c r="Q105" s="33"/>
      <c r="R105" s="33"/>
      <c r="S105" s="33"/>
      <c r="T105" s="33"/>
      <c r="U105" s="33"/>
      <c r="V105" s="33"/>
    </row>
    <row r="106" spans="3:22" x14ac:dyDescent="0.25">
      <c r="C106" s="1" t="s">
        <v>1</v>
      </c>
      <c r="D106" s="37">
        <f t="shared" ref="D106:K106" si="28">D65*(1-D86)</f>
        <v>0</v>
      </c>
      <c r="E106" s="37">
        <f t="shared" si="28"/>
        <v>0</v>
      </c>
      <c r="F106" s="37">
        <f t="shared" si="28"/>
        <v>0</v>
      </c>
      <c r="G106" s="37">
        <f t="shared" si="28"/>
        <v>0</v>
      </c>
      <c r="H106" s="37">
        <f t="shared" si="28"/>
        <v>0</v>
      </c>
      <c r="I106" s="37">
        <f t="shared" si="28"/>
        <v>0</v>
      </c>
      <c r="J106" s="37">
        <f t="shared" si="28"/>
        <v>0</v>
      </c>
      <c r="K106" s="37">
        <f t="shared" si="28"/>
        <v>0</v>
      </c>
      <c r="L106" s="37">
        <f t="shared" si="13"/>
        <v>0</v>
      </c>
      <c r="M106" s="33"/>
      <c r="N106" s="126" t="s">
        <v>61</v>
      </c>
      <c r="O106" s="173"/>
      <c r="P106" s="33"/>
      <c r="Q106" s="33"/>
      <c r="R106" s="33"/>
      <c r="S106" s="33"/>
      <c r="T106" s="33"/>
      <c r="U106" s="33"/>
      <c r="V106" s="33"/>
    </row>
    <row r="107" spans="3:22" x14ac:dyDescent="0.25">
      <c r="C107" s="111"/>
      <c r="D107" s="10">
        <f>SUM(D90:D106)</f>
        <v>0</v>
      </c>
      <c r="E107" s="10">
        <f t="shared" ref="E107:K107" si="29">SUM(E90:E106)</f>
        <v>0</v>
      </c>
      <c r="F107" s="10">
        <f t="shared" si="29"/>
        <v>0</v>
      </c>
      <c r="G107" s="10">
        <f t="shared" si="29"/>
        <v>0</v>
      </c>
      <c r="H107" s="10">
        <f t="shared" si="29"/>
        <v>0</v>
      </c>
      <c r="I107" s="10">
        <f t="shared" si="29"/>
        <v>0</v>
      </c>
      <c r="J107" s="10">
        <f t="shared" si="29"/>
        <v>0</v>
      </c>
      <c r="K107" s="10">
        <f t="shared" si="29"/>
        <v>-41.599999999999682</v>
      </c>
      <c r="L107" s="10">
        <f>SUM(L90:L106)</f>
        <v>-41.599999999999682</v>
      </c>
      <c r="N107" s="95">
        <v>-41.600000000000364</v>
      </c>
      <c r="O107" s="9">
        <f>L107-N107</f>
        <v>6.8212102632969618E-13</v>
      </c>
    </row>
    <row r="108" spans="3:22" ht="15.75" thickBot="1" x14ac:dyDescent="0.3">
      <c r="C108" s="1"/>
      <c r="D108" s="9"/>
      <c r="E108" s="9"/>
      <c r="F108" s="9"/>
      <c r="G108" s="9"/>
      <c r="H108" s="9"/>
      <c r="I108" s="9"/>
      <c r="J108" s="9"/>
      <c r="K108" s="9"/>
      <c r="L108" s="9"/>
      <c r="N108" s="119"/>
      <c r="O108" s="9"/>
    </row>
    <row r="109" spans="3:22" ht="15.75" thickBot="1" x14ac:dyDescent="0.3">
      <c r="C109" s="150" t="s">
        <v>64</v>
      </c>
      <c r="D109" s="151"/>
      <c r="E109" s="151"/>
      <c r="F109" s="151"/>
      <c r="G109" s="151"/>
      <c r="H109" s="151"/>
      <c r="I109" s="151"/>
      <c r="J109" s="151"/>
      <c r="K109" s="151"/>
      <c r="L109" s="152"/>
      <c r="O109" s="2">
        <v>1046.26</v>
      </c>
      <c r="P109" s="2" t="s">
        <v>408</v>
      </c>
    </row>
    <row r="110" spans="3:22" x14ac:dyDescent="0.25">
      <c r="C110" s="4" t="s">
        <v>16</v>
      </c>
      <c r="D110" s="5" t="s">
        <v>15</v>
      </c>
      <c r="E110" s="5" t="s">
        <v>14</v>
      </c>
      <c r="F110" s="5" t="s">
        <v>13</v>
      </c>
      <c r="G110" s="5" t="s">
        <v>12</v>
      </c>
      <c r="H110" s="5" t="s">
        <v>94</v>
      </c>
      <c r="I110" s="5" t="s">
        <v>95</v>
      </c>
      <c r="J110" s="5" t="s">
        <v>38</v>
      </c>
      <c r="K110" s="5" t="s">
        <v>9</v>
      </c>
      <c r="L110" s="5" t="s">
        <v>0</v>
      </c>
      <c r="M110" s="33"/>
      <c r="N110" s="33"/>
      <c r="O110" s="32"/>
      <c r="P110" s="33"/>
      <c r="Q110" s="33"/>
      <c r="R110" s="33"/>
      <c r="S110" s="33"/>
      <c r="T110" s="33"/>
      <c r="U110" s="33"/>
      <c r="V110" s="33"/>
    </row>
    <row r="111" spans="3:22" x14ac:dyDescent="0.25">
      <c r="C111" s="1" t="s">
        <v>49</v>
      </c>
      <c r="D111" s="39">
        <f>D49-D90</f>
        <v>0</v>
      </c>
      <c r="E111" s="39">
        <f t="shared" ref="E111:K111" si="30">E49-E90</f>
        <v>0</v>
      </c>
      <c r="F111" s="39">
        <f t="shared" si="30"/>
        <v>0</v>
      </c>
      <c r="G111" s="39">
        <f t="shared" si="30"/>
        <v>0</v>
      </c>
      <c r="H111" s="39">
        <f t="shared" si="30"/>
        <v>0</v>
      </c>
      <c r="I111" s="39">
        <f t="shared" si="30"/>
        <v>0</v>
      </c>
      <c r="J111" s="39">
        <f t="shared" si="30"/>
        <v>0</v>
      </c>
      <c r="K111" s="39">
        <f t="shared" si="30"/>
        <v>0</v>
      </c>
      <c r="L111" s="39">
        <f>SUM(D111:K111)</f>
        <v>0</v>
      </c>
      <c r="M111" s="33"/>
      <c r="N111" s="33"/>
      <c r="O111" s="32"/>
      <c r="P111" s="33"/>
      <c r="Q111" s="33"/>
      <c r="R111" s="33"/>
      <c r="S111" s="33"/>
      <c r="T111" s="33"/>
      <c r="U111" s="33"/>
      <c r="V111" s="33"/>
    </row>
    <row r="112" spans="3:22" x14ac:dyDescent="0.25">
      <c r="C112" s="1" t="s">
        <v>8</v>
      </c>
      <c r="D112" s="39">
        <f t="shared" ref="D112:K112" si="31">D50-D91</f>
        <v>0</v>
      </c>
      <c r="E112" s="39">
        <f t="shared" si="31"/>
        <v>0</v>
      </c>
      <c r="F112" s="39">
        <f t="shared" si="31"/>
        <v>0</v>
      </c>
      <c r="G112" s="39">
        <f t="shared" si="31"/>
        <v>0</v>
      </c>
      <c r="H112" s="39">
        <f t="shared" si="31"/>
        <v>0</v>
      </c>
      <c r="I112" s="39">
        <f t="shared" si="31"/>
        <v>0</v>
      </c>
      <c r="J112" s="39">
        <f t="shared" si="31"/>
        <v>0</v>
      </c>
      <c r="K112" s="39">
        <f t="shared" si="31"/>
        <v>115</v>
      </c>
      <c r="L112" s="39">
        <f t="shared" ref="L112:L127" si="32">SUM(D112:K112)</f>
        <v>115</v>
      </c>
      <c r="M112" s="33"/>
      <c r="N112" s="33"/>
      <c r="O112" s="32"/>
      <c r="P112" s="33"/>
      <c r="Q112" s="33"/>
      <c r="R112" s="33"/>
      <c r="S112" s="33"/>
      <c r="T112" s="33"/>
      <c r="U112" s="33"/>
      <c r="V112" s="33"/>
    </row>
    <row r="113" spans="3:22" x14ac:dyDescent="0.25">
      <c r="C113" s="1" t="s">
        <v>7</v>
      </c>
      <c r="D113" s="39">
        <f t="shared" ref="D113:K113" si="33">D51-D92</f>
        <v>0</v>
      </c>
      <c r="E113" s="39">
        <f t="shared" si="33"/>
        <v>0</v>
      </c>
      <c r="F113" s="39">
        <f t="shared" si="33"/>
        <v>0</v>
      </c>
      <c r="G113" s="39">
        <f t="shared" si="33"/>
        <v>0</v>
      </c>
      <c r="H113" s="39">
        <f t="shared" si="33"/>
        <v>0</v>
      </c>
      <c r="I113" s="39">
        <f t="shared" si="33"/>
        <v>0</v>
      </c>
      <c r="J113" s="39">
        <f t="shared" si="33"/>
        <v>0</v>
      </c>
      <c r="K113" s="39">
        <f t="shared" si="33"/>
        <v>0</v>
      </c>
      <c r="L113" s="39">
        <f t="shared" si="32"/>
        <v>0</v>
      </c>
      <c r="M113" s="33"/>
      <c r="N113" s="33"/>
      <c r="O113" s="32"/>
      <c r="P113" s="33"/>
      <c r="Q113" s="33"/>
      <c r="R113" s="33"/>
      <c r="S113" s="33"/>
      <c r="T113" s="33"/>
      <c r="U113" s="33"/>
      <c r="V113" s="33"/>
    </row>
    <row r="114" spans="3:22" x14ac:dyDescent="0.25">
      <c r="C114" s="1" t="s">
        <v>42</v>
      </c>
      <c r="D114" s="39">
        <f t="shared" ref="D114:K114" si="34">D52-D93</f>
        <v>0</v>
      </c>
      <c r="E114" s="39">
        <f t="shared" si="34"/>
        <v>0</v>
      </c>
      <c r="F114" s="39">
        <f t="shared" si="34"/>
        <v>0</v>
      </c>
      <c r="G114" s="39">
        <f t="shared" si="34"/>
        <v>0</v>
      </c>
      <c r="H114" s="39">
        <f t="shared" si="34"/>
        <v>0</v>
      </c>
      <c r="I114" s="39">
        <f t="shared" si="34"/>
        <v>0</v>
      </c>
      <c r="J114" s="39">
        <f t="shared" si="34"/>
        <v>0</v>
      </c>
      <c r="K114" s="39">
        <f t="shared" si="34"/>
        <v>0</v>
      </c>
      <c r="L114" s="39">
        <f t="shared" si="32"/>
        <v>0</v>
      </c>
      <c r="M114" s="33"/>
      <c r="N114" s="33"/>
      <c r="O114" s="32"/>
      <c r="P114" s="33"/>
      <c r="Q114" s="33"/>
      <c r="R114" s="33"/>
      <c r="S114" s="33"/>
      <c r="T114" s="33"/>
      <c r="U114" s="33"/>
      <c r="V114" s="33"/>
    </row>
    <row r="115" spans="3:22" x14ac:dyDescent="0.25">
      <c r="C115" s="1" t="s">
        <v>6</v>
      </c>
      <c r="D115" s="39">
        <f t="shared" ref="D115:K115" si="35">D53-D94</f>
        <v>0</v>
      </c>
      <c r="E115" s="39">
        <f t="shared" si="35"/>
        <v>0</v>
      </c>
      <c r="F115" s="39">
        <f t="shared" si="35"/>
        <v>0</v>
      </c>
      <c r="G115" s="39">
        <f t="shared" si="35"/>
        <v>0</v>
      </c>
      <c r="H115" s="39">
        <f t="shared" si="35"/>
        <v>0</v>
      </c>
      <c r="I115" s="39">
        <f t="shared" si="35"/>
        <v>0</v>
      </c>
      <c r="J115" s="39">
        <f t="shared" si="35"/>
        <v>0</v>
      </c>
      <c r="K115" s="39">
        <f t="shared" si="35"/>
        <v>0</v>
      </c>
      <c r="L115" s="39">
        <f t="shared" si="32"/>
        <v>0</v>
      </c>
      <c r="M115" s="33"/>
      <c r="N115" s="33"/>
      <c r="O115" s="32"/>
      <c r="P115" s="33"/>
      <c r="Q115" s="33"/>
      <c r="R115" s="33"/>
      <c r="S115" s="33"/>
      <c r="T115" s="33"/>
      <c r="U115" s="33"/>
      <c r="V115" s="33"/>
    </row>
    <row r="116" spans="3:22" x14ac:dyDescent="0.25">
      <c r="C116" s="1" t="s">
        <v>50</v>
      </c>
      <c r="D116" s="39">
        <f t="shared" ref="D116:K116" si="36">D54-D95</f>
        <v>0</v>
      </c>
      <c r="E116" s="39">
        <f t="shared" si="36"/>
        <v>0</v>
      </c>
      <c r="F116" s="39">
        <f t="shared" si="36"/>
        <v>0</v>
      </c>
      <c r="G116" s="39">
        <f t="shared" si="36"/>
        <v>0</v>
      </c>
      <c r="H116" s="39">
        <f t="shared" si="36"/>
        <v>0</v>
      </c>
      <c r="I116" s="39">
        <f t="shared" si="36"/>
        <v>0</v>
      </c>
      <c r="J116" s="39">
        <f t="shared" si="36"/>
        <v>0</v>
      </c>
      <c r="K116" s="39">
        <f t="shared" si="36"/>
        <v>0</v>
      </c>
      <c r="L116" s="39">
        <f t="shared" si="32"/>
        <v>0</v>
      </c>
      <c r="M116" s="33"/>
      <c r="N116" s="33"/>
      <c r="O116" s="32"/>
      <c r="P116" s="33"/>
      <c r="Q116" s="33"/>
      <c r="R116" s="33"/>
      <c r="S116" s="33"/>
      <c r="T116" s="33"/>
      <c r="U116" s="33"/>
      <c r="V116" s="33"/>
    </row>
    <row r="117" spans="3:22" x14ac:dyDescent="0.25">
      <c r="C117" s="1" t="s">
        <v>89</v>
      </c>
      <c r="D117" s="39">
        <f t="shared" ref="D117:K117" si="37">D55-D96</f>
        <v>0</v>
      </c>
      <c r="E117" s="39">
        <f t="shared" si="37"/>
        <v>0</v>
      </c>
      <c r="F117" s="39">
        <f t="shared" si="37"/>
        <v>0</v>
      </c>
      <c r="G117" s="39">
        <f t="shared" si="37"/>
        <v>0</v>
      </c>
      <c r="H117" s="39">
        <f t="shared" si="37"/>
        <v>0</v>
      </c>
      <c r="I117" s="39">
        <f t="shared" si="37"/>
        <v>0</v>
      </c>
      <c r="J117" s="39">
        <f t="shared" si="37"/>
        <v>0</v>
      </c>
      <c r="K117" s="39">
        <f t="shared" si="37"/>
        <v>0</v>
      </c>
      <c r="L117" s="39">
        <f t="shared" si="32"/>
        <v>0</v>
      </c>
      <c r="M117" s="33"/>
      <c r="N117" s="33"/>
      <c r="O117" s="32"/>
      <c r="P117" s="33"/>
      <c r="Q117" s="33"/>
      <c r="R117" s="33"/>
      <c r="S117" s="33"/>
      <c r="T117" s="33"/>
      <c r="U117" s="33"/>
      <c r="V117" s="33"/>
    </row>
    <row r="118" spans="3:22" x14ac:dyDescent="0.25">
      <c r="C118" s="1" t="s">
        <v>5</v>
      </c>
      <c r="D118" s="39">
        <f t="shared" ref="D118:K118" si="38">D56-D97</f>
        <v>0</v>
      </c>
      <c r="E118" s="39">
        <f t="shared" si="38"/>
        <v>0</v>
      </c>
      <c r="F118" s="39">
        <f t="shared" si="38"/>
        <v>0</v>
      </c>
      <c r="G118" s="39">
        <f t="shared" si="38"/>
        <v>0</v>
      </c>
      <c r="H118" s="39">
        <f t="shared" si="38"/>
        <v>0</v>
      </c>
      <c r="I118" s="39">
        <f t="shared" si="38"/>
        <v>0</v>
      </c>
      <c r="J118" s="39">
        <f t="shared" si="38"/>
        <v>0</v>
      </c>
      <c r="K118" s="39">
        <f t="shared" si="38"/>
        <v>0</v>
      </c>
      <c r="L118" s="39">
        <f t="shared" si="32"/>
        <v>0</v>
      </c>
      <c r="M118" s="33"/>
      <c r="N118" s="33"/>
      <c r="O118" s="32"/>
      <c r="P118" s="33"/>
      <c r="Q118" s="33"/>
      <c r="R118" s="33"/>
      <c r="S118" s="33"/>
      <c r="T118" s="33"/>
      <c r="U118" s="33"/>
      <c r="V118" s="33"/>
    </row>
    <row r="119" spans="3:22" x14ac:dyDescent="0.25">
      <c r="C119" s="1" t="s">
        <v>84</v>
      </c>
      <c r="D119" s="39">
        <f t="shared" ref="D119:K119" si="39">D57-D98</f>
        <v>0</v>
      </c>
      <c r="E119" s="39">
        <f t="shared" si="39"/>
        <v>0</v>
      </c>
      <c r="F119" s="39">
        <f t="shared" si="39"/>
        <v>0</v>
      </c>
      <c r="G119" s="39">
        <f t="shared" si="39"/>
        <v>0</v>
      </c>
      <c r="H119" s="39">
        <f t="shared" si="39"/>
        <v>0</v>
      </c>
      <c r="I119" s="39">
        <f t="shared" si="39"/>
        <v>0</v>
      </c>
      <c r="J119" s="39">
        <f t="shared" si="39"/>
        <v>0</v>
      </c>
      <c r="K119" s="39">
        <f t="shared" si="39"/>
        <v>0</v>
      </c>
      <c r="L119" s="39">
        <f t="shared" si="32"/>
        <v>0</v>
      </c>
      <c r="M119" s="33"/>
      <c r="N119" s="33"/>
      <c r="O119" s="32"/>
      <c r="P119" s="33"/>
      <c r="Q119" s="33"/>
      <c r="R119" s="33"/>
      <c r="S119" s="33"/>
      <c r="T119" s="33"/>
      <c r="U119" s="33"/>
      <c r="V119" s="33"/>
    </row>
    <row r="120" spans="3:22" x14ac:dyDescent="0.25">
      <c r="C120" s="1" t="s">
        <v>4</v>
      </c>
      <c r="D120" s="39">
        <f t="shared" ref="D120:K120" si="40">D58-D99</f>
        <v>0</v>
      </c>
      <c r="E120" s="39">
        <f t="shared" si="40"/>
        <v>0</v>
      </c>
      <c r="F120" s="39">
        <f t="shared" si="40"/>
        <v>0</v>
      </c>
      <c r="G120" s="39">
        <f t="shared" si="40"/>
        <v>0</v>
      </c>
      <c r="H120" s="39">
        <f t="shared" si="40"/>
        <v>0</v>
      </c>
      <c r="I120" s="39">
        <f t="shared" si="40"/>
        <v>0</v>
      </c>
      <c r="J120" s="39">
        <f t="shared" si="40"/>
        <v>0</v>
      </c>
      <c r="K120" s="39">
        <f t="shared" si="40"/>
        <v>0</v>
      </c>
      <c r="L120" s="39">
        <f t="shared" si="32"/>
        <v>0</v>
      </c>
      <c r="M120" s="33"/>
      <c r="N120" s="33"/>
      <c r="O120" s="32"/>
      <c r="P120" s="33"/>
      <c r="Q120" s="33"/>
      <c r="R120" s="33"/>
      <c r="S120" s="33"/>
      <c r="T120" s="33"/>
      <c r="U120" s="33"/>
      <c r="V120" s="33"/>
    </row>
    <row r="121" spans="3:22" x14ac:dyDescent="0.25">
      <c r="C121" s="1" t="s">
        <v>51</v>
      </c>
      <c r="D121" s="39">
        <f t="shared" ref="D121:K121" si="41">D59-D100</f>
        <v>0</v>
      </c>
      <c r="E121" s="39">
        <f t="shared" si="41"/>
        <v>0</v>
      </c>
      <c r="F121" s="39">
        <f t="shared" si="41"/>
        <v>0</v>
      </c>
      <c r="G121" s="39">
        <f t="shared" si="41"/>
        <v>0</v>
      </c>
      <c r="H121" s="39">
        <f t="shared" si="41"/>
        <v>0</v>
      </c>
      <c r="I121" s="39">
        <f t="shared" si="41"/>
        <v>0</v>
      </c>
      <c r="J121" s="39">
        <f t="shared" si="41"/>
        <v>0</v>
      </c>
      <c r="K121" s="39">
        <f t="shared" si="41"/>
        <v>0</v>
      </c>
      <c r="L121" s="39">
        <f t="shared" si="32"/>
        <v>0</v>
      </c>
      <c r="M121" s="33"/>
      <c r="N121" s="33"/>
      <c r="O121" s="32"/>
      <c r="P121" s="33"/>
      <c r="Q121" s="33"/>
      <c r="R121" s="33"/>
      <c r="S121" s="33"/>
      <c r="T121" s="33"/>
      <c r="U121" s="33"/>
      <c r="V121" s="33"/>
    </row>
    <row r="122" spans="3:22" x14ac:dyDescent="0.25">
      <c r="C122" s="1" t="s">
        <v>85</v>
      </c>
      <c r="D122" s="39">
        <f t="shared" ref="D122:K122" si="42">D60-D101</f>
        <v>0</v>
      </c>
      <c r="E122" s="39">
        <f t="shared" si="42"/>
        <v>0</v>
      </c>
      <c r="F122" s="39">
        <f t="shared" si="42"/>
        <v>0</v>
      </c>
      <c r="G122" s="39">
        <f t="shared" si="42"/>
        <v>0</v>
      </c>
      <c r="H122" s="39">
        <f t="shared" si="42"/>
        <v>0</v>
      </c>
      <c r="I122" s="39">
        <f t="shared" si="42"/>
        <v>0</v>
      </c>
      <c r="J122" s="39">
        <f t="shared" si="42"/>
        <v>0</v>
      </c>
      <c r="K122" s="39">
        <f t="shared" si="42"/>
        <v>0</v>
      </c>
      <c r="L122" s="39">
        <f t="shared" si="32"/>
        <v>0</v>
      </c>
      <c r="M122" s="33"/>
      <c r="N122" s="33"/>
      <c r="O122" s="32"/>
      <c r="P122" s="33"/>
      <c r="Q122" s="33"/>
      <c r="R122" s="33"/>
      <c r="S122" s="33"/>
      <c r="T122" s="33"/>
      <c r="U122" s="33"/>
      <c r="V122" s="33"/>
    </row>
    <row r="123" spans="3:22" x14ac:dyDescent="0.25">
      <c r="C123" s="1" t="s">
        <v>2</v>
      </c>
      <c r="D123" s="39">
        <f t="shared" ref="D123:K123" si="43">D61-D102</f>
        <v>-13808.970000000001</v>
      </c>
      <c r="E123" s="39">
        <f t="shared" si="43"/>
        <v>0</v>
      </c>
      <c r="F123" s="39">
        <f t="shared" si="43"/>
        <v>0</v>
      </c>
      <c r="G123" s="39">
        <f t="shared" si="43"/>
        <v>0</v>
      </c>
      <c r="H123" s="39">
        <f t="shared" si="43"/>
        <v>0</v>
      </c>
      <c r="I123" s="39">
        <f t="shared" si="43"/>
        <v>0</v>
      </c>
      <c r="J123" s="39">
        <f t="shared" si="43"/>
        <v>0</v>
      </c>
      <c r="K123" s="39">
        <f t="shared" si="43"/>
        <v>-73.400000000000006</v>
      </c>
      <c r="L123" s="39">
        <f t="shared" si="32"/>
        <v>-13882.37</v>
      </c>
      <c r="M123" s="33"/>
      <c r="N123" s="33"/>
      <c r="O123" s="32"/>
      <c r="P123" s="33"/>
      <c r="Q123" s="33"/>
      <c r="R123" s="33"/>
      <c r="S123" s="33"/>
      <c r="T123" s="33"/>
      <c r="U123" s="33"/>
      <c r="V123" s="33"/>
    </row>
    <row r="124" spans="3:22" x14ac:dyDescent="0.25">
      <c r="C124" s="1" t="s">
        <v>86</v>
      </c>
      <c r="D124" s="39">
        <f t="shared" ref="D124:K124" si="44">D62-D103</f>
        <v>0</v>
      </c>
      <c r="E124" s="39">
        <f t="shared" si="44"/>
        <v>0</v>
      </c>
      <c r="F124" s="39">
        <f t="shared" si="44"/>
        <v>0</v>
      </c>
      <c r="G124" s="39">
        <f t="shared" si="44"/>
        <v>0</v>
      </c>
      <c r="H124" s="39">
        <f t="shared" si="44"/>
        <v>0</v>
      </c>
      <c r="I124" s="39">
        <f t="shared" si="44"/>
        <v>0</v>
      </c>
      <c r="J124" s="39">
        <f t="shared" si="44"/>
        <v>0</v>
      </c>
      <c r="K124" s="39">
        <f t="shared" si="44"/>
        <v>0</v>
      </c>
      <c r="L124" s="39">
        <f t="shared" si="32"/>
        <v>0</v>
      </c>
      <c r="M124" s="33"/>
      <c r="N124" s="33"/>
      <c r="O124" s="32"/>
      <c r="P124" s="33"/>
      <c r="Q124" s="33"/>
      <c r="R124" s="33"/>
      <c r="S124" s="33"/>
      <c r="T124" s="33"/>
      <c r="U124" s="33"/>
      <c r="V124" s="33"/>
    </row>
    <row r="125" spans="3:22" x14ac:dyDescent="0.25">
      <c r="C125" s="1" t="s">
        <v>29</v>
      </c>
      <c r="D125" s="39">
        <f t="shared" ref="D125:K125" si="45">D63-D104</f>
        <v>0</v>
      </c>
      <c r="E125" s="39">
        <f t="shared" si="45"/>
        <v>0</v>
      </c>
      <c r="F125" s="39">
        <f t="shared" si="45"/>
        <v>0</v>
      </c>
      <c r="G125" s="39">
        <f t="shared" si="45"/>
        <v>0</v>
      </c>
      <c r="H125" s="39">
        <f t="shared" si="45"/>
        <v>0</v>
      </c>
      <c r="I125" s="39">
        <f t="shared" si="45"/>
        <v>0</v>
      </c>
      <c r="J125" s="39">
        <f t="shared" si="45"/>
        <v>0</v>
      </c>
      <c r="K125" s="39">
        <f t="shared" si="45"/>
        <v>0</v>
      </c>
      <c r="L125" s="39">
        <f t="shared" si="32"/>
        <v>0</v>
      </c>
      <c r="M125" s="33"/>
      <c r="N125" s="33"/>
      <c r="O125" s="32"/>
      <c r="P125" s="33"/>
      <c r="Q125" s="33"/>
      <c r="R125" s="33"/>
      <c r="S125" s="33"/>
      <c r="T125" s="33"/>
      <c r="U125" s="33"/>
      <c r="V125" s="33"/>
    </row>
    <row r="126" spans="3:22" x14ac:dyDescent="0.25">
      <c r="C126" s="1" t="s">
        <v>52</v>
      </c>
      <c r="D126" s="39">
        <f t="shared" ref="D126:K126" si="46">D64-D105</f>
        <v>0</v>
      </c>
      <c r="E126" s="39">
        <f t="shared" si="46"/>
        <v>0</v>
      </c>
      <c r="F126" s="39">
        <f t="shared" si="46"/>
        <v>0</v>
      </c>
      <c r="G126" s="39">
        <f t="shared" si="46"/>
        <v>0</v>
      </c>
      <c r="H126" s="39">
        <f t="shared" si="46"/>
        <v>0</v>
      </c>
      <c r="I126" s="39">
        <f t="shared" si="46"/>
        <v>0</v>
      </c>
      <c r="J126" s="39">
        <f t="shared" si="46"/>
        <v>0</v>
      </c>
      <c r="K126" s="39">
        <f t="shared" si="46"/>
        <v>0</v>
      </c>
      <c r="L126" s="39">
        <f t="shared" si="32"/>
        <v>0</v>
      </c>
      <c r="M126" s="33"/>
      <c r="N126" s="33"/>
      <c r="O126" s="32"/>
      <c r="P126" s="33"/>
      <c r="Q126" s="33"/>
      <c r="R126" s="33"/>
      <c r="S126" s="33"/>
      <c r="T126" s="33"/>
      <c r="U126" s="33"/>
      <c r="V126" s="33"/>
    </row>
    <row r="127" spans="3:22" x14ac:dyDescent="0.25">
      <c r="C127" s="1" t="s">
        <v>1</v>
      </c>
      <c r="D127" s="39">
        <f t="shared" ref="D127:K127" si="47">D65-D106</f>
        <v>0</v>
      </c>
      <c r="E127" s="39">
        <f t="shared" si="47"/>
        <v>0</v>
      </c>
      <c r="F127" s="39">
        <f t="shared" si="47"/>
        <v>0</v>
      </c>
      <c r="G127" s="39">
        <f t="shared" si="47"/>
        <v>0</v>
      </c>
      <c r="H127" s="39">
        <f t="shared" si="47"/>
        <v>0</v>
      </c>
      <c r="I127" s="39">
        <f t="shared" si="47"/>
        <v>0</v>
      </c>
      <c r="J127" s="39">
        <f t="shared" si="47"/>
        <v>0</v>
      </c>
      <c r="K127" s="39">
        <f t="shared" si="47"/>
        <v>0</v>
      </c>
      <c r="L127" s="39">
        <f t="shared" si="32"/>
        <v>0</v>
      </c>
      <c r="M127" s="33"/>
      <c r="N127" s="33"/>
      <c r="O127" s="32"/>
      <c r="P127" s="33"/>
      <c r="Q127" s="33"/>
      <c r="R127" s="33"/>
      <c r="S127" s="33"/>
      <c r="T127" s="33"/>
      <c r="U127" s="33"/>
      <c r="V127" s="33"/>
    </row>
    <row r="128" spans="3:22" x14ac:dyDescent="0.25">
      <c r="C128" s="74"/>
      <c r="D128" s="66">
        <f>SUM(D111:D127)</f>
        <v>-13808.970000000001</v>
      </c>
      <c r="E128" s="66">
        <f t="shared" ref="E128:L128" si="48">SUM(E111:E127)</f>
        <v>0</v>
      </c>
      <c r="F128" s="66">
        <f t="shared" si="48"/>
        <v>0</v>
      </c>
      <c r="G128" s="66">
        <f t="shared" si="48"/>
        <v>0</v>
      </c>
      <c r="H128" s="66">
        <f t="shared" si="48"/>
        <v>0</v>
      </c>
      <c r="I128" s="66">
        <f t="shared" si="48"/>
        <v>0</v>
      </c>
      <c r="J128" s="66">
        <f t="shared" si="48"/>
        <v>0</v>
      </c>
      <c r="K128" s="66">
        <f t="shared" si="48"/>
        <v>41.599999999999994</v>
      </c>
      <c r="L128" s="66">
        <f t="shared" si="48"/>
        <v>-13767.37</v>
      </c>
      <c r="M128" s="33"/>
      <c r="N128" s="33"/>
      <c r="O128" s="32"/>
      <c r="P128" s="33"/>
      <c r="Q128" s="33"/>
      <c r="R128" s="33"/>
      <c r="S128" s="33"/>
      <c r="T128" s="33"/>
      <c r="U128" s="33"/>
      <c r="V128" s="33"/>
    </row>
    <row r="129" spans="3:22" ht="15.75" thickBot="1" x14ac:dyDescent="0.3">
      <c r="C129" s="4"/>
      <c r="D129" s="39"/>
      <c r="E129" s="39"/>
      <c r="F129" s="39"/>
      <c r="G129" s="39"/>
      <c r="H129" s="39"/>
      <c r="I129" s="39"/>
      <c r="J129" s="39"/>
      <c r="K129" s="39"/>
      <c r="L129" s="39"/>
      <c r="M129" s="33"/>
      <c r="N129" s="33"/>
      <c r="O129" s="32"/>
      <c r="P129" s="33"/>
      <c r="Q129" s="33"/>
      <c r="R129" s="33"/>
      <c r="S129" s="33"/>
      <c r="T129" s="33"/>
      <c r="U129" s="33"/>
      <c r="V129" s="33"/>
    </row>
    <row r="130" spans="3:22" ht="15.75" thickBot="1" x14ac:dyDescent="0.3">
      <c r="C130" s="153" t="s">
        <v>59</v>
      </c>
      <c r="D130" s="154"/>
      <c r="E130" s="154"/>
      <c r="F130" s="154"/>
      <c r="G130" s="154"/>
      <c r="H130" s="154"/>
      <c r="I130" s="154"/>
      <c r="J130" s="154"/>
      <c r="K130" s="154"/>
      <c r="L130" s="155"/>
      <c r="M130" s="33"/>
      <c r="N130" s="33"/>
      <c r="O130" s="32"/>
      <c r="P130" s="33"/>
      <c r="Q130" s="33"/>
      <c r="R130" s="33"/>
      <c r="S130" s="33"/>
      <c r="T130" s="33"/>
      <c r="U130" s="33"/>
      <c r="V130" s="33"/>
    </row>
    <row r="131" spans="3:22" x14ac:dyDescent="0.25">
      <c r="C131" s="4" t="s">
        <v>16</v>
      </c>
      <c r="D131" s="5" t="s">
        <v>15</v>
      </c>
      <c r="E131" s="5" t="s">
        <v>14</v>
      </c>
      <c r="F131" s="5" t="s">
        <v>13</v>
      </c>
      <c r="G131" s="5" t="s">
        <v>12</v>
      </c>
      <c r="H131" s="5" t="s">
        <v>94</v>
      </c>
      <c r="I131" s="5" t="s">
        <v>95</v>
      </c>
      <c r="J131" s="5" t="s">
        <v>38</v>
      </c>
      <c r="K131" s="5" t="s">
        <v>9</v>
      </c>
      <c r="L131" s="5" t="s">
        <v>0</v>
      </c>
      <c r="M131" s="33"/>
      <c r="N131" s="33"/>
      <c r="O131" s="32"/>
      <c r="P131" s="33"/>
      <c r="Q131" s="33"/>
      <c r="R131" s="33"/>
      <c r="S131" s="33"/>
      <c r="T131" s="33"/>
      <c r="U131" s="33"/>
      <c r="V131" s="33"/>
    </row>
    <row r="132" spans="3:22" x14ac:dyDescent="0.25">
      <c r="C132" s="1" t="s">
        <v>49</v>
      </c>
      <c r="D132" s="41">
        <v>0</v>
      </c>
      <c r="E132" s="41">
        <v>0</v>
      </c>
      <c r="F132" s="41">
        <v>0</v>
      </c>
      <c r="G132" s="41">
        <v>0.1</v>
      </c>
      <c r="H132" s="41">
        <v>0.15</v>
      </c>
      <c r="I132" s="41">
        <v>0.15</v>
      </c>
      <c r="J132" s="41">
        <v>0.2</v>
      </c>
      <c r="K132" s="41">
        <v>0.3</v>
      </c>
      <c r="L132" s="39"/>
      <c r="M132" s="33"/>
      <c r="N132" s="33"/>
      <c r="O132" s="32"/>
      <c r="P132" s="33"/>
      <c r="Q132" s="33"/>
      <c r="R132" s="33"/>
      <c r="S132" s="33"/>
      <c r="T132" s="33"/>
      <c r="U132" s="33"/>
      <c r="V132" s="33"/>
    </row>
    <row r="133" spans="3:22" x14ac:dyDescent="0.25">
      <c r="C133" s="1" t="s">
        <v>8</v>
      </c>
      <c r="D133" s="41">
        <v>0</v>
      </c>
      <c r="E133" s="41">
        <v>0</v>
      </c>
      <c r="F133" s="41">
        <v>0</v>
      </c>
      <c r="G133" s="41">
        <v>0.1</v>
      </c>
      <c r="H133" s="41">
        <v>0.15</v>
      </c>
      <c r="I133" s="41">
        <v>0.15</v>
      </c>
      <c r="J133" s="41">
        <v>0.2</v>
      </c>
      <c r="K133" s="41">
        <v>1</v>
      </c>
      <c r="L133" s="39"/>
      <c r="M133" s="33"/>
      <c r="N133" s="33"/>
      <c r="O133" s="32"/>
      <c r="P133" s="33"/>
      <c r="Q133" s="33"/>
      <c r="R133" s="33"/>
      <c r="S133" s="33"/>
      <c r="T133" s="33"/>
      <c r="U133" s="33"/>
      <c r="V133" s="33"/>
    </row>
    <row r="134" spans="3:22" x14ac:dyDescent="0.25">
      <c r="C134" s="1" t="s">
        <v>7</v>
      </c>
      <c r="D134" s="41">
        <v>0</v>
      </c>
      <c r="E134" s="41">
        <v>0</v>
      </c>
      <c r="F134" s="41">
        <v>0</v>
      </c>
      <c r="G134" s="41">
        <v>0.1</v>
      </c>
      <c r="H134" s="41">
        <v>0.15</v>
      </c>
      <c r="I134" s="41">
        <v>0.15</v>
      </c>
      <c r="J134" s="41">
        <v>0.2</v>
      </c>
      <c r="K134" s="41">
        <v>1</v>
      </c>
      <c r="L134" s="39"/>
      <c r="M134" s="33"/>
      <c r="N134" s="33"/>
      <c r="O134" s="32"/>
      <c r="P134" s="33"/>
      <c r="Q134" s="33"/>
      <c r="R134" s="33"/>
      <c r="S134" s="33"/>
      <c r="T134" s="33"/>
      <c r="U134" s="33"/>
      <c r="V134" s="33"/>
    </row>
    <row r="135" spans="3:22" x14ac:dyDescent="0.25">
      <c r="C135" s="1" t="s">
        <v>42</v>
      </c>
      <c r="D135" s="41">
        <v>0</v>
      </c>
      <c r="E135" s="41">
        <v>0</v>
      </c>
      <c r="F135" s="41">
        <v>0</v>
      </c>
      <c r="G135" s="41">
        <v>0.1</v>
      </c>
      <c r="H135" s="41">
        <v>0.15</v>
      </c>
      <c r="I135" s="41">
        <v>0.15</v>
      </c>
      <c r="J135" s="41">
        <v>0.2</v>
      </c>
      <c r="K135" s="41">
        <v>1</v>
      </c>
      <c r="L135" s="39"/>
      <c r="M135" s="33"/>
      <c r="N135" s="33"/>
      <c r="O135" s="32"/>
      <c r="P135" s="33"/>
      <c r="Q135" s="33"/>
      <c r="R135" s="33"/>
      <c r="S135" s="33"/>
      <c r="T135" s="33"/>
      <c r="U135" s="33"/>
      <c r="V135" s="33"/>
    </row>
    <row r="136" spans="3:22" x14ac:dyDescent="0.25">
      <c r="C136" s="1" t="s">
        <v>6</v>
      </c>
      <c r="D136" s="41">
        <v>0</v>
      </c>
      <c r="E136" s="41">
        <v>0</v>
      </c>
      <c r="F136" s="41">
        <v>0</v>
      </c>
      <c r="G136" s="41">
        <v>0.1</v>
      </c>
      <c r="H136" s="41">
        <v>0.15</v>
      </c>
      <c r="I136" s="41">
        <v>0.15</v>
      </c>
      <c r="J136" s="41">
        <v>0.2</v>
      </c>
      <c r="K136" s="41">
        <v>1</v>
      </c>
      <c r="L136" s="39"/>
      <c r="M136" s="33"/>
      <c r="N136" s="33"/>
      <c r="O136" s="32"/>
      <c r="P136" s="33"/>
      <c r="Q136" s="33"/>
      <c r="R136" s="33"/>
      <c r="S136" s="33"/>
      <c r="T136" s="33"/>
      <c r="U136" s="33"/>
      <c r="V136" s="33"/>
    </row>
    <row r="137" spans="3:22" x14ac:dyDescent="0.25">
      <c r="C137" s="1" t="s">
        <v>50</v>
      </c>
      <c r="D137" s="41">
        <v>0</v>
      </c>
      <c r="E137" s="41">
        <v>0</v>
      </c>
      <c r="F137" s="41">
        <v>0</v>
      </c>
      <c r="G137" s="41">
        <v>0.1</v>
      </c>
      <c r="H137" s="41">
        <v>0.15</v>
      </c>
      <c r="I137" s="41">
        <v>0.15</v>
      </c>
      <c r="J137" s="41">
        <v>0.2</v>
      </c>
      <c r="K137" s="41">
        <v>1</v>
      </c>
      <c r="L137" s="39"/>
      <c r="M137" s="33"/>
      <c r="N137" s="33"/>
      <c r="O137" s="32"/>
      <c r="P137" s="33"/>
      <c r="Q137" s="33"/>
      <c r="R137" s="33"/>
      <c r="S137" s="33"/>
      <c r="T137" s="33"/>
      <c r="U137" s="33"/>
      <c r="V137" s="33"/>
    </row>
    <row r="138" spans="3:22" x14ac:dyDescent="0.25">
      <c r="C138" s="1" t="s">
        <v>89</v>
      </c>
      <c r="D138" s="41">
        <v>0</v>
      </c>
      <c r="E138" s="41">
        <v>0</v>
      </c>
      <c r="F138" s="41">
        <v>0</v>
      </c>
      <c r="G138" s="41">
        <v>0.1</v>
      </c>
      <c r="H138" s="41">
        <v>0.15</v>
      </c>
      <c r="I138" s="41">
        <v>0.15</v>
      </c>
      <c r="J138" s="41">
        <v>0.2</v>
      </c>
      <c r="K138" s="41">
        <v>0.3</v>
      </c>
      <c r="L138" s="39"/>
      <c r="M138" s="33"/>
      <c r="N138" s="33"/>
      <c r="O138" s="32"/>
      <c r="P138" s="33"/>
      <c r="Q138" s="33"/>
      <c r="R138" s="33"/>
      <c r="S138" s="33"/>
      <c r="T138" s="33"/>
      <c r="U138" s="33"/>
      <c r="V138" s="33"/>
    </row>
    <row r="139" spans="3:22" x14ac:dyDescent="0.25">
      <c r="C139" s="1" t="s">
        <v>5</v>
      </c>
      <c r="D139" s="41">
        <v>0</v>
      </c>
      <c r="E139" s="41">
        <v>0</v>
      </c>
      <c r="F139" s="41">
        <v>0</v>
      </c>
      <c r="G139" s="41">
        <v>0.1</v>
      </c>
      <c r="H139" s="41">
        <v>0.15</v>
      </c>
      <c r="I139" s="41">
        <v>0.15</v>
      </c>
      <c r="J139" s="41">
        <v>0.2</v>
      </c>
      <c r="K139" s="41">
        <v>1</v>
      </c>
      <c r="L139" s="39"/>
      <c r="M139" s="33"/>
      <c r="N139" s="33"/>
      <c r="O139" s="32"/>
      <c r="P139" s="33"/>
      <c r="Q139" s="33"/>
      <c r="R139" s="33"/>
      <c r="S139" s="33"/>
      <c r="T139" s="33"/>
      <c r="U139" s="33"/>
      <c r="V139" s="33"/>
    </row>
    <row r="140" spans="3:22" x14ac:dyDescent="0.25">
      <c r="C140" s="1" t="s">
        <v>84</v>
      </c>
      <c r="D140" s="41">
        <v>0</v>
      </c>
      <c r="E140" s="41">
        <v>0</v>
      </c>
      <c r="F140" s="41">
        <v>0</v>
      </c>
      <c r="G140" s="41">
        <v>0.1</v>
      </c>
      <c r="H140" s="41">
        <v>0.15</v>
      </c>
      <c r="I140" s="41">
        <v>0.15</v>
      </c>
      <c r="J140" s="41">
        <v>0.2</v>
      </c>
      <c r="K140" s="41">
        <v>1</v>
      </c>
      <c r="L140" s="39"/>
      <c r="M140" s="33"/>
      <c r="N140" s="33"/>
      <c r="O140" s="32"/>
      <c r="P140" s="33"/>
      <c r="Q140" s="33"/>
      <c r="R140" s="33"/>
      <c r="S140" s="33"/>
      <c r="T140" s="33"/>
      <c r="U140" s="33"/>
      <c r="V140" s="33"/>
    </row>
    <row r="141" spans="3:22" x14ac:dyDescent="0.25">
      <c r="C141" s="1" t="s">
        <v>4</v>
      </c>
      <c r="D141" s="41">
        <v>0</v>
      </c>
      <c r="E141" s="41">
        <v>0</v>
      </c>
      <c r="F141" s="41">
        <v>0</v>
      </c>
      <c r="G141" s="41">
        <v>0.1</v>
      </c>
      <c r="H141" s="41">
        <v>0.15</v>
      </c>
      <c r="I141" s="41">
        <v>0.15</v>
      </c>
      <c r="J141" s="41">
        <v>0.2</v>
      </c>
      <c r="K141" s="41">
        <v>1</v>
      </c>
      <c r="L141" s="39"/>
      <c r="M141" s="33"/>
      <c r="N141" s="33"/>
      <c r="O141" s="32"/>
      <c r="P141" s="33"/>
      <c r="Q141" s="33"/>
      <c r="R141" s="33"/>
      <c r="S141" s="33"/>
      <c r="T141" s="33"/>
      <c r="U141" s="33"/>
      <c r="V141" s="33"/>
    </row>
    <row r="142" spans="3:22" x14ac:dyDescent="0.25">
      <c r="C142" s="1" t="s">
        <v>51</v>
      </c>
      <c r="D142" s="41">
        <v>0</v>
      </c>
      <c r="E142" s="41">
        <v>0</v>
      </c>
      <c r="F142" s="41">
        <v>0</v>
      </c>
      <c r="G142" s="41">
        <v>0.1</v>
      </c>
      <c r="H142" s="41">
        <v>0.15</v>
      </c>
      <c r="I142" s="41">
        <v>0.15</v>
      </c>
      <c r="J142" s="41">
        <v>0.2</v>
      </c>
      <c r="K142" s="41">
        <v>1</v>
      </c>
      <c r="L142" s="39"/>
      <c r="M142" s="33"/>
      <c r="N142" s="33"/>
      <c r="O142" s="32"/>
      <c r="P142" s="33"/>
      <c r="Q142" s="33"/>
      <c r="R142" s="33"/>
      <c r="S142" s="33"/>
      <c r="T142" s="33"/>
      <c r="U142" s="33"/>
      <c r="V142" s="33"/>
    </row>
    <row r="143" spans="3:22" x14ac:dyDescent="0.25">
      <c r="C143" s="1" t="s">
        <v>85</v>
      </c>
      <c r="D143" s="41">
        <v>0</v>
      </c>
      <c r="E143" s="41">
        <v>0</v>
      </c>
      <c r="F143" s="41">
        <v>0</v>
      </c>
      <c r="G143" s="41">
        <v>0.1</v>
      </c>
      <c r="H143" s="41">
        <v>0.15</v>
      </c>
      <c r="I143" s="41">
        <v>0.15</v>
      </c>
      <c r="J143" s="41">
        <v>0.2</v>
      </c>
      <c r="K143" s="41">
        <v>1</v>
      </c>
      <c r="L143" s="39"/>
      <c r="M143" s="33"/>
      <c r="N143" s="33"/>
      <c r="O143" s="32"/>
      <c r="P143" s="33"/>
      <c r="Q143" s="33"/>
      <c r="R143" s="33"/>
      <c r="S143" s="33"/>
      <c r="T143" s="33"/>
      <c r="U143" s="33"/>
      <c r="V143" s="33"/>
    </row>
    <row r="144" spans="3:22" x14ac:dyDescent="0.25">
      <c r="C144" s="1" t="s">
        <v>2</v>
      </c>
      <c r="D144" s="41">
        <v>0</v>
      </c>
      <c r="E144" s="41">
        <v>0</v>
      </c>
      <c r="F144" s="41">
        <v>0.1</v>
      </c>
      <c r="G144" s="41">
        <v>0.5</v>
      </c>
      <c r="H144" s="41">
        <v>1</v>
      </c>
      <c r="I144" s="41">
        <v>1</v>
      </c>
      <c r="J144" s="41">
        <v>1</v>
      </c>
      <c r="K144" s="41">
        <v>1</v>
      </c>
      <c r="L144" s="39"/>
      <c r="M144" s="33"/>
      <c r="N144" s="33"/>
      <c r="O144" s="32"/>
      <c r="P144" s="33"/>
      <c r="Q144" s="33"/>
      <c r="R144" s="33"/>
      <c r="S144" s="33"/>
      <c r="T144" s="33"/>
      <c r="U144" s="33"/>
      <c r="V144" s="33"/>
    </row>
    <row r="145" spans="3:22" x14ac:dyDescent="0.25">
      <c r="C145" s="1" t="s">
        <v>86</v>
      </c>
      <c r="D145" s="41">
        <v>0</v>
      </c>
      <c r="E145" s="41">
        <v>0</v>
      </c>
      <c r="F145" s="41">
        <v>0</v>
      </c>
      <c r="G145" s="41">
        <v>0.1</v>
      </c>
      <c r="H145" s="41">
        <v>0.15</v>
      </c>
      <c r="I145" s="41">
        <v>0.15</v>
      </c>
      <c r="J145" s="41">
        <v>0.2</v>
      </c>
      <c r="K145" s="41">
        <v>1</v>
      </c>
      <c r="L145" s="39"/>
      <c r="M145" s="33"/>
      <c r="N145" s="33"/>
      <c r="O145" s="32"/>
      <c r="P145" s="33"/>
      <c r="Q145" s="33"/>
      <c r="R145" s="33"/>
      <c r="S145" s="33"/>
      <c r="T145" s="33"/>
      <c r="U145" s="33"/>
      <c r="V145" s="33"/>
    </row>
    <row r="146" spans="3:22" x14ac:dyDescent="0.25">
      <c r="C146" s="1" t="s">
        <v>29</v>
      </c>
      <c r="D146" s="41">
        <v>0</v>
      </c>
      <c r="E146" s="41">
        <v>0</v>
      </c>
      <c r="F146" s="41">
        <v>0</v>
      </c>
      <c r="G146" s="41">
        <v>0.1</v>
      </c>
      <c r="H146" s="41">
        <v>0.15</v>
      </c>
      <c r="I146" s="41">
        <v>0.15</v>
      </c>
      <c r="J146" s="41">
        <v>0.2</v>
      </c>
      <c r="K146" s="41">
        <v>1</v>
      </c>
      <c r="L146" s="39"/>
      <c r="M146" s="33"/>
      <c r="N146" s="33"/>
      <c r="O146" s="32"/>
      <c r="P146" s="33"/>
      <c r="Q146" s="33"/>
      <c r="R146" s="33"/>
      <c r="S146" s="33"/>
      <c r="T146" s="33"/>
      <c r="U146" s="33"/>
      <c r="V146" s="33"/>
    </row>
    <row r="147" spans="3:22" x14ac:dyDescent="0.25">
      <c r="C147" s="1" t="s">
        <v>52</v>
      </c>
      <c r="D147" s="41">
        <v>0</v>
      </c>
      <c r="E147" s="41">
        <v>0</v>
      </c>
      <c r="F147" s="41">
        <v>0</v>
      </c>
      <c r="G147" s="41">
        <v>0.1</v>
      </c>
      <c r="H147" s="41">
        <v>0.15</v>
      </c>
      <c r="I147" s="41">
        <v>0.15</v>
      </c>
      <c r="J147" s="41">
        <v>0.2</v>
      </c>
      <c r="K147" s="41">
        <v>1</v>
      </c>
      <c r="L147" s="39"/>
      <c r="M147" s="33"/>
      <c r="N147" s="33"/>
      <c r="O147" s="32"/>
      <c r="P147" s="33"/>
      <c r="Q147" s="33"/>
      <c r="R147" s="33"/>
      <c r="S147" s="33"/>
      <c r="T147" s="33"/>
      <c r="U147" s="33"/>
      <c r="V147" s="33"/>
    </row>
    <row r="148" spans="3:22" x14ac:dyDescent="0.25">
      <c r="C148" s="1" t="s">
        <v>1</v>
      </c>
      <c r="D148" s="41">
        <v>0</v>
      </c>
      <c r="E148" s="41">
        <v>0</v>
      </c>
      <c r="F148" s="41">
        <v>0</v>
      </c>
      <c r="G148" s="41">
        <v>0.1</v>
      </c>
      <c r="H148" s="41">
        <v>0.15</v>
      </c>
      <c r="I148" s="41">
        <v>0.15</v>
      </c>
      <c r="J148" s="41">
        <v>0.2</v>
      </c>
      <c r="K148" s="41">
        <v>1</v>
      </c>
      <c r="L148" s="39"/>
      <c r="M148" s="33"/>
      <c r="N148" s="33"/>
      <c r="O148" s="32"/>
      <c r="P148" s="33"/>
      <c r="Q148" s="33"/>
      <c r="R148" s="33"/>
      <c r="S148" s="33"/>
      <c r="T148" s="33"/>
      <c r="U148" s="33"/>
      <c r="V148" s="33"/>
    </row>
    <row r="149" spans="3:22" ht="15.75" thickBot="1" x14ac:dyDescent="0.3">
      <c r="C149" s="4"/>
      <c r="D149" s="39"/>
      <c r="E149" s="39"/>
      <c r="F149" s="39"/>
      <c r="G149" s="39"/>
      <c r="H149" s="39"/>
      <c r="I149" s="39"/>
      <c r="J149" s="39"/>
      <c r="K149" s="39"/>
      <c r="L149" s="39"/>
      <c r="M149" s="33"/>
      <c r="N149" s="33"/>
      <c r="O149" s="32"/>
      <c r="P149" s="33"/>
      <c r="Q149" s="33"/>
      <c r="R149" s="33"/>
      <c r="S149" s="33"/>
      <c r="T149" s="33"/>
      <c r="U149" s="33"/>
      <c r="V149" s="33"/>
    </row>
    <row r="150" spans="3:22" ht="15.75" thickBot="1" x14ac:dyDescent="0.3">
      <c r="C150" s="150" t="s">
        <v>60</v>
      </c>
      <c r="D150" s="151"/>
      <c r="E150" s="151"/>
      <c r="F150" s="151"/>
      <c r="G150" s="151"/>
      <c r="H150" s="151"/>
      <c r="I150" s="151"/>
      <c r="J150" s="151"/>
      <c r="K150" s="151"/>
      <c r="L150" s="152"/>
      <c r="M150" s="33"/>
      <c r="N150" s="33"/>
      <c r="O150" s="32"/>
      <c r="P150" s="33"/>
      <c r="Q150" s="33"/>
      <c r="R150" s="33"/>
      <c r="S150" s="33"/>
      <c r="T150" s="33"/>
      <c r="U150" s="33"/>
      <c r="V150" s="33"/>
    </row>
    <row r="151" spans="3:22" x14ac:dyDescent="0.25">
      <c r="C151" s="4" t="s">
        <v>16</v>
      </c>
      <c r="D151" s="4" t="s">
        <v>15</v>
      </c>
      <c r="E151" s="4" t="s">
        <v>14</v>
      </c>
      <c r="F151" s="4" t="s">
        <v>13</v>
      </c>
      <c r="G151" s="4" t="s">
        <v>12</v>
      </c>
      <c r="H151" s="4" t="s">
        <v>94</v>
      </c>
      <c r="I151" s="4" t="s">
        <v>95</v>
      </c>
      <c r="J151" s="4" t="s">
        <v>38</v>
      </c>
      <c r="K151" s="4" t="s">
        <v>9</v>
      </c>
      <c r="L151" s="5" t="s">
        <v>0</v>
      </c>
      <c r="M151" s="33"/>
      <c r="N151" s="33"/>
      <c r="O151" s="32"/>
      <c r="P151" s="33"/>
      <c r="Q151" s="33"/>
      <c r="R151" s="33"/>
      <c r="S151" s="33"/>
      <c r="T151" s="33"/>
      <c r="U151" s="33"/>
      <c r="V151" s="33"/>
    </row>
    <row r="152" spans="3:22" x14ac:dyDescent="0.25">
      <c r="C152" s="1" t="s">
        <v>49</v>
      </c>
      <c r="D152" s="66">
        <f>D111*D132</f>
        <v>0</v>
      </c>
      <c r="E152" s="66">
        <f t="shared" ref="E152:K152" si="49">E111*E132</f>
        <v>0</v>
      </c>
      <c r="F152" s="66">
        <f t="shared" si="49"/>
        <v>0</v>
      </c>
      <c r="G152" s="66">
        <f t="shared" si="49"/>
        <v>0</v>
      </c>
      <c r="H152" s="66">
        <f t="shared" si="49"/>
        <v>0</v>
      </c>
      <c r="I152" s="66">
        <f t="shared" si="49"/>
        <v>0</v>
      </c>
      <c r="J152" s="66">
        <f t="shared" si="49"/>
        <v>0</v>
      </c>
      <c r="K152" s="66">
        <f t="shared" si="49"/>
        <v>0</v>
      </c>
      <c r="L152" s="66">
        <f>SUM(D152:K152)</f>
        <v>0</v>
      </c>
      <c r="M152" s="33"/>
      <c r="N152" s="33"/>
      <c r="O152" s="32"/>
      <c r="P152" s="33"/>
      <c r="Q152" s="33"/>
      <c r="R152" s="33"/>
      <c r="S152" s="33"/>
      <c r="T152" s="33"/>
      <c r="U152" s="33"/>
      <c r="V152" s="33"/>
    </row>
    <row r="153" spans="3:22" x14ac:dyDescent="0.25">
      <c r="C153" s="1" t="s">
        <v>8</v>
      </c>
      <c r="D153" s="39">
        <f t="shared" ref="D153:K168" si="50">D112*D133</f>
        <v>0</v>
      </c>
      <c r="E153" s="39">
        <f t="shared" si="50"/>
        <v>0</v>
      </c>
      <c r="F153" s="39">
        <f t="shared" si="50"/>
        <v>0</v>
      </c>
      <c r="G153" s="39">
        <f t="shared" si="50"/>
        <v>0</v>
      </c>
      <c r="H153" s="39">
        <f t="shared" si="50"/>
        <v>0</v>
      </c>
      <c r="I153" s="39">
        <f t="shared" si="50"/>
        <v>0</v>
      </c>
      <c r="J153" s="39">
        <f t="shared" si="50"/>
        <v>0</v>
      </c>
      <c r="K153" s="39">
        <f t="shared" si="50"/>
        <v>115</v>
      </c>
      <c r="L153" s="39">
        <f t="shared" ref="L153:L168" si="51">SUM(D153:K153)</f>
        <v>115</v>
      </c>
      <c r="M153" s="33"/>
      <c r="N153" s="33"/>
      <c r="O153" s="32"/>
      <c r="P153" s="33"/>
      <c r="Q153" s="33"/>
      <c r="R153" s="33"/>
      <c r="S153" s="33"/>
      <c r="T153" s="33"/>
      <c r="U153" s="33"/>
      <c r="V153" s="33"/>
    </row>
    <row r="154" spans="3:22" x14ac:dyDescent="0.25">
      <c r="C154" s="1" t="s">
        <v>7</v>
      </c>
      <c r="D154" s="39">
        <f t="shared" si="50"/>
        <v>0</v>
      </c>
      <c r="E154" s="39">
        <f t="shared" si="50"/>
        <v>0</v>
      </c>
      <c r="F154" s="39">
        <f t="shared" si="50"/>
        <v>0</v>
      </c>
      <c r="G154" s="39">
        <f t="shared" si="50"/>
        <v>0</v>
      </c>
      <c r="H154" s="39">
        <f t="shared" si="50"/>
        <v>0</v>
      </c>
      <c r="I154" s="39">
        <f t="shared" si="50"/>
        <v>0</v>
      </c>
      <c r="J154" s="39">
        <f t="shared" si="50"/>
        <v>0</v>
      </c>
      <c r="K154" s="39">
        <f t="shared" si="50"/>
        <v>0</v>
      </c>
      <c r="L154" s="39">
        <f t="shared" si="51"/>
        <v>0</v>
      </c>
      <c r="M154" s="33"/>
      <c r="N154" s="33"/>
      <c r="O154" s="32"/>
      <c r="P154" s="33"/>
      <c r="Q154" s="33"/>
      <c r="R154" s="33"/>
      <c r="S154" s="33"/>
      <c r="T154" s="33"/>
      <c r="U154" s="33"/>
      <c r="V154" s="33"/>
    </row>
    <row r="155" spans="3:22" x14ac:dyDescent="0.25">
      <c r="C155" s="1" t="s">
        <v>42</v>
      </c>
      <c r="D155" s="39">
        <f t="shared" si="50"/>
        <v>0</v>
      </c>
      <c r="E155" s="39">
        <f t="shared" si="50"/>
        <v>0</v>
      </c>
      <c r="F155" s="39">
        <f t="shared" si="50"/>
        <v>0</v>
      </c>
      <c r="G155" s="39">
        <f t="shared" si="50"/>
        <v>0</v>
      </c>
      <c r="H155" s="39">
        <f t="shared" si="50"/>
        <v>0</v>
      </c>
      <c r="I155" s="39">
        <f t="shared" si="50"/>
        <v>0</v>
      </c>
      <c r="J155" s="39">
        <f t="shared" si="50"/>
        <v>0</v>
      </c>
      <c r="K155" s="39">
        <f t="shared" si="50"/>
        <v>0</v>
      </c>
      <c r="L155" s="39">
        <f t="shared" si="51"/>
        <v>0</v>
      </c>
      <c r="M155" s="33"/>
      <c r="N155" s="33"/>
      <c r="O155" s="32"/>
      <c r="P155" s="33"/>
      <c r="Q155" s="33"/>
      <c r="R155" s="33"/>
      <c r="S155" s="33"/>
      <c r="T155" s="33"/>
      <c r="U155" s="33"/>
      <c r="V155" s="33"/>
    </row>
    <row r="156" spans="3:22" x14ac:dyDescent="0.25">
      <c r="C156" s="1" t="s">
        <v>6</v>
      </c>
      <c r="D156" s="39">
        <f t="shared" si="50"/>
        <v>0</v>
      </c>
      <c r="E156" s="39">
        <f t="shared" si="50"/>
        <v>0</v>
      </c>
      <c r="F156" s="39">
        <f t="shared" si="50"/>
        <v>0</v>
      </c>
      <c r="G156" s="39">
        <f t="shared" si="50"/>
        <v>0</v>
      </c>
      <c r="H156" s="39">
        <f t="shared" si="50"/>
        <v>0</v>
      </c>
      <c r="I156" s="39">
        <f t="shared" si="50"/>
        <v>0</v>
      </c>
      <c r="J156" s="39">
        <f t="shared" si="50"/>
        <v>0</v>
      </c>
      <c r="K156" s="39">
        <f t="shared" si="50"/>
        <v>0</v>
      </c>
      <c r="L156" s="39">
        <f t="shared" si="51"/>
        <v>0</v>
      </c>
      <c r="M156" s="33"/>
      <c r="N156" s="33"/>
      <c r="O156" s="32"/>
      <c r="P156" s="33"/>
      <c r="Q156" s="33"/>
      <c r="R156" s="33"/>
      <c r="S156" s="33"/>
      <c r="T156" s="33"/>
      <c r="U156" s="33"/>
      <c r="V156" s="33"/>
    </row>
    <row r="157" spans="3:22" x14ac:dyDescent="0.25">
      <c r="C157" s="1" t="s">
        <v>50</v>
      </c>
      <c r="D157" s="39">
        <f t="shared" si="50"/>
        <v>0</v>
      </c>
      <c r="E157" s="39">
        <f t="shared" si="50"/>
        <v>0</v>
      </c>
      <c r="F157" s="39">
        <f t="shared" si="50"/>
        <v>0</v>
      </c>
      <c r="G157" s="39">
        <f t="shared" si="50"/>
        <v>0</v>
      </c>
      <c r="H157" s="39">
        <f t="shared" si="50"/>
        <v>0</v>
      </c>
      <c r="I157" s="39">
        <f t="shared" si="50"/>
        <v>0</v>
      </c>
      <c r="J157" s="39">
        <f t="shared" si="50"/>
        <v>0</v>
      </c>
      <c r="K157" s="39">
        <f t="shared" si="50"/>
        <v>0</v>
      </c>
      <c r="L157" s="39">
        <f t="shared" si="51"/>
        <v>0</v>
      </c>
      <c r="M157" s="33"/>
      <c r="N157" s="33"/>
      <c r="O157" s="32"/>
      <c r="P157" s="33"/>
      <c r="Q157" s="33"/>
      <c r="R157" s="33"/>
      <c r="S157" s="33"/>
      <c r="T157" s="33"/>
      <c r="U157" s="33"/>
      <c r="V157" s="33"/>
    </row>
    <row r="158" spans="3:22" x14ac:dyDescent="0.25">
      <c r="C158" s="1" t="s">
        <v>89</v>
      </c>
      <c r="D158" s="39">
        <f t="shared" si="50"/>
        <v>0</v>
      </c>
      <c r="E158" s="39">
        <f t="shared" si="50"/>
        <v>0</v>
      </c>
      <c r="F158" s="39">
        <f t="shared" si="50"/>
        <v>0</v>
      </c>
      <c r="G158" s="39">
        <f t="shared" si="50"/>
        <v>0</v>
      </c>
      <c r="H158" s="39">
        <f t="shared" si="50"/>
        <v>0</v>
      </c>
      <c r="I158" s="39">
        <f t="shared" si="50"/>
        <v>0</v>
      </c>
      <c r="J158" s="39">
        <f t="shared" si="50"/>
        <v>0</v>
      </c>
      <c r="K158" s="39">
        <f t="shared" si="50"/>
        <v>0</v>
      </c>
      <c r="L158" s="39">
        <f t="shared" si="51"/>
        <v>0</v>
      </c>
      <c r="M158" s="33"/>
      <c r="N158" s="33"/>
      <c r="O158" s="32"/>
      <c r="P158" s="33"/>
      <c r="Q158" s="33"/>
      <c r="R158" s="33"/>
      <c r="S158" s="33"/>
      <c r="T158" s="33"/>
      <c r="U158" s="33"/>
      <c r="V158" s="33"/>
    </row>
    <row r="159" spans="3:22" x14ac:dyDescent="0.25">
      <c r="C159" s="1" t="s">
        <v>5</v>
      </c>
      <c r="D159" s="39">
        <f t="shared" si="50"/>
        <v>0</v>
      </c>
      <c r="E159" s="39">
        <f t="shared" si="50"/>
        <v>0</v>
      </c>
      <c r="F159" s="39">
        <f t="shared" si="50"/>
        <v>0</v>
      </c>
      <c r="G159" s="39">
        <f t="shared" si="50"/>
        <v>0</v>
      </c>
      <c r="H159" s="39">
        <f t="shared" si="50"/>
        <v>0</v>
      </c>
      <c r="I159" s="39">
        <f t="shared" si="50"/>
        <v>0</v>
      </c>
      <c r="J159" s="39">
        <f t="shared" si="50"/>
        <v>0</v>
      </c>
      <c r="K159" s="39">
        <f t="shared" si="50"/>
        <v>0</v>
      </c>
      <c r="L159" s="39">
        <f t="shared" si="51"/>
        <v>0</v>
      </c>
      <c r="M159" s="33"/>
      <c r="N159" s="33"/>
      <c r="O159" s="32"/>
      <c r="P159" s="33"/>
      <c r="Q159" s="33"/>
      <c r="R159" s="33"/>
      <c r="S159" s="33"/>
      <c r="T159" s="33"/>
      <c r="U159" s="33"/>
      <c r="V159" s="33"/>
    </row>
    <row r="160" spans="3:22" x14ac:dyDescent="0.25">
      <c r="C160" s="1" t="s">
        <v>84</v>
      </c>
      <c r="D160" s="39">
        <f t="shared" si="50"/>
        <v>0</v>
      </c>
      <c r="E160" s="39">
        <f t="shared" si="50"/>
        <v>0</v>
      </c>
      <c r="F160" s="39">
        <f t="shared" si="50"/>
        <v>0</v>
      </c>
      <c r="G160" s="39">
        <f t="shared" si="50"/>
        <v>0</v>
      </c>
      <c r="H160" s="39">
        <f t="shared" si="50"/>
        <v>0</v>
      </c>
      <c r="I160" s="39">
        <f t="shared" si="50"/>
        <v>0</v>
      </c>
      <c r="J160" s="39">
        <f t="shared" si="50"/>
        <v>0</v>
      </c>
      <c r="K160" s="39">
        <f t="shared" si="50"/>
        <v>0</v>
      </c>
      <c r="L160" s="39">
        <f t="shared" si="51"/>
        <v>0</v>
      </c>
      <c r="M160" s="33"/>
      <c r="N160" s="33"/>
      <c r="O160" s="32"/>
      <c r="P160" s="33"/>
      <c r="Q160" s="33"/>
      <c r="R160" s="33"/>
      <c r="S160" s="33"/>
      <c r="T160" s="33"/>
      <c r="U160" s="33"/>
      <c r="V160" s="33"/>
    </row>
    <row r="161" spans="3:22" x14ac:dyDescent="0.25">
      <c r="C161" s="1" t="s">
        <v>4</v>
      </c>
      <c r="D161" s="39">
        <f t="shared" si="50"/>
        <v>0</v>
      </c>
      <c r="E161" s="39">
        <f t="shared" si="50"/>
        <v>0</v>
      </c>
      <c r="F161" s="39">
        <f t="shared" si="50"/>
        <v>0</v>
      </c>
      <c r="G161" s="39">
        <f t="shared" si="50"/>
        <v>0</v>
      </c>
      <c r="H161" s="39">
        <f t="shared" si="50"/>
        <v>0</v>
      </c>
      <c r="I161" s="39">
        <f t="shared" si="50"/>
        <v>0</v>
      </c>
      <c r="J161" s="39">
        <f t="shared" si="50"/>
        <v>0</v>
      </c>
      <c r="K161" s="39">
        <f t="shared" si="50"/>
        <v>0</v>
      </c>
      <c r="L161" s="39">
        <f t="shared" si="51"/>
        <v>0</v>
      </c>
      <c r="M161" s="33"/>
      <c r="N161" s="33"/>
      <c r="O161" s="32"/>
      <c r="P161" s="33"/>
      <c r="Q161" s="33"/>
      <c r="R161" s="33"/>
      <c r="S161" s="33"/>
      <c r="T161" s="33"/>
      <c r="U161" s="33"/>
      <c r="V161" s="33"/>
    </row>
    <row r="162" spans="3:22" x14ac:dyDescent="0.25">
      <c r="C162" s="1" t="s">
        <v>51</v>
      </c>
      <c r="D162" s="39">
        <f t="shared" si="50"/>
        <v>0</v>
      </c>
      <c r="E162" s="39">
        <f t="shared" si="50"/>
        <v>0</v>
      </c>
      <c r="F162" s="39">
        <f t="shared" si="50"/>
        <v>0</v>
      </c>
      <c r="G162" s="39">
        <f t="shared" si="50"/>
        <v>0</v>
      </c>
      <c r="H162" s="39">
        <f t="shared" si="50"/>
        <v>0</v>
      </c>
      <c r="I162" s="39">
        <f t="shared" si="50"/>
        <v>0</v>
      </c>
      <c r="J162" s="39">
        <f t="shared" si="50"/>
        <v>0</v>
      </c>
      <c r="K162" s="39">
        <f t="shared" si="50"/>
        <v>0</v>
      </c>
      <c r="L162" s="39">
        <f t="shared" si="51"/>
        <v>0</v>
      </c>
      <c r="M162" s="33"/>
      <c r="N162" s="33"/>
      <c r="O162" s="32"/>
      <c r="P162" s="33"/>
      <c r="Q162" s="33"/>
      <c r="R162" s="33"/>
      <c r="S162" s="33"/>
      <c r="T162" s="33"/>
      <c r="U162" s="33"/>
      <c r="V162" s="33"/>
    </row>
    <row r="163" spans="3:22" x14ac:dyDescent="0.25">
      <c r="C163" s="1" t="s">
        <v>85</v>
      </c>
      <c r="D163" s="39">
        <f t="shared" si="50"/>
        <v>0</v>
      </c>
      <c r="E163" s="39">
        <f t="shared" si="50"/>
        <v>0</v>
      </c>
      <c r="F163" s="39">
        <f t="shared" si="50"/>
        <v>0</v>
      </c>
      <c r="G163" s="39">
        <f t="shared" si="50"/>
        <v>0</v>
      </c>
      <c r="H163" s="39">
        <f t="shared" si="50"/>
        <v>0</v>
      </c>
      <c r="I163" s="39">
        <f t="shared" si="50"/>
        <v>0</v>
      </c>
      <c r="J163" s="39">
        <f t="shared" si="50"/>
        <v>0</v>
      </c>
      <c r="K163" s="39">
        <f t="shared" si="50"/>
        <v>0</v>
      </c>
      <c r="L163" s="39">
        <f t="shared" si="51"/>
        <v>0</v>
      </c>
      <c r="M163" s="33"/>
      <c r="N163" s="33"/>
      <c r="O163" s="32"/>
      <c r="P163" s="33"/>
      <c r="Q163" s="33"/>
      <c r="R163" s="33"/>
      <c r="S163" s="33"/>
      <c r="T163" s="33"/>
      <c r="U163" s="33"/>
      <c r="V163" s="33"/>
    </row>
    <row r="164" spans="3:22" x14ac:dyDescent="0.25">
      <c r="C164" s="1" t="s">
        <v>2</v>
      </c>
      <c r="D164" s="39">
        <f t="shared" si="50"/>
        <v>0</v>
      </c>
      <c r="E164" s="39">
        <f t="shared" si="50"/>
        <v>0</v>
      </c>
      <c r="F164" s="39">
        <f t="shared" si="50"/>
        <v>0</v>
      </c>
      <c r="G164" s="39">
        <f t="shared" si="50"/>
        <v>0</v>
      </c>
      <c r="H164" s="39">
        <f t="shared" si="50"/>
        <v>0</v>
      </c>
      <c r="I164" s="39">
        <f t="shared" si="50"/>
        <v>0</v>
      </c>
      <c r="J164" s="39">
        <f t="shared" si="50"/>
        <v>0</v>
      </c>
      <c r="K164" s="39">
        <f t="shared" si="50"/>
        <v>-73.400000000000006</v>
      </c>
      <c r="L164" s="39">
        <f t="shared" si="51"/>
        <v>-73.400000000000006</v>
      </c>
      <c r="M164" s="33"/>
      <c r="N164" s="33"/>
      <c r="O164" s="32"/>
      <c r="P164" s="33"/>
      <c r="Q164" s="33"/>
      <c r="R164" s="33"/>
      <c r="S164" s="33"/>
      <c r="T164" s="33"/>
      <c r="U164" s="33"/>
      <c r="V164" s="33"/>
    </row>
    <row r="165" spans="3:22" x14ac:dyDescent="0.25">
      <c r="C165" s="1" t="s">
        <v>86</v>
      </c>
      <c r="D165" s="39">
        <f t="shared" si="50"/>
        <v>0</v>
      </c>
      <c r="E165" s="39">
        <f t="shared" si="50"/>
        <v>0</v>
      </c>
      <c r="F165" s="39">
        <f t="shared" si="50"/>
        <v>0</v>
      </c>
      <c r="G165" s="39">
        <f t="shared" si="50"/>
        <v>0</v>
      </c>
      <c r="H165" s="39">
        <f t="shared" si="50"/>
        <v>0</v>
      </c>
      <c r="I165" s="39">
        <f t="shared" si="50"/>
        <v>0</v>
      </c>
      <c r="J165" s="39">
        <f t="shared" si="50"/>
        <v>0</v>
      </c>
      <c r="K165" s="39">
        <f t="shared" si="50"/>
        <v>0</v>
      </c>
      <c r="L165" s="39">
        <f t="shared" si="51"/>
        <v>0</v>
      </c>
      <c r="M165" s="33"/>
      <c r="N165" s="33"/>
      <c r="O165" s="172" t="s">
        <v>62</v>
      </c>
      <c r="P165" s="33"/>
      <c r="Q165" s="33"/>
      <c r="R165" s="33"/>
      <c r="S165" s="33"/>
      <c r="T165" s="33"/>
      <c r="U165" s="33"/>
      <c r="V165" s="33"/>
    </row>
    <row r="166" spans="3:22" x14ac:dyDescent="0.25">
      <c r="C166" s="1" t="s">
        <v>29</v>
      </c>
      <c r="D166" s="39">
        <f t="shared" si="50"/>
        <v>0</v>
      </c>
      <c r="E166" s="39">
        <f t="shared" si="50"/>
        <v>0</v>
      </c>
      <c r="F166" s="39">
        <f t="shared" si="50"/>
        <v>0</v>
      </c>
      <c r="G166" s="39">
        <f t="shared" si="50"/>
        <v>0</v>
      </c>
      <c r="H166" s="39">
        <f t="shared" si="50"/>
        <v>0</v>
      </c>
      <c r="I166" s="39">
        <f t="shared" si="50"/>
        <v>0</v>
      </c>
      <c r="J166" s="39">
        <f t="shared" si="50"/>
        <v>0</v>
      </c>
      <c r="K166" s="39">
        <f t="shared" si="50"/>
        <v>0</v>
      </c>
      <c r="L166" s="39">
        <f t="shared" si="51"/>
        <v>0</v>
      </c>
      <c r="M166" s="33"/>
      <c r="N166" s="33"/>
      <c r="O166" s="172"/>
      <c r="P166" s="33"/>
      <c r="Q166" s="33"/>
      <c r="R166" s="33"/>
      <c r="S166" s="33"/>
      <c r="T166" s="33"/>
      <c r="U166" s="33"/>
      <c r="V166" s="33"/>
    </row>
    <row r="167" spans="3:22" x14ac:dyDescent="0.25">
      <c r="C167" s="1" t="s">
        <v>52</v>
      </c>
      <c r="D167" s="39">
        <f t="shared" si="50"/>
        <v>0</v>
      </c>
      <c r="E167" s="39">
        <f t="shared" si="50"/>
        <v>0</v>
      </c>
      <c r="F167" s="39">
        <f t="shared" si="50"/>
        <v>0</v>
      </c>
      <c r="G167" s="39">
        <f t="shared" si="50"/>
        <v>0</v>
      </c>
      <c r="H167" s="39">
        <f t="shared" si="50"/>
        <v>0</v>
      </c>
      <c r="I167" s="39">
        <f t="shared" si="50"/>
        <v>0</v>
      </c>
      <c r="J167" s="39">
        <f t="shared" si="50"/>
        <v>0</v>
      </c>
      <c r="K167" s="39">
        <f t="shared" si="50"/>
        <v>0</v>
      </c>
      <c r="L167" s="39">
        <f t="shared" si="51"/>
        <v>0</v>
      </c>
      <c r="M167" s="33"/>
      <c r="N167" s="125" t="s">
        <v>237</v>
      </c>
      <c r="O167" s="172" t="s">
        <v>63</v>
      </c>
      <c r="P167" s="33"/>
      <c r="Q167" s="33"/>
      <c r="R167" s="33"/>
      <c r="S167" s="33"/>
      <c r="T167" s="33"/>
      <c r="U167" s="33"/>
      <c r="V167" s="33"/>
    </row>
    <row r="168" spans="3:22" x14ac:dyDescent="0.25">
      <c r="C168" s="1" t="s">
        <v>1</v>
      </c>
      <c r="D168" s="40">
        <f t="shared" si="50"/>
        <v>0</v>
      </c>
      <c r="E168" s="40">
        <f t="shared" si="50"/>
        <v>0</v>
      </c>
      <c r="F168" s="40">
        <f t="shared" si="50"/>
        <v>0</v>
      </c>
      <c r="G168" s="40">
        <f t="shared" si="50"/>
        <v>0</v>
      </c>
      <c r="H168" s="40">
        <f t="shared" si="50"/>
        <v>0</v>
      </c>
      <c r="I168" s="40">
        <f t="shared" si="50"/>
        <v>0</v>
      </c>
      <c r="J168" s="40">
        <f t="shared" si="50"/>
        <v>0</v>
      </c>
      <c r="K168" s="40">
        <f t="shared" si="50"/>
        <v>0</v>
      </c>
      <c r="L168" s="40">
        <f t="shared" si="51"/>
        <v>0</v>
      </c>
      <c r="M168" s="33"/>
      <c r="N168" s="126" t="s">
        <v>61</v>
      </c>
      <c r="O168" s="173"/>
      <c r="P168" s="33"/>
      <c r="Q168" s="33"/>
      <c r="R168" s="33"/>
      <c r="S168" s="33"/>
      <c r="T168" s="33"/>
      <c r="U168" s="33"/>
      <c r="V168" s="33"/>
    </row>
    <row r="169" spans="3:22" x14ac:dyDescent="0.25">
      <c r="C169" s="4"/>
      <c r="D169" s="39">
        <f>SUM(D152:D168)</f>
        <v>0</v>
      </c>
      <c r="E169" s="39">
        <f t="shared" ref="E169:L169" si="52">SUM(E152:E168)</f>
        <v>0</v>
      </c>
      <c r="F169" s="39">
        <f t="shared" si="52"/>
        <v>0</v>
      </c>
      <c r="G169" s="39">
        <f t="shared" si="52"/>
        <v>0</v>
      </c>
      <c r="H169" s="39">
        <f t="shared" si="52"/>
        <v>0</v>
      </c>
      <c r="I169" s="39">
        <f t="shared" si="52"/>
        <v>0</v>
      </c>
      <c r="J169" s="39">
        <f t="shared" si="52"/>
        <v>0</v>
      </c>
      <c r="K169" s="39">
        <f t="shared" si="52"/>
        <v>41.599999999999994</v>
      </c>
      <c r="L169" s="39">
        <f t="shared" si="52"/>
        <v>41.599999999999994</v>
      </c>
      <c r="M169" s="33"/>
      <c r="N169" s="95">
        <v>41.599999999999994</v>
      </c>
      <c r="O169" s="32">
        <f>L169-N169</f>
        <v>0</v>
      </c>
      <c r="P169" s="33"/>
      <c r="Q169" s="33"/>
      <c r="R169" s="33"/>
      <c r="S169" s="33"/>
      <c r="T169" s="33"/>
      <c r="U169" s="33"/>
      <c r="V169" s="33"/>
    </row>
    <row r="170" spans="3:22" ht="15.75" thickBot="1" x14ac:dyDescent="0.3">
      <c r="C170" s="4"/>
      <c r="D170" s="39"/>
      <c r="E170" s="39"/>
      <c r="F170" s="39"/>
      <c r="G170" s="39"/>
      <c r="H170" s="39"/>
      <c r="I170" s="39"/>
      <c r="J170" s="39"/>
      <c r="K170" s="39"/>
      <c r="L170" s="39"/>
      <c r="M170" s="33"/>
      <c r="N170" s="119"/>
      <c r="O170" s="32"/>
      <c r="P170" s="33"/>
      <c r="Q170" s="33"/>
      <c r="R170" s="33"/>
      <c r="S170" s="33"/>
      <c r="T170" s="33"/>
      <c r="U170" s="33"/>
      <c r="V170" s="33"/>
    </row>
    <row r="171" spans="3:22" ht="15.75" thickBot="1" x14ac:dyDescent="0.3">
      <c r="C171" s="150" t="s">
        <v>30</v>
      </c>
      <c r="D171" s="151"/>
      <c r="E171" s="151"/>
      <c r="F171" s="151"/>
      <c r="G171" s="151"/>
      <c r="H171" s="151"/>
      <c r="I171" s="151"/>
      <c r="J171" s="151"/>
      <c r="K171" s="151"/>
      <c r="L171" s="152"/>
      <c r="M171" s="33"/>
      <c r="N171" s="33"/>
      <c r="O171" s="32">
        <v>1876.35</v>
      </c>
      <c r="P171" s="2" t="s">
        <v>408</v>
      </c>
      <c r="Q171" s="33"/>
      <c r="R171" s="33"/>
      <c r="S171" s="33"/>
      <c r="T171" s="33"/>
      <c r="U171" s="33"/>
      <c r="V171" s="33"/>
    </row>
    <row r="172" spans="3:22" x14ac:dyDescent="0.25">
      <c r="C172" s="4" t="s">
        <v>16</v>
      </c>
      <c r="D172" s="5" t="s">
        <v>15</v>
      </c>
      <c r="E172" s="5" t="s">
        <v>14</v>
      </c>
      <c r="F172" s="5" t="s">
        <v>13</v>
      </c>
      <c r="G172" s="5" t="s">
        <v>12</v>
      </c>
      <c r="H172" s="5" t="s">
        <v>94</v>
      </c>
      <c r="I172" s="5" t="s">
        <v>95</v>
      </c>
      <c r="J172" s="5" t="s">
        <v>38</v>
      </c>
      <c r="K172" s="5" t="s">
        <v>9</v>
      </c>
      <c r="L172" s="5" t="s">
        <v>0</v>
      </c>
      <c r="M172" s="33"/>
      <c r="N172" s="33"/>
      <c r="O172" s="32"/>
      <c r="P172" s="33"/>
      <c r="Q172" s="33"/>
      <c r="R172" s="33"/>
      <c r="S172" s="33"/>
      <c r="T172" s="33"/>
      <c r="U172" s="33"/>
      <c r="V172" s="33"/>
    </row>
    <row r="173" spans="3:22" x14ac:dyDescent="0.25">
      <c r="C173" s="1" t="s">
        <v>49</v>
      </c>
      <c r="D173" s="39">
        <f>D111-D152</f>
        <v>0</v>
      </c>
      <c r="E173" s="39">
        <f t="shared" ref="E173:K173" si="53">E111-E152</f>
        <v>0</v>
      </c>
      <c r="F173" s="39">
        <f t="shared" si="53"/>
        <v>0</v>
      </c>
      <c r="G173" s="39">
        <f t="shared" si="53"/>
        <v>0</v>
      </c>
      <c r="H173" s="39">
        <f t="shared" si="53"/>
        <v>0</v>
      </c>
      <c r="I173" s="39">
        <f t="shared" si="53"/>
        <v>0</v>
      </c>
      <c r="J173" s="39">
        <f t="shared" si="53"/>
        <v>0</v>
      </c>
      <c r="K173" s="39">
        <f t="shared" si="53"/>
        <v>0</v>
      </c>
      <c r="L173" s="39">
        <f>SUM(D173:K173)</f>
        <v>0</v>
      </c>
      <c r="M173" s="33"/>
      <c r="N173" s="33"/>
      <c r="O173" s="32"/>
      <c r="P173" s="33"/>
      <c r="Q173" s="33"/>
      <c r="R173" s="33"/>
      <c r="S173" s="33"/>
      <c r="T173" s="33"/>
      <c r="U173" s="33"/>
      <c r="V173" s="33"/>
    </row>
    <row r="174" spans="3:22" x14ac:dyDescent="0.25">
      <c r="C174" s="1" t="s">
        <v>8</v>
      </c>
      <c r="D174" s="39">
        <f t="shared" ref="D174:K189" si="54">D112-D153</f>
        <v>0</v>
      </c>
      <c r="E174" s="39">
        <f t="shared" si="54"/>
        <v>0</v>
      </c>
      <c r="F174" s="39">
        <f t="shared" si="54"/>
        <v>0</v>
      </c>
      <c r="G174" s="39">
        <f t="shared" si="54"/>
        <v>0</v>
      </c>
      <c r="H174" s="39">
        <f t="shared" si="54"/>
        <v>0</v>
      </c>
      <c r="I174" s="39">
        <f t="shared" si="54"/>
        <v>0</v>
      </c>
      <c r="J174" s="39">
        <f t="shared" si="54"/>
        <v>0</v>
      </c>
      <c r="K174" s="39">
        <f t="shared" si="54"/>
        <v>0</v>
      </c>
      <c r="L174" s="39">
        <f t="shared" ref="L174:L189" si="55">SUM(D174:K174)</f>
        <v>0</v>
      </c>
      <c r="M174" s="33"/>
      <c r="N174" s="33"/>
      <c r="O174" s="32"/>
      <c r="P174" s="33"/>
      <c r="Q174" s="33"/>
      <c r="R174" s="33"/>
      <c r="S174" s="33"/>
      <c r="T174" s="33"/>
      <c r="U174" s="33"/>
      <c r="V174" s="33"/>
    </row>
    <row r="175" spans="3:22" x14ac:dyDescent="0.25">
      <c r="C175" s="1" t="s">
        <v>7</v>
      </c>
      <c r="D175" s="39">
        <f t="shared" si="54"/>
        <v>0</v>
      </c>
      <c r="E175" s="39">
        <f t="shared" si="54"/>
        <v>0</v>
      </c>
      <c r="F175" s="39">
        <f t="shared" si="54"/>
        <v>0</v>
      </c>
      <c r="G175" s="39">
        <f t="shared" si="54"/>
        <v>0</v>
      </c>
      <c r="H175" s="39">
        <f t="shared" si="54"/>
        <v>0</v>
      </c>
      <c r="I175" s="39">
        <f t="shared" si="54"/>
        <v>0</v>
      </c>
      <c r="J175" s="39">
        <f t="shared" si="54"/>
        <v>0</v>
      </c>
      <c r="K175" s="39">
        <f t="shared" si="54"/>
        <v>0</v>
      </c>
      <c r="L175" s="39">
        <f t="shared" si="55"/>
        <v>0</v>
      </c>
      <c r="M175" s="33"/>
      <c r="N175" s="33"/>
      <c r="O175" s="32"/>
      <c r="P175" s="33"/>
      <c r="Q175" s="33"/>
      <c r="R175" s="33"/>
      <c r="S175" s="33"/>
      <c r="T175" s="33"/>
      <c r="U175" s="33"/>
      <c r="V175" s="33"/>
    </row>
    <row r="176" spans="3:22" x14ac:dyDescent="0.25">
      <c r="C176" s="1" t="s">
        <v>42</v>
      </c>
      <c r="D176" s="39">
        <f t="shared" si="54"/>
        <v>0</v>
      </c>
      <c r="E176" s="39">
        <f t="shared" si="54"/>
        <v>0</v>
      </c>
      <c r="F176" s="39">
        <f t="shared" si="54"/>
        <v>0</v>
      </c>
      <c r="G176" s="39">
        <f t="shared" si="54"/>
        <v>0</v>
      </c>
      <c r="H176" s="39">
        <f t="shared" si="54"/>
        <v>0</v>
      </c>
      <c r="I176" s="39">
        <f t="shared" si="54"/>
        <v>0</v>
      </c>
      <c r="J176" s="39">
        <f t="shared" si="54"/>
        <v>0</v>
      </c>
      <c r="K176" s="39">
        <f t="shared" si="54"/>
        <v>0</v>
      </c>
      <c r="L176" s="39">
        <f t="shared" si="55"/>
        <v>0</v>
      </c>
      <c r="M176" s="33"/>
      <c r="N176" s="33"/>
      <c r="O176" s="32"/>
      <c r="P176" s="33"/>
      <c r="Q176" s="33"/>
      <c r="R176" s="33"/>
      <c r="S176" s="33"/>
      <c r="T176" s="33"/>
      <c r="U176" s="33"/>
      <c r="V176" s="33"/>
    </row>
    <row r="177" spans="3:22" x14ac:dyDescent="0.25">
      <c r="C177" s="1" t="s">
        <v>6</v>
      </c>
      <c r="D177" s="39">
        <f t="shared" si="54"/>
        <v>0</v>
      </c>
      <c r="E177" s="39">
        <f t="shared" si="54"/>
        <v>0</v>
      </c>
      <c r="F177" s="39">
        <f t="shared" si="54"/>
        <v>0</v>
      </c>
      <c r="G177" s="39">
        <f t="shared" si="54"/>
        <v>0</v>
      </c>
      <c r="H177" s="39">
        <f t="shared" si="54"/>
        <v>0</v>
      </c>
      <c r="I177" s="39">
        <f t="shared" si="54"/>
        <v>0</v>
      </c>
      <c r="J177" s="39">
        <f t="shared" si="54"/>
        <v>0</v>
      </c>
      <c r="K177" s="39">
        <f t="shared" si="54"/>
        <v>0</v>
      </c>
      <c r="L177" s="39">
        <f t="shared" si="55"/>
        <v>0</v>
      </c>
      <c r="M177" s="33"/>
      <c r="N177" s="33"/>
      <c r="O177" s="32"/>
      <c r="P177" s="33"/>
      <c r="Q177" s="33"/>
      <c r="R177" s="33"/>
      <c r="S177" s="33"/>
      <c r="T177" s="33"/>
      <c r="U177" s="33"/>
      <c r="V177" s="33"/>
    </row>
    <row r="178" spans="3:22" x14ac:dyDescent="0.25">
      <c r="C178" s="1" t="s">
        <v>50</v>
      </c>
      <c r="D178" s="39">
        <f t="shared" si="54"/>
        <v>0</v>
      </c>
      <c r="E178" s="39">
        <f t="shared" si="54"/>
        <v>0</v>
      </c>
      <c r="F178" s="39">
        <f t="shared" si="54"/>
        <v>0</v>
      </c>
      <c r="G178" s="39">
        <f t="shared" si="54"/>
        <v>0</v>
      </c>
      <c r="H178" s="39">
        <f t="shared" si="54"/>
        <v>0</v>
      </c>
      <c r="I178" s="39">
        <f t="shared" si="54"/>
        <v>0</v>
      </c>
      <c r="J178" s="39">
        <f t="shared" si="54"/>
        <v>0</v>
      </c>
      <c r="K178" s="39">
        <f t="shared" si="54"/>
        <v>0</v>
      </c>
      <c r="L178" s="39">
        <f t="shared" si="55"/>
        <v>0</v>
      </c>
      <c r="M178" s="33"/>
      <c r="N178" s="33"/>
      <c r="O178" s="32"/>
      <c r="P178" s="33"/>
      <c r="Q178" s="33"/>
      <c r="R178" s="33"/>
      <c r="S178" s="33"/>
      <c r="T178" s="33"/>
      <c r="U178" s="33"/>
      <c r="V178" s="33"/>
    </row>
    <row r="179" spans="3:22" x14ac:dyDescent="0.25">
      <c r="C179" s="1" t="s">
        <v>89</v>
      </c>
      <c r="D179" s="39">
        <f t="shared" si="54"/>
        <v>0</v>
      </c>
      <c r="E179" s="39">
        <f t="shared" si="54"/>
        <v>0</v>
      </c>
      <c r="F179" s="39">
        <f t="shared" si="54"/>
        <v>0</v>
      </c>
      <c r="G179" s="39">
        <f t="shared" si="54"/>
        <v>0</v>
      </c>
      <c r="H179" s="39">
        <f t="shared" si="54"/>
        <v>0</v>
      </c>
      <c r="I179" s="39">
        <f t="shared" si="54"/>
        <v>0</v>
      </c>
      <c r="J179" s="39">
        <f t="shared" si="54"/>
        <v>0</v>
      </c>
      <c r="K179" s="39">
        <f t="shared" si="54"/>
        <v>0</v>
      </c>
      <c r="L179" s="39">
        <f t="shared" si="55"/>
        <v>0</v>
      </c>
      <c r="M179" s="33"/>
      <c r="N179" s="33"/>
      <c r="O179" s="32"/>
      <c r="P179" s="33"/>
      <c r="Q179" s="33"/>
      <c r="R179" s="33"/>
      <c r="S179" s="33"/>
      <c r="T179" s="33"/>
      <c r="U179" s="33"/>
      <c r="V179" s="33"/>
    </row>
    <row r="180" spans="3:22" x14ac:dyDescent="0.25">
      <c r="C180" s="1" t="s">
        <v>5</v>
      </c>
      <c r="D180" s="39">
        <f t="shared" si="54"/>
        <v>0</v>
      </c>
      <c r="E180" s="39">
        <f t="shared" si="54"/>
        <v>0</v>
      </c>
      <c r="F180" s="39">
        <f t="shared" si="54"/>
        <v>0</v>
      </c>
      <c r="G180" s="39">
        <f t="shared" si="54"/>
        <v>0</v>
      </c>
      <c r="H180" s="39">
        <f t="shared" si="54"/>
        <v>0</v>
      </c>
      <c r="I180" s="39">
        <f t="shared" si="54"/>
        <v>0</v>
      </c>
      <c r="J180" s="39">
        <f t="shared" si="54"/>
        <v>0</v>
      </c>
      <c r="K180" s="39">
        <f t="shared" si="54"/>
        <v>0</v>
      </c>
      <c r="L180" s="39">
        <f t="shared" si="55"/>
        <v>0</v>
      </c>
      <c r="M180" s="33"/>
      <c r="N180" s="33"/>
      <c r="O180" s="32"/>
      <c r="P180" s="33"/>
      <c r="Q180" s="33"/>
      <c r="R180" s="33"/>
      <c r="S180" s="33"/>
      <c r="T180" s="33"/>
      <c r="U180" s="33"/>
      <c r="V180" s="33"/>
    </row>
    <row r="181" spans="3:22" x14ac:dyDescent="0.25">
      <c r="C181" s="1" t="s">
        <v>84</v>
      </c>
      <c r="D181" s="39">
        <f t="shared" si="54"/>
        <v>0</v>
      </c>
      <c r="E181" s="39">
        <f t="shared" si="54"/>
        <v>0</v>
      </c>
      <c r="F181" s="39">
        <f t="shared" si="54"/>
        <v>0</v>
      </c>
      <c r="G181" s="39">
        <f t="shared" si="54"/>
        <v>0</v>
      </c>
      <c r="H181" s="39">
        <f t="shared" si="54"/>
        <v>0</v>
      </c>
      <c r="I181" s="39">
        <f t="shared" si="54"/>
        <v>0</v>
      </c>
      <c r="J181" s="39">
        <f t="shared" si="54"/>
        <v>0</v>
      </c>
      <c r="K181" s="39">
        <f t="shared" si="54"/>
        <v>0</v>
      </c>
      <c r="L181" s="39">
        <f t="shared" si="55"/>
        <v>0</v>
      </c>
      <c r="M181" s="33"/>
      <c r="N181" s="33"/>
      <c r="O181" s="32"/>
      <c r="P181" s="33"/>
      <c r="Q181" s="33"/>
      <c r="R181" s="33"/>
      <c r="S181" s="33"/>
      <c r="T181" s="33"/>
      <c r="U181" s="33"/>
      <c r="V181" s="33"/>
    </row>
    <row r="182" spans="3:22" x14ac:dyDescent="0.25">
      <c r="C182" s="1" t="s">
        <v>4</v>
      </c>
      <c r="D182" s="39">
        <f t="shared" si="54"/>
        <v>0</v>
      </c>
      <c r="E182" s="39">
        <f t="shared" si="54"/>
        <v>0</v>
      </c>
      <c r="F182" s="39">
        <f t="shared" si="54"/>
        <v>0</v>
      </c>
      <c r="G182" s="39">
        <f t="shared" si="54"/>
        <v>0</v>
      </c>
      <c r="H182" s="39">
        <f t="shared" si="54"/>
        <v>0</v>
      </c>
      <c r="I182" s="39">
        <f t="shared" si="54"/>
        <v>0</v>
      </c>
      <c r="J182" s="39">
        <f t="shared" si="54"/>
        <v>0</v>
      </c>
      <c r="K182" s="39">
        <f t="shared" si="54"/>
        <v>0</v>
      </c>
      <c r="L182" s="39">
        <f t="shared" si="55"/>
        <v>0</v>
      </c>
      <c r="M182" s="33"/>
      <c r="N182" s="33"/>
      <c r="O182" s="32"/>
      <c r="P182" s="33"/>
      <c r="Q182" s="33"/>
      <c r="R182" s="33"/>
      <c r="S182" s="33"/>
      <c r="T182" s="33"/>
      <c r="U182" s="33"/>
      <c r="V182" s="33"/>
    </row>
    <row r="183" spans="3:22" x14ac:dyDescent="0.25">
      <c r="C183" s="1" t="s">
        <v>51</v>
      </c>
      <c r="D183" s="39">
        <f t="shared" si="54"/>
        <v>0</v>
      </c>
      <c r="E183" s="39">
        <f t="shared" si="54"/>
        <v>0</v>
      </c>
      <c r="F183" s="39">
        <f t="shared" si="54"/>
        <v>0</v>
      </c>
      <c r="G183" s="39">
        <f t="shared" si="54"/>
        <v>0</v>
      </c>
      <c r="H183" s="39">
        <f t="shared" si="54"/>
        <v>0</v>
      </c>
      <c r="I183" s="39">
        <f t="shared" si="54"/>
        <v>0</v>
      </c>
      <c r="J183" s="39">
        <f t="shared" si="54"/>
        <v>0</v>
      </c>
      <c r="K183" s="39">
        <f t="shared" si="54"/>
        <v>0</v>
      </c>
      <c r="L183" s="39">
        <f t="shared" si="55"/>
        <v>0</v>
      </c>
      <c r="M183" s="33"/>
      <c r="N183" s="33"/>
      <c r="O183" s="32"/>
      <c r="P183" s="33"/>
      <c r="Q183" s="33"/>
      <c r="R183" s="33"/>
      <c r="S183" s="33"/>
      <c r="T183" s="33"/>
      <c r="U183" s="33"/>
      <c r="V183" s="33"/>
    </row>
    <row r="184" spans="3:22" x14ac:dyDescent="0.25">
      <c r="C184" s="1" t="s">
        <v>85</v>
      </c>
      <c r="D184" s="39">
        <f t="shared" si="54"/>
        <v>0</v>
      </c>
      <c r="E184" s="39">
        <f t="shared" si="54"/>
        <v>0</v>
      </c>
      <c r="F184" s="39">
        <f t="shared" si="54"/>
        <v>0</v>
      </c>
      <c r="G184" s="39">
        <f t="shared" si="54"/>
        <v>0</v>
      </c>
      <c r="H184" s="39">
        <f t="shared" si="54"/>
        <v>0</v>
      </c>
      <c r="I184" s="39">
        <f t="shared" si="54"/>
        <v>0</v>
      </c>
      <c r="J184" s="39">
        <f t="shared" si="54"/>
        <v>0</v>
      </c>
      <c r="K184" s="39">
        <f t="shared" si="54"/>
        <v>0</v>
      </c>
      <c r="L184" s="39">
        <f t="shared" si="55"/>
        <v>0</v>
      </c>
      <c r="M184" s="33"/>
      <c r="N184" s="33"/>
      <c r="O184" s="32"/>
      <c r="P184" s="33"/>
      <c r="Q184" s="33"/>
      <c r="R184" s="33"/>
      <c r="S184" s="33"/>
      <c r="T184" s="33"/>
      <c r="U184" s="33"/>
      <c r="V184" s="33"/>
    </row>
    <row r="185" spans="3:22" x14ac:dyDescent="0.25">
      <c r="C185" s="1" t="s">
        <v>2</v>
      </c>
      <c r="D185" s="39">
        <f t="shared" si="54"/>
        <v>-13808.970000000001</v>
      </c>
      <c r="E185" s="39">
        <f t="shared" si="54"/>
        <v>0</v>
      </c>
      <c r="F185" s="39">
        <f t="shared" si="54"/>
        <v>0</v>
      </c>
      <c r="G185" s="39">
        <f t="shared" si="54"/>
        <v>0</v>
      </c>
      <c r="H185" s="39">
        <f t="shared" si="54"/>
        <v>0</v>
      </c>
      <c r="I185" s="39">
        <f t="shared" si="54"/>
        <v>0</v>
      </c>
      <c r="J185" s="39">
        <f t="shared" si="54"/>
        <v>0</v>
      </c>
      <c r="K185" s="39">
        <f t="shared" si="54"/>
        <v>0</v>
      </c>
      <c r="L185" s="39">
        <f t="shared" si="55"/>
        <v>-13808.970000000001</v>
      </c>
      <c r="M185" s="33"/>
      <c r="N185" s="33"/>
      <c r="O185" s="32"/>
      <c r="P185" s="33"/>
      <c r="Q185" s="33"/>
      <c r="R185" s="33"/>
      <c r="S185" s="33"/>
      <c r="T185" s="33"/>
      <c r="U185" s="33"/>
      <c r="V185" s="33"/>
    </row>
    <row r="186" spans="3:22" x14ac:dyDescent="0.25">
      <c r="C186" s="1" t="s">
        <v>86</v>
      </c>
      <c r="D186" s="39">
        <f t="shared" si="54"/>
        <v>0</v>
      </c>
      <c r="E186" s="39">
        <f t="shared" si="54"/>
        <v>0</v>
      </c>
      <c r="F186" s="39">
        <f t="shared" si="54"/>
        <v>0</v>
      </c>
      <c r="G186" s="39">
        <f t="shared" si="54"/>
        <v>0</v>
      </c>
      <c r="H186" s="39">
        <f t="shared" si="54"/>
        <v>0</v>
      </c>
      <c r="I186" s="39">
        <f t="shared" si="54"/>
        <v>0</v>
      </c>
      <c r="J186" s="39">
        <f t="shared" si="54"/>
        <v>0</v>
      </c>
      <c r="K186" s="39">
        <f t="shared" si="54"/>
        <v>0</v>
      </c>
      <c r="L186" s="39">
        <f t="shared" si="55"/>
        <v>0</v>
      </c>
      <c r="M186" s="33"/>
      <c r="N186" s="33"/>
      <c r="O186" s="32"/>
      <c r="P186" s="33"/>
      <c r="Q186" s="33"/>
      <c r="R186" s="33"/>
      <c r="S186" s="33"/>
      <c r="T186" s="33"/>
      <c r="U186" s="33"/>
      <c r="V186" s="33"/>
    </row>
    <row r="187" spans="3:22" x14ac:dyDescent="0.25">
      <c r="C187" s="1" t="s">
        <v>29</v>
      </c>
      <c r="D187" s="39">
        <f t="shared" si="54"/>
        <v>0</v>
      </c>
      <c r="E187" s="39">
        <f t="shared" si="54"/>
        <v>0</v>
      </c>
      <c r="F187" s="39">
        <f t="shared" si="54"/>
        <v>0</v>
      </c>
      <c r="G187" s="39">
        <f t="shared" si="54"/>
        <v>0</v>
      </c>
      <c r="H187" s="39">
        <f t="shared" si="54"/>
        <v>0</v>
      </c>
      <c r="I187" s="39">
        <f t="shared" si="54"/>
        <v>0</v>
      </c>
      <c r="J187" s="39">
        <f t="shared" si="54"/>
        <v>0</v>
      </c>
      <c r="K187" s="39">
        <f t="shared" si="54"/>
        <v>0</v>
      </c>
      <c r="L187" s="39">
        <f t="shared" si="55"/>
        <v>0</v>
      </c>
      <c r="M187" s="33"/>
      <c r="N187" s="33"/>
      <c r="O187" s="32"/>
      <c r="P187" s="33"/>
      <c r="Q187" s="33"/>
      <c r="R187" s="33"/>
      <c r="S187" s="33"/>
      <c r="T187" s="33"/>
      <c r="U187" s="33"/>
      <c r="V187" s="33"/>
    </row>
    <row r="188" spans="3:22" x14ac:dyDescent="0.25">
      <c r="C188" s="1" t="s">
        <v>52</v>
      </c>
      <c r="D188" s="39">
        <f t="shared" si="54"/>
        <v>0</v>
      </c>
      <c r="E188" s="39">
        <f t="shared" si="54"/>
        <v>0</v>
      </c>
      <c r="F188" s="39">
        <f t="shared" si="54"/>
        <v>0</v>
      </c>
      <c r="G188" s="39">
        <f t="shared" si="54"/>
        <v>0</v>
      </c>
      <c r="H188" s="39">
        <f t="shared" si="54"/>
        <v>0</v>
      </c>
      <c r="I188" s="39">
        <f t="shared" si="54"/>
        <v>0</v>
      </c>
      <c r="J188" s="39">
        <f t="shared" si="54"/>
        <v>0</v>
      </c>
      <c r="K188" s="39">
        <f t="shared" si="54"/>
        <v>0</v>
      </c>
      <c r="L188" s="39">
        <f t="shared" si="55"/>
        <v>0</v>
      </c>
      <c r="M188" s="33"/>
      <c r="N188" s="33"/>
      <c r="O188" s="32"/>
      <c r="P188" s="33"/>
      <c r="Q188" s="33"/>
      <c r="R188" s="33"/>
      <c r="S188" s="33"/>
      <c r="T188" s="33"/>
      <c r="U188" s="33"/>
      <c r="V188" s="33"/>
    </row>
    <row r="189" spans="3:22" x14ac:dyDescent="0.25">
      <c r="C189" s="1" t="s">
        <v>1</v>
      </c>
      <c r="D189" s="40">
        <f t="shared" si="54"/>
        <v>0</v>
      </c>
      <c r="E189" s="40">
        <f t="shared" si="54"/>
        <v>0</v>
      </c>
      <c r="F189" s="40">
        <f t="shared" si="54"/>
        <v>0</v>
      </c>
      <c r="G189" s="40">
        <f t="shared" si="54"/>
        <v>0</v>
      </c>
      <c r="H189" s="40">
        <f t="shared" si="54"/>
        <v>0</v>
      </c>
      <c r="I189" s="40">
        <f t="shared" si="54"/>
        <v>0</v>
      </c>
      <c r="J189" s="40">
        <f t="shared" si="54"/>
        <v>0</v>
      </c>
      <c r="K189" s="40">
        <f t="shared" si="54"/>
        <v>0</v>
      </c>
      <c r="L189" s="40">
        <f t="shared" si="55"/>
        <v>0</v>
      </c>
      <c r="M189" s="33"/>
      <c r="N189" s="33"/>
      <c r="O189" s="32"/>
      <c r="P189" s="33"/>
      <c r="Q189" s="33"/>
      <c r="R189" s="33"/>
      <c r="S189" s="33"/>
      <c r="T189" s="33"/>
      <c r="U189" s="33"/>
      <c r="V189" s="33"/>
    </row>
    <row r="190" spans="3:22" x14ac:dyDescent="0.25">
      <c r="C190" s="4"/>
      <c r="D190" s="39">
        <f>SUM(D173:D189)</f>
        <v>-13808.970000000001</v>
      </c>
      <c r="E190" s="39">
        <f t="shared" ref="E190:L190" si="56">SUM(E173:E189)</f>
        <v>0</v>
      </c>
      <c r="F190" s="39">
        <f t="shared" si="56"/>
        <v>0</v>
      </c>
      <c r="G190" s="39">
        <f t="shared" si="56"/>
        <v>0</v>
      </c>
      <c r="H190" s="39">
        <f t="shared" si="56"/>
        <v>0</v>
      </c>
      <c r="I190" s="39">
        <f t="shared" si="56"/>
        <v>0</v>
      </c>
      <c r="J190" s="39">
        <f t="shared" si="56"/>
        <v>0</v>
      </c>
      <c r="K190" s="39">
        <f t="shared" si="56"/>
        <v>0</v>
      </c>
      <c r="L190" s="39">
        <f t="shared" si="56"/>
        <v>-13808.970000000001</v>
      </c>
      <c r="M190" s="33"/>
      <c r="N190" s="33"/>
      <c r="O190" s="32"/>
      <c r="P190" s="33"/>
      <c r="Q190" s="33"/>
      <c r="R190" s="33"/>
      <c r="S190" s="33"/>
      <c r="T190" s="33"/>
      <c r="U190" s="33"/>
      <c r="V190" s="33"/>
    </row>
    <row r="191" spans="3:22" x14ac:dyDescent="0.25">
      <c r="C191" s="4"/>
      <c r="D191" s="39"/>
      <c r="E191" s="39"/>
      <c r="F191" s="39"/>
      <c r="G191" s="39"/>
      <c r="H191" s="39"/>
      <c r="I191" s="39"/>
      <c r="J191" s="39"/>
      <c r="K191" s="39"/>
      <c r="L191" s="39"/>
      <c r="M191" s="33"/>
      <c r="N191" s="33"/>
      <c r="O191" s="32"/>
      <c r="P191" s="33"/>
      <c r="Q191" s="33"/>
      <c r="R191" s="33"/>
      <c r="S191" s="33"/>
      <c r="T191" s="33"/>
      <c r="U191" s="33"/>
      <c r="V191" s="33"/>
    </row>
    <row r="192" spans="3:22" x14ac:dyDescent="0.25">
      <c r="C192" s="4"/>
      <c r="D192" s="39"/>
      <c r="E192" s="39"/>
      <c r="F192" s="39"/>
      <c r="G192" s="39"/>
      <c r="H192" s="39"/>
      <c r="I192" s="39"/>
      <c r="J192" s="39"/>
      <c r="K192" s="39"/>
      <c r="L192" s="39"/>
      <c r="M192" s="33"/>
      <c r="N192" s="33"/>
      <c r="O192" s="32"/>
      <c r="P192" s="33"/>
      <c r="Q192" s="33"/>
      <c r="R192" s="33"/>
      <c r="S192" s="33"/>
      <c r="T192" s="33"/>
      <c r="U192" s="33"/>
      <c r="V192" s="33"/>
    </row>
    <row r="193" spans="3:22" x14ac:dyDescent="0.25">
      <c r="C193" s="4"/>
      <c r="D193" s="39"/>
      <c r="E193" s="39"/>
      <c r="F193" s="39"/>
      <c r="G193" s="39"/>
      <c r="H193" s="39"/>
      <c r="I193" s="39"/>
      <c r="J193" s="39"/>
      <c r="K193" s="39"/>
      <c r="L193" s="39"/>
      <c r="M193" s="33"/>
      <c r="N193" s="33"/>
      <c r="O193" s="32"/>
      <c r="P193" s="33"/>
      <c r="Q193" s="33"/>
      <c r="R193" s="33"/>
      <c r="S193" s="33"/>
      <c r="T193" s="33"/>
      <c r="U193" s="33"/>
      <c r="V193" s="33"/>
    </row>
    <row r="194" spans="3:22" x14ac:dyDescent="0.25">
      <c r="C194" s="4"/>
      <c r="D194" s="39"/>
      <c r="E194" s="39"/>
      <c r="F194" s="39"/>
      <c r="G194" s="39"/>
      <c r="H194" s="39"/>
      <c r="I194" s="39"/>
      <c r="J194" s="39"/>
      <c r="K194" s="39"/>
      <c r="L194" s="39"/>
      <c r="M194" s="33"/>
      <c r="N194" s="33"/>
      <c r="O194" s="32"/>
      <c r="P194" s="33"/>
      <c r="Q194" s="33"/>
      <c r="R194" s="33"/>
      <c r="S194" s="33"/>
      <c r="T194" s="33"/>
      <c r="U194" s="33"/>
      <c r="V194" s="33"/>
    </row>
    <row r="195" spans="3:22" x14ac:dyDescent="0.25">
      <c r="C195" s="4"/>
      <c r="D195" s="39"/>
      <c r="E195" s="39"/>
      <c r="F195" s="39"/>
      <c r="G195" s="39"/>
      <c r="H195" s="39"/>
      <c r="I195" s="39"/>
      <c r="J195" s="39"/>
      <c r="K195" s="39"/>
      <c r="L195" s="39"/>
      <c r="M195" s="33"/>
      <c r="N195" s="33"/>
      <c r="O195" s="32"/>
      <c r="P195" s="33"/>
      <c r="Q195" s="33"/>
      <c r="R195" s="33"/>
      <c r="S195" s="33"/>
      <c r="T195" s="33"/>
      <c r="U195" s="33"/>
      <c r="V195" s="33"/>
    </row>
    <row r="196" spans="3:22" x14ac:dyDescent="0.25">
      <c r="C196" s="4"/>
      <c r="D196" s="39"/>
      <c r="E196" s="39"/>
      <c r="F196" s="39"/>
      <c r="G196" s="39"/>
      <c r="H196" s="39"/>
      <c r="I196" s="39"/>
      <c r="J196" s="39"/>
      <c r="K196" s="39"/>
      <c r="L196" s="39"/>
      <c r="M196" s="33"/>
      <c r="N196" s="33"/>
      <c r="O196" s="32"/>
      <c r="P196" s="33"/>
      <c r="Q196" s="33"/>
      <c r="R196" s="33"/>
      <c r="S196" s="33"/>
      <c r="T196" s="33"/>
      <c r="U196" s="33"/>
      <c r="V196" s="33"/>
    </row>
    <row r="197" spans="3:22" x14ac:dyDescent="0.25">
      <c r="C197" s="4"/>
      <c r="D197" s="39"/>
      <c r="E197" s="39"/>
      <c r="F197" s="39"/>
      <c r="G197" s="39"/>
      <c r="H197" s="39"/>
      <c r="I197" s="39"/>
      <c r="J197" s="39"/>
      <c r="K197" s="39"/>
      <c r="L197" s="39"/>
      <c r="M197" s="33"/>
      <c r="N197" s="33"/>
      <c r="O197" s="32"/>
      <c r="P197" s="33"/>
      <c r="Q197" s="33"/>
      <c r="R197" s="33"/>
      <c r="S197" s="33"/>
      <c r="T197" s="33"/>
      <c r="U197" s="33"/>
      <c r="V197" s="33"/>
    </row>
    <row r="198" spans="3:22" x14ac:dyDescent="0.25">
      <c r="C198" s="1"/>
      <c r="D198" s="9"/>
      <c r="E198" s="9"/>
      <c r="F198" s="9"/>
      <c r="G198" s="9"/>
      <c r="H198" s="9"/>
      <c r="I198" s="9"/>
      <c r="J198" s="9"/>
      <c r="K198" s="9"/>
      <c r="L198" s="9"/>
      <c r="O198" s="9"/>
    </row>
    <row r="199" spans="3:22" x14ac:dyDescent="0.25">
      <c r="C199" s="1"/>
      <c r="D199" s="9"/>
      <c r="E199" s="9"/>
      <c r="F199" s="9"/>
      <c r="G199" s="9"/>
      <c r="H199" s="9"/>
      <c r="I199" s="9"/>
      <c r="J199" s="9"/>
      <c r="K199" s="9"/>
      <c r="L199" s="9"/>
      <c r="O199" s="9"/>
    </row>
  </sheetData>
  <mergeCells count="18">
    <mergeCell ref="C26:L26"/>
    <mergeCell ref="C47:L47"/>
    <mergeCell ref="C150:L150"/>
    <mergeCell ref="O165:O166"/>
    <mergeCell ref="O167:O168"/>
    <mergeCell ref="C171:L171"/>
    <mergeCell ref="C68:L68"/>
    <mergeCell ref="C88:L88"/>
    <mergeCell ref="O103:O104"/>
    <mergeCell ref="O105:O106"/>
    <mergeCell ref="C109:L109"/>
    <mergeCell ref="C130:L130"/>
    <mergeCell ref="C1:O1"/>
    <mergeCell ref="C2:O2"/>
    <mergeCell ref="C3:O3"/>
    <mergeCell ref="C4:O4"/>
    <mergeCell ref="C5:L5"/>
    <mergeCell ref="N5:O5"/>
  </mergeCells>
  <pageMargins left="0.7" right="0.7" top="0.75" bottom="0.75" header="0.3" footer="0.3"/>
  <pageSetup scale="3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Q158"/>
  <sheetViews>
    <sheetView workbookViewId="0">
      <selection sqref="A1:M1"/>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62" t="s">
        <v>17</v>
      </c>
      <c r="B1" s="162"/>
      <c r="C1" s="162"/>
      <c r="D1" s="162"/>
      <c r="E1" s="162"/>
      <c r="F1" s="162"/>
      <c r="G1" s="162"/>
      <c r="H1" s="162"/>
      <c r="I1" s="162"/>
      <c r="J1" s="162"/>
      <c r="K1" s="162"/>
      <c r="L1" s="162"/>
      <c r="M1" s="162"/>
      <c r="O1" s="31"/>
    </row>
    <row r="2" spans="1:15" ht="15.75" x14ac:dyDescent="0.25">
      <c r="A2" s="163" t="s">
        <v>225</v>
      </c>
      <c r="B2" s="163"/>
      <c r="C2" s="163"/>
      <c r="D2" s="163"/>
      <c r="E2" s="163"/>
      <c r="F2" s="163"/>
      <c r="G2" s="163"/>
      <c r="H2" s="163"/>
      <c r="I2" s="163"/>
      <c r="J2" s="163"/>
      <c r="K2" s="163"/>
      <c r="L2" s="163"/>
      <c r="M2" s="163"/>
      <c r="O2" s="31"/>
    </row>
    <row r="3" spans="1:15" x14ac:dyDescent="0.25">
      <c r="A3" s="164" t="s">
        <v>31</v>
      </c>
      <c r="B3" s="164"/>
      <c r="C3" s="164"/>
      <c r="D3" s="164"/>
      <c r="E3" s="164"/>
      <c r="F3" s="164"/>
      <c r="G3" s="164"/>
      <c r="H3" s="164"/>
      <c r="I3" s="164"/>
      <c r="J3" s="164"/>
      <c r="K3" s="164"/>
      <c r="L3" s="164"/>
      <c r="M3" s="164"/>
    </row>
    <row r="4" spans="1:15" x14ac:dyDescent="0.25">
      <c r="A4" s="167">
        <f>'Company Summary'!A4:J4</f>
        <v>45199</v>
      </c>
      <c r="B4" s="167"/>
      <c r="C4" s="167"/>
      <c r="D4" s="167"/>
      <c r="E4" s="167"/>
      <c r="F4" s="167"/>
      <c r="G4" s="167"/>
      <c r="H4" s="167"/>
      <c r="I4" s="167"/>
      <c r="J4" s="167"/>
      <c r="K4" s="167"/>
      <c r="L4" s="167"/>
      <c r="M4" s="167"/>
    </row>
    <row r="5" spans="1:15" ht="15.75" thickBot="1" x14ac:dyDescent="0.3">
      <c r="A5" s="80"/>
      <c r="B5" s="80"/>
      <c r="C5" s="80"/>
      <c r="D5" s="80"/>
      <c r="E5" s="80"/>
      <c r="F5" s="80"/>
      <c r="G5" s="80"/>
      <c r="H5" s="80"/>
      <c r="I5" s="80"/>
      <c r="J5" s="80"/>
      <c r="K5" s="80"/>
      <c r="L5" s="80"/>
      <c r="M5" s="80"/>
    </row>
    <row r="6" spans="1:15" ht="15.75" thickBot="1" x14ac:dyDescent="0.3">
      <c r="A6" s="150" t="s">
        <v>54</v>
      </c>
      <c r="B6" s="151"/>
      <c r="C6" s="151"/>
      <c r="D6" s="151"/>
      <c r="E6" s="151"/>
      <c r="F6" s="151"/>
      <c r="G6" s="151"/>
      <c r="H6" s="151"/>
      <c r="I6" s="151"/>
      <c r="J6" s="152"/>
      <c r="L6" s="166"/>
      <c r="M6" s="166"/>
    </row>
    <row r="7" spans="1:15" x14ac:dyDescent="0.25">
      <c r="A7" s="4" t="s">
        <v>16</v>
      </c>
      <c r="B7" s="5" t="s">
        <v>15</v>
      </c>
      <c r="C7" s="5" t="s">
        <v>14</v>
      </c>
      <c r="D7" s="5" t="s">
        <v>13</v>
      </c>
      <c r="E7" s="5" t="s">
        <v>12</v>
      </c>
      <c r="F7" s="5" t="s">
        <v>94</v>
      </c>
      <c r="G7" s="5" t="s">
        <v>95</v>
      </c>
      <c r="H7" s="5" t="s">
        <v>38</v>
      </c>
      <c r="I7" s="5" t="s">
        <v>9</v>
      </c>
      <c r="J7" s="5" t="s">
        <v>0</v>
      </c>
      <c r="L7" s="4"/>
      <c r="M7" s="4"/>
    </row>
    <row r="8" spans="1:15" x14ac:dyDescent="0.25">
      <c r="A8" s="1" t="s">
        <v>49</v>
      </c>
      <c r="B8" s="33">
        <f>'Agile AR Aging &lt;-INPUT'!C75</f>
        <v>0</v>
      </c>
      <c r="C8" s="33">
        <f>'Agile AR Aging &lt;-INPUT'!D75</f>
        <v>0</v>
      </c>
      <c r="D8" s="33">
        <f>'Agile AR Aging &lt;-INPUT'!E75</f>
        <v>0</v>
      </c>
      <c r="E8" s="33">
        <f>'Agile AR Aging &lt;-INPUT'!F75</f>
        <v>0</v>
      </c>
      <c r="F8" s="33">
        <f>'Agile AR Aging &lt;-INPUT'!G75</f>
        <v>0</v>
      </c>
      <c r="G8" s="33">
        <f>'Agile AR Aging &lt;-INPUT'!H75</f>
        <v>0</v>
      </c>
      <c r="H8" s="33">
        <f>'Agile AR Aging &lt;-INPUT'!I75</f>
        <v>0</v>
      </c>
      <c r="I8" s="33">
        <f>'Agile AR Aging &lt;-INPUT'!J75</f>
        <v>0</v>
      </c>
      <c r="J8" s="2">
        <f t="shared" ref="J8:J24" si="0">SUM(B8:H8)</f>
        <v>0</v>
      </c>
      <c r="L8" s="67"/>
    </row>
    <row r="9" spans="1:15" x14ac:dyDescent="0.25">
      <c r="A9" s="1" t="s">
        <v>8</v>
      </c>
      <c r="B9" s="33">
        <f>'Agile AR Aging &lt;-INPUT'!C76</f>
        <v>0</v>
      </c>
      <c r="C9" s="33">
        <f>'Agile AR Aging &lt;-INPUT'!D76</f>
        <v>0</v>
      </c>
      <c r="D9" s="33">
        <f>'Agile AR Aging &lt;-INPUT'!E76</f>
        <v>0</v>
      </c>
      <c r="E9" s="33">
        <f>'Agile AR Aging &lt;-INPUT'!F76</f>
        <v>0</v>
      </c>
      <c r="F9" s="33">
        <f>'Agile AR Aging &lt;-INPUT'!G76</f>
        <v>0</v>
      </c>
      <c r="G9" s="33">
        <f>'Agile AR Aging &lt;-INPUT'!H76</f>
        <v>0</v>
      </c>
      <c r="H9" s="33">
        <f>'Agile AR Aging &lt;-INPUT'!I76</f>
        <v>0</v>
      </c>
      <c r="I9" s="33">
        <f>'Agile AR Aging &lt;-INPUT'!J76</f>
        <v>0</v>
      </c>
      <c r="J9" s="2">
        <f t="shared" si="0"/>
        <v>0</v>
      </c>
      <c r="L9" s="67"/>
      <c r="N9" s="68"/>
    </row>
    <row r="10" spans="1:15" x14ac:dyDescent="0.25">
      <c r="A10" s="1" t="s">
        <v>7</v>
      </c>
      <c r="B10" s="33">
        <f>'Agile AR Aging &lt;-INPUT'!C77</f>
        <v>0</v>
      </c>
      <c r="C10" s="33">
        <f>'Agile AR Aging &lt;-INPUT'!D77</f>
        <v>0</v>
      </c>
      <c r="D10" s="33">
        <f>'Agile AR Aging &lt;-INPUT'!E77</f>
        <v>0</v>
      </c>
      <c r="E10" s="33">
        <f>'Agile AR Aging &lt;-INPUT'!F77</f>
        <v>0</v>
      </c>
      <c r="F10" s="33">
        <f>'Agile AR Aging &lt;-INPUT'!G77</f>
        <v>0</v>
      </c>
      <c r="G10" s="33">
        <f>'Agile AR Aging &lt;-INPUT'!H77</f>
        <v>0</v>
      </c>
      <c r="H10" s="33">
        <f>'Agile AR Aging &lt;-INPUT'!I77</f>
        <v>0</v>
      </c>
      <c r="I10" s="33">
        <f>'Agile AR Aging &lt;-INPUT'!J77</f>
        <v>0</v>
      </c>
      <c r="J10" s="2">
        <f t="shared" si="0"/>
        <v>0</v>
      </c>
      <c r="L10" s="67"/>
      <c r="N10" s="68"/>
    </row>
    <row r="11" spans="1:15" x14ac:dyDescent="0.25">
      <c r="A11" s="1" t="s">
        <v>42</v>
      </c>
      <c r="B11" s="33">
        <f>'Agile AR Aging &lt;-INPUT'!C78</f>
        <v>0</v>
      </c>
      <c r="C11" s="33">
        <f>'Agile AR Aging &lt;-INPUT'!D78</f>
        <v>0</v>
      </c>
      <c r="D11" s="33">
        <f>'Agile AR Aging &lt;-INPUT'!E78</f>
        <v>0</v>
      </c>
      <c r="E11" s="33">
        <f>'Agile AR Aging &lt;-INPUT'!F78</f>
        <v>0</v>
      </c>
      <c r="F11" s="33">
        <f>'Agile AR Aging &lt;-INPUT'!G78</f>
        <v>0</v>
      </c>
      <c r="G11" s="33">
        <f>'Agile AR Aging &lt;-INPUT'!H78</f>
        <v>0</v>
      </c>
      <c r="H11" s="33">
        <f>'Agile AR Aging &lt;-INPUT'!I78</f>
        <v>0</v>
      </c>
      <c r="I11" s="33">
        <f>'Agile AR Aging &lt;-INPUT'!J78</f>
        <v>0</v>
      </c>
      <c r="J11" s="2">
        <f t="shared" si="0"/>
        <v>0</v>
      </c>
      <c r="L11" s="67"/>
      <c r="N11" s="68"/>
    </row>
    <row r="12" spans="1:15" x14ac:dyDescent="0.25">
      <c r="A12" s="1" t="s">
        <v>6</v>
      </c>
      <c r="B12" s="33">
        <f>'Agile AR Aging &lt;-INPUT'!C79+'Agile AR Aging &lt;-INPUT'!C80+'Agile AR Aging &lt;-INPUT'!C87+'Agile AR Aging &lt;-INPUT'!C93</f>
        <v>0</v>
      </c>
      <c r="C12" s="33">
        <f>'Agile AR Aging &lt;-INPUT'!D79+'Agile AR Aging &lt;-INPUT'!D80+'Agile AR Aging &lt;-INPUT'!D87+'Agile AR Aging &lt;-INPUT'!D93</f>
        <v>0</v>
      </c>
      <c r="D12" s="33">
        <f>'Agile AR Aging &lt;-INPUT'!E79+'Agile AR Aging &lt;-INPUT'!E80+'Agile AR Aging &lt;-INPUT'!E87+'Agile AR Aging &lt;-INPUT'!E93</f>
        <v>0</v>
      </c>
      <c r="E12" s="33">
        <f>'Agile AR Aging &lt;-INPUT'!F79+'Agile AR Aging &lt;-INPUT'!F80+'Agile AR Aging &lt;-INPUT'!F87+'Agile AR Aging &lt;-INPUT'!F93</f>
        <v>0</v>
      </c>
      <c r="F12" s="33">
        <f>'Agile AR Aging &lt;-INPUT'!G79+'Agile AR Aging &lt;-INPUT'!G80+'Agile AR Aging &lt;-INPUT'!G87+'Agile AR Aging &lt;-INPUT'!G93</f>
        <v>0</v>
      </c>
      <c r="G12" s="33">
        <f>'Agile AR Aging &lt;-INPUT'!H79+'Agile AR Aging &lt;-INPUT'!H80+'Agile AR Aging &lt;-INPUT'!H87+'Agile AR Aging &lt;-INPUT'!H93</f>
        <v>0</v>
      </c>
      <c r="H12" s="33">
        <f>'Agile AR Aging &lt;-INPUT'!I79+'Agile AR Aging &lt;-INPUT'!I80+'Agile AR Aging &lt;-INPUT'!I87+'Agile AR Aging &lt;-INPUT'!I93</f>
        <v>0</v>
      </c>
      <c r="I12" s="33">
        <f>'Agile AR Aging &lt;-INPUT'!J79+'Agile AR Aging &lt;-INPUT'!J80+'Agile AR Aging &lt;-INPUT'!J87+'Agile AR Aging &lt;-INPUT'!J93</f>
        <v>0</v>
      </c>
      <c r="J12" s="2">
        <f t="shared" si="0"/>
        <v>0</v>
      </c>
      <c r="L12" s="72"/>
      <c r="N12" s="68"/>
    </row>
    <row r="13" spans="1:15" x14ac:dyDescent="0.25">
      <c r="A13" s="1" t="s">
        <v>50</v>
      </c>
      <c r="B13" s="33">
        <f>'Agile AR Aging &lt;-INPUT'!C81</f>
        <v>0</v>
      </c>
      <c r="C13" s="33">
        <f>'Agile AR Aging &lt;-INPUT'!D81</f>
        <v>0</v>
      </c>
      <c r="D13" s="33">
        <f>'Agile AR Aging &lt;-INPUT'!E81</f>
        <v>0</v>
      </c>
      <c r="E13" s="33">
        <f>'Agile AR Aging &lt;-INPUT'!F81</f>
        <v>0</v>
      </c>
      <c r="F13" s="33">
        <f>'Agile AR Aging &lt;-INPUT'!G81</f>
        <v>0</v>
      </c>
      <c r="G13" s="33">
        <f>'Agile AR Aging &lt;-INPUT'!H81</f>
        <v>0</v>
      </c>
      <c r="H13" s="33">
        <f>'Agile AR Aging &lt;-INPUT'!I81</f>
        <v>0</v>
      </c>
      <c r="I13" s="33">
        <f>'Agile AR Aging &lt;-INPUT'!J81</f>
        <v>0</v>
      </c>
      <c r="J13" s="2">
        <f t="shared" si="0"/>
        <v>0</v>
      </c>
      <c r="L13" s="72"/>
      <c r="N13" s="68"/>
    </row>
    <row r="14" spans="1:15" x14ac:dyDescent="0.25">
      <c r="A14" s="1" t="s">
        <v>89</v>
      </c>
      <c r="B14" s="33">
        <f>'Agile AR Aging &lt;-INPUT'!C82</f>
        <v>0</v>
      </c>
      <c r="C14" s="33">
        <f>'Agile AR Aging &lt;-INPUT'!D82</f>
        <v>0</v>
      </c>
      <c r="D14" s="33">
        <f>'Agile AR Aging &lt;-INPUT'!E82</f>
        <v>0</v>
      </c>
      <c r="E14" s="33">
        <f>'Agile AR Aging &lt;-INPUT'!F82</f>
        <v>0</v>
      </c>
      <c r="F14" s="33">
        <f>'Agile AR Aging &lt;-INPUT'!G82</f>
        <v>0</v>
      </c>
      <c r="G14" s="33">
        <f>'Agile AR Aging &lt;-INPUT'!H82</f>
        <v>0</v>
      </c>
      <c r="H14" s="33">
        <f>'Agile AR Aging &lt;-INPUT'!I82</f>
        <v>0</v>
      </c>
      <c r="I14" s="33">
        <f>'Agile AR Aging &lt;-INPUT'!J82</f>
        <v>0</v>
      </c>
      <c r="J14" s="2">
        <f t="shared" si="0"/>
        <v>0</v>
      </c>
      <c r="L14" s="72"/>
      <c r="N14" s="68"/>
    </row>
    <row r="15" spans="1:15" x14ac:dyDescent="0.25">
      <c r="A15" s="1" t="s">
        <v>5</v>
      </c>
      <c r="B15" s="33">
        <f>'Agile AR Aging &lt;-INPUT'!C83</f>
        <v>0</v>
      </c>
      <c r="C15" s="33">
        <f>'Agile AR Aging &lt;-INPUT'!D83</f>
        <v>0</v>
      </c>
      <c r="D15" s="33">
        <f>'Agile AR Aging &lt;-INPUT'!E83</f>
        <v>0</v>
      </c>
      <c r="E15" s="33">
        <f>'Agile AR Aging &lt;-INPUT'!F83</f>
        <v>0</v>
      </c>
      <c r="F15" s="33">
        <f>'Agile AR Aging &lt;-INPUT'!G83</f>
        <v>0</v>
      </c>
      <c r="G15" s="33">
        <f>'Agile AR Aging &lt;-INPUT'!H83</f>
        <v>0</v>
      </c>
      <c r="H15" s="33">
        <f>'Agile AR Aging &lt;-INPUT'!I83</f>
        <v>0</v>
      </c>
      <c r="I15" s="33">
        <f>'Agile AR Aging &lt;-INPUT'!J83</f>
        <v>0</v>
      </c>
      <c r="J15" s="2">
        <f t="shared" si="0"/>
        <v>0</v>
      </c>
      <c r="L15" s="72"/>
      <c r="N15" s="68"/>
    </row>
    <row r="16" spans="1:15" x14ac:dyDescent="0.25">
      <c r="A16" s="1" t="s">
        <v>84</v>
      </c>
      <c r="B16" s="33">
        <f>'Agile AR Aging &lt;-INPUT'!C84</f>
        <v>0</v>
      </c>
      <c r="C16" s="33">
        <f>'Agile AR Aging &lt;-INPUT'!D84</f>
        <v>0</v>
      </c>
      <c r="D16" s="33">
        <f>'Agile AR Aging &lt;-INPUT'!E84</f>
        <v>0</v>
      </c>
      <c r="E16" s="33">
        <f>'Agile AR Aging &lt;-INPUT'!F84</f>
        <v>0</v>
      </c>
      <c r="F16" s="33">
        <f>'Agile AR Aging &lt;-INPUT'!G84</f>
        <v>0</v>
      </c>
      <c r="G16" s="33">
        <f>'Agile AR Aging &lt;-INPUT'!H84</f>
        <v>0</v>
      </c>
      <c r="H16" s="33">
        <f>'Agile AR Aging &lt;-INPUT'!I84</f>
        <v>0</v>
      </c>
      <c r="I16" s="33">
        <f>'Agile AR Aging &lt;-INPUT'!J84</f>
        <v>0</v>
      </c>
      <c r="J16" s="2">
        <f t="shared" si="0"/>
        <v>0</v>
      </c>
      <c r="L16" s="72"/>
      <c r="N16" s="68"/>
    </row>
    <row r="17" spans="1:17" x14ac:dyDescent="0.25">
      <c r="A17" s="1" t="s">
        <v>4</v>
      </c>
      <c r="B17" s="33">
        <f>'Agile AR Aging &lt;-INPUT'!C85</f>
        <v>0</v>
      </c>
      <c r="C17" s="33">
        <f>'Agile AR Aging &lt;-INPUT'!D85</f>
        <v>0</v>
      </c>
      <c r="D17" s="33">
        <f>'Agile AR Aging &lt;-INPUT'!E85</f>
        <v>0</v>
      </c>
      <c r="E17" s="33">
        <f>'Agile AR Aging &lt;-INPUT'!F85</f>
        <v>0</v>
      </c>
      <c r="F17" s="33">
        <f>'Agile AR Aging &lt;-INPUT'!G85</f>
        <v>0</v>
      </c>
      <c r="G17" s="33">
        <f>'Agile AR Aging &lt;-INPUT'!H85</f>
        <v>0</v>
      </c>
      <c r="H17" s="33">
        <f>'Agile AR Aging &lt;-INPUT'!I85</f>
        <v>0</v>
      </c>
      <c r="I17" s="33">
        <f>'Agile AR Aging &lt;-INPUT'!J85</f>
        <v>0</v>
      </c>
      <c r="J17" s="2">
        <f t="shared" si="0"/>
        <v>0</v>
      </c>
      <c r="L17" s="72"/>
      <c r="N17" s="68"/>
    </row>
    <row r="18" spans="1:17" x14ac:dyDescent="0.25">
      <c r="A18" s="1" t="s">
        <v>51</v>
      </c>
      <c r="B18" s="33">
        <f>'Agile AR Aging &lt;-INPUT'!C86</f>
        <v>0</v>
      </c>
      <c r="C18" s="33">
        <f>'Agile AR Aging &lt;-INPUT'!D86</f>
        <v>0</v>
      </c>
      <c r="D18" s="33">
        <f>'Agile AR Aging &lt;-INPUT'!E86</f>
        <v>0</v>
      </c>
      <c r="E18" s="33">
        <f>'Agile AR Aging &lt;-INPUT'!F86</f>
        <v>0</v>
      </c>
      <c r="F18" s="33">
        <f>'Agile AR Aging &lt;-INPUT'!G86</f>
        <v>0</v>
      </c>
      <c r="G18" s="33">
        <f>'Agile AR Aging &lt;-INPUT'!H86</f>
        <v>0</v>
      </c>
      <c r="H18" s="33">
        <f>'Agile AR Aging &lt;-INPUT'!I86</f>
        <v>0</v>
      </c>
      <c r="I18" s="33">
        <f>'Agile AR Aging &lt;-INPUT'!J86</f>
        <v>0</v>
      </c>
      <c r="J18" s="2">
        <f t="shared" si="0"/>
        <v>0</v>
      </c>
      <c r="L18" s="72"/>
      <c r="N18" s="68"/>
    </row>
    <row r="19" spans="1:17" x14ac:dyDescent="0.25">
      <c r="A19" s="1" t="s">
        <v>85</v>
      </c>
      <c r="B19" s="33">
        <f>'Agile AR Aging &lt;-INPUT'!C88</f>
        <v>0</v>
      </c>
      <c r="C19" s="33">
        <f>'Agile AR Aging &lt;-INPUT'!D88</f>
        <v>0</v>
      </c>
      <c r="D19" s="33">
        <f>'Agile AR Aging &lt;-INPUT'!E88</f>
        <v>0</v>
      </c>
      <c r="E19" s="33">
        <f>'Agile AR Aging &lt;-INPUT'!F88</f>
        <v>0</v>
      </c>
      <c r="F19" s="33">
        <f>'Agile AR Aging &lt;-INPUT'!G88</f>
        <v>0</v>
      </c>
      <c r="G19" s="33">
        <f>'Agile AR Aging &lt;-INPUT'!H88</f>
        <v>0</v>
      </c>
      <c r="H19" s="33">
        <f>'Agile AR Aging &lt;-INPUT'!I88</f>
        <v>0</v>
      </c>
      <c r="I19" s="33">
        <f>'Agile AR Aging &lt;-INPUT'!J88</f>
        <v>0</v>
      </c>
      <c r="J19" s="2">
        <f t="shared" si="0"/>
        <v>0</v>
      </c>
      <c r="L19" s="72"/>
      <c r="N19" s="68"/>
    </row>
    <row r="20" spans="1:17" x14ac:dyDescent="0.25">
      <c r="A20" s="1" t="s">
        <v>2</v>
      </c>
      <c r="B20" s="33">
        <f>'Agile AR Aging &lt;-INPUT'!C89</f>
        <v>0</v>
      </c>
      <c r="C20" s="33">
        <f>'Agile AR Aging &lt;-INPUT'!D89</f>
        <v>0</v>
      </c>
      <c r="D20" s="33">
        <f>'Agile AR Aging &lt;-INPUT'!E89</f>
        <v>0</v>
      </c>
      <c r="E20" s="33">
        <f>'Agile AR Aging &lt;-INPUT'!F89</f>
        <v>0</v>
      </c>
      <c r="F20" s="33">
        <f>'Agile AR Aging &lt;-INPUT'!G89</f>
        <v>0</v>
      </c>
      <c r="G20" s="33">
        <f>'Agile AR Aging &lt;-INPUT'!H89</f>
        <v>0</v>
      </c>
      <c r="H20" s="33">
        <f>'Agile AR Aging &lt;-INPUT'!I89</f>
        <v>0</v>
      </c>
      <c r="I20" s="33">
        <f>'Agile AR Aging &lt;-INPUT'!J89</f>
        <v>0</v>
      </c>
      <c r="J20" s="2">
        <f t="shared" si="0"/>
        <v>0</v>
      </c>
      <c r="L20" s="72"/>
      <c r="N20" s="68"/>
    </row>
    <row r="21" spans="1:17" x14ac:dyDescent="0.25">
      <c r="A21" s="1" t="s">
        <v>86</v>
      </c>
      <c r="B21" s="33">
        <f>'Agile AR Aging &lt;-INPUT'!C90</f>
        <v>0</v>
      </c>
      <c r="C21" s="33">
        <f>'Agile AR Aging &lt;-INPUT'!D90</f>
        <v>0</v>
      </c>
      <c r="D21" s="33">
        <f>'Agile AR Aging &lt;-INPUT'!E90</f>
        <v>0</v>
      </c>
      <c r="E21" s="33">
        <f>'Agile AR Aging &lt;-INPUT'!F90</f>
        <v>0</v>
      </c>
      <c r="F21" s="33">
        <f>'Agile AR Aging &lt;-INPUT'!G90</f>
        <v>0</v>
      </c>
      <c r="G21" s="33">
        <f>'Agile AR Aging &lt;-INPUT'!H90</f>
        <v>0</v>
      </c>
      <c r="H21" s="33">
        <f>'Agile AR Aging &lt;-INPUT'!I90</f>
        <v>0</v>
      </c>
      <c r="I21" s="33">
        <f>'Agile AR Aging &lt;-INPUT'!J90</f>
        <v>0</v>
      </c>
      <c r="J21" s="2">
        <f t="shared" si="0"/>
        <v>0</v>
      </c>
      <c r="L21" s="72"/>
      <c r="N21" s="68"/>
    </row>
    <row r="22" spans="1:17" x14ac:dyDescent="0.25">
      <c r="A22" s="1" t="s">
        <v>29</v>
      </c>
      <c r="B22" s="33">
        <f>'Agile AR Aging &lt;-INPUT'!C91</f>
        <v>0</v>
      </c>
      <c r="C22" s="33">
        <f>'Agile AR Aging &lt;-INPUT'!D91</f>
        <v>0</v>
      </c>
      <c r="D22" s="33">
        <f>'Agile AR Aging &lt;-INPUT'!E91</f>
        <v>0</v>
      </c>
      <c r="E22" s="33">
        <f>'Agile AR Aging &lt;-INPUT'!F91</f>
        <v>0</v>
      </c>
      <c r="F22" s="33">
        <f>'Agile AR Aging &lt;-INPUT'!G91</f>
        <v>0</v>
      </c>
      <c r="G22" s="33">
        <f>'Agile AR Aging &lt;-INPUT'!H91</f>
        <v>0</v>
      </c>
      <c r="H22" s="33">
        <f>'Agile AR Aging &lt;-INPUT'!I91</f>
        <v>0</v>
      </c>
      <c r="I22" s="33">
        <f>'Agile AR Aging &lt;-INPUT'!J91</f>
        <v>0</v>
      </c>
      <c r="J22" s="2">
        <f t="shared" si="0"/>
        <v>0</v>
      </c>
      <c r="L22" s="72"/>
      <c r="N22" s="68"/>
    </row>
    <row r="23" spans="1:17" x14ac:dyDescent="0.25">
      <c r="A23" s="1" t="s">
        <v>52</v>
      </c>
      <c r="B23" s="33">
        <f>'Agile AR Aging &lt;-INPUT'!C92</f>
        <v>0</v>
      </c>
      <c r="C23" s="33">
        <f>'Agile AR Aging &lt;-INPUT'!D92</f>
        <v>0</v>
      </c>
      <c r="D23" s="33">
        <f>'Agile AR Aging &lt;-INPUT'!E92</f>
        <v>0</v>
      </c>
      <c r="E23" s="33">
        <f>'Agile AR Aging &lt;-INPUT'!F92</f>
        <v>0</v>
      </c>
      <c r="F23" s="33">
        <f>'Agile AR Aging &lt;-INPUT'!G92</f>
        <v>0</v>
      </c>
      <c r="G23" s="33">
        <f>'Agile AR Aging &lt;-INPUT'!H92</f>
        <v>0</v>
      </c>
      <c r="H23" s="33">
        <f>'Agile AR Aging &lt;-INPUT'!I92</f>
        <v>0</v>
      </c>
      <c r="I23" s="33">
        <f>'Agile AR Aging &lt;-INPUT'!J92</f>
        <v>0</v>
      </c>
      <c r="J23" s="2">
        <f t="shared" si="0"/>
        <v>0</v>
      </c>
      <c r="L23" s="72"/>
      <c r="N23" s="68"/>
    </row>
    <row r="24" spans="1:17" x14ac:dyDescent="0.25">
      <c r="A24" s="1" t="s">
        <v>1</v>
      </c>
      <c r="B24" s="32">
        <f>'Agile AR Aging &lt;-INPUT'!C94</f>
        <v>0</v>
      </c>
      <c r="C24" s="32">
        <f>'Agile AR Aging &lt;-INPUT'!D94</f>
        <v>0</v>
      </c>
      <c r="D24" s="32">
        <f>'Agile AR Aging &lt;-INPUT'!E94</f>
        <v>0</v>
      </c>
      <c r="E24" s="32">
        <f>'Agile AR Aging &lt;-INPUT'!F94</f>
        <v>0</v>
      </c>
      <c r="F24" s="32">
        <f>'Agile AR Aging &lt;-INPUT'!G94</f>
        <v>0</v>
      </c>
      <c r="G24" s="32">
        <f>'Agile AR Aging &lt;-INPUT'!H94</f>
        <v>0</v>
      </c>
      <c r="H24" s="32">
        <f>'Agile AR Aging &lt;-INPUT'!I94</f>
        <v>0</v>
      </c>
      <c r="I24" s="32">
        <f>'Agile AR Aging &lt;-INPUT'!J94</f>
        <v>0</v>
      </c>
      <c r="J24" s="9">
        <f t="shared" si="0"/>
        <v>0</v>
      </c>
      <c r="L24" s="72"/>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53" t="s">
        <v>55</v>
      </c>
      <c r="B27" s="154"/>
      <c r="C27" s="154"/>
      <c r="D27" s="154"/>
      <c r="E27" s="154"/>
      <c r="F27" s="154"/>
      <c r="G27" s="154"/>
      <c r="H27" s="154"/>
      <c r="I27" s="154"/>
      <c r="J27" s="155"/>
      <c r="Q27" s="1"/>
    </row>
    <row r="28" spans="1:17" x14ac:dyDescent="0.25">
      <c r="A28" s="4" t="s">
        <v>16</v>
      </c>
      <c r="B28" s="5" t="s">
        <v>15</v>
      </c>
      <c r="C28" s="5" t="s">
        <v>14</v>
      </c>
      <c r="D28" s="5" t="s">
        <v>13</v>
      </c>
      <c r="E28" s="5" t="s">
        <v>12</v>
      </c>
      <c r="F28" s="5" t="s">
        <v>94</v>
      </c>
      <c r="G28" s="5" t="s">
        <v>95</v>
      </c>
      <c r="H28" s="5" t="s">
        <v>38</v>
      </c>
      <c r="I28" s="5" t="s">
        <v>9</v>
      </c>
      <c r="J28" s="5" t="s">
        <v>0</v>
      </c>
      <c r="Q28" s="1"/>
    </row>
    <row r="29" spans="1:17" x14ac:dyDescent="0.25">
      <c r="A29" s="1" t="s">
        <v>49</v>
      </c>
      <c r="B29" s="36">
        <f>'Reimbursement Rates &lt;-INPUT'!D9</f>
        <v>0</v>
      </c>
      <c r="C29" s="36">
        <f t="shared" ref="C29:H45" si="2">B29</f>
        <v>0</v>
      </c>
      <c r="D29" s="36">
        <f t="shared" si="2"/>
        <v>0</v>
      </c>
      <c r="E29" s="36">
        <f t="shared" si="2"/>
        <v>0</v>
      </c>
      <c r="F29" s="36">
        <f t="shared" si="2"/>
        <v>0</v>
      </c>
      <c r="G29" s="36">
        <f t="shared" si="2"/>
        <v>0</v>
      </c>
      <c r="H29" s="36">
        <f t="shared" si="2"/>
        <v>0</v>
      </c>
      <c r="I29" s="36">
        <f>H29</f>
        <v>0</v>
      </c>
      <c r="J29" s="36">
        <f t="shared" ref="J29:J45" si="3">H29</f>
        <v>0</v>
      </c>
    </row>
    <row r="30" spans="1:17" x14ac:dyDescent="0.25">
      <c r="A30" s="1" t="s">
        <v>8</v>
      </c>
      <c r="B30" s="36">
        <f>'Reimbursement Rates &lt;-INPUT'!D10</f>
        <v>0</v>
      </c>
      <c r="C30" s="36">
        <f t="shared" si="2"/>
        <v>0</v>
      </c>
      <c r="D30" s="36">
        <f t="shared" si="2"/>
        <v>0</v>
      </c>
      <c r="E30" s="36">
        <f t="shared" si="2"/>
        <v>0</v>
      </c>
      <c r="F30" s="36">
        <f t="shared" si="2"/>
        <v>0</v>
      </c>
      <c r="G30" s="36">
        <f t="shared" si="2"/>
        <v>0</v>
      </c>
      <c r="H30" s="36">
        <f t="shared" si="2"/>
        <v>0</v>
      </c>
      <c r="I30" s="36">
        <f t="shared" ref="I30:I45" si="4">H30</f>
        <v>0</v>
      </c>
      <c r="J30" s="36">
        <f t="shared" si="3"/>
        <v>0</v>
      </c>
      <c r="Q30" s="1"/>
    </row>
    <row r="31" spans="1:17" x14ac:dyDescent="0.25">
      <c r="A31" s="1" t="s">
        <v>7</v>
      </c>
      <c r="B31" s="36">
        <f>'Reimbursement Rates &lt;-INPUT'!D11</f>
        <v>0</v>
      </c>
      <c r="C31" s="36">
        <f t="shared" si="2"/>
        <v>0</v>
      </c>
      <c r="D31" s="36">
        <f t="shared" si="2"/>
        <v>0</v>
      </c>
      <c r="E31" s="36">
        <f t="shared" si="2"/>
        <v>0</v>
      </c>
      <c r="F31" s="36">
        <f t="shared" si="2"/>
        <v>0</v>
      </c>
      <c r="G31" s="36">
        <f t="shared" si="2"/>
        <v>0</v>
      </c>
      <c r="H31" s="36">
        <f t="shared" si="2"/>
        <v>0</v>
      </c>
      <c r="I31" s="36">
        <f t="shared" si="4"/>
        <v>0</v>
      </c>
      <c r="J31" s="36">
        <f t="shared" si="3"/>
        <v>0</v>
      </c>
    </row>
    <row r="32" spans="1:17" x14ac:dyDescent="0.25">
      <c r="A32" s="1" t="s">
        <v>42</v>
      </c>
      <c r="B32" s="36">
        <f>'Reimbursement Rates &lt;-INPUT'!D12</f>
        <v>0</v>
      </c>
      <c r="C32" s="36">
        <f t="shared" si="2"/>
        <v>0</v>
      </c>
      <c r="D32" s="36">
        <f t="shared" si="2"/>
        <v>0</v>
      </c>
      <c r="E32" s="36">
        <f t="shared" si="2"/>
        <v>0</v>
      </c>
      <c r="F32" s="36">
        <f t="shared" si="2"/>
        <v>0</v>
      </c>
      <c r="G32" s="36">
        <f t="shared" si="2"/>
        <v>0</v>
      </c>
      <c r="H32" s="36">
        <f t="shared" si="2"/>
        <v>0</v>
      </c>
      <c r="I32" s="36">
        <f t="shared" si="4"/>
        <v>0</v>
      </c>
      <c r="J32" s="36">
        <f t="shared" si="3"/>
        <v>0</v>
      </c>
    </row>
    <row r="33" spans="1:17" x14ac:dyDescent="0.25">
      <c r="A33" s="1" t="s">
        <v>6</v>
      </c>
      <c r="B33" s="36">
        <f>'Reimbursement Rates &lt;-INPUT'!D13</f>
        <v>0</v>
      </c>
      <c r="C33" s="36">
        <f t="shared" si="2"/>
        <v>0</v>
      </c>
      <c r="D33" s="36">
        <f t="shared" si="2"/>
        <v>0</v>
      </c>
      <c r="E33" s="36">
        <f t="shared" si="2"/>
        <v>0</v>
      </c>
      <c r="F33" s="36">
        <f t="shared" si="2"/>
        <v>0</v>
      </c>
      <c r="G33" s="36">
        <f t="shared" si="2"/>
        <v>0</v>
      </c>
      <c r="H33" s="36">
        <f t="shared" si="2"/>
        <v>0</v>
      </c>
      <c r="I33" s="36">
        <f t="shared" si="4"/>
        <v>0</v>
      </c>
      <c r="J33" s="36">
        <f t="shared" si="3"/>
        <v>0</v>
      </c>
      <c r="Q33" s="1"/>
    </row>
    <row r="34" spans="1:17" x14ac:dyDescent="0.25">
      <c r="A34" s="1" t="s">
        <v>50</v>
      </c>
      <c r="B34" s="36">
        <f>'Reimbursement Rates &lt;-INPUT'!D15</f>
        <v>0</v>
      </c>
      <c r="C34" s="36">
        <f t="shared" si="2"/>
        <v>0</v>
      </c>
      <c r="D34" s="36">
        <f t="shared" si="2"/>
        <v>0</v>
      </c>
      <c r="E34" s="36">
        <f t="shared" si="2"/>
        <v>0</v>
      </c>
      <c r="F34" s="36">
        <f t="shared" si="2"/>
        <v>0</v>
      </c>
      <c r="G34" s="36">
        <f t="shared" si="2"/>
        <v>0</v>
      </c>
      <c r="H34" s="36">
        <f t="shared" si="2"/>
        <v>0</v>
      </c>
      <c r="I34" s="36">
        <f t="shared" si="4"/>
        <v>0</v>
      </c>
      <c r="J34" s="36">
        <f t="shared" si="3"/>
        <v>0</v>
      </c>
      <c r="M34" s="7"/>
    </row>
    <row r="35" spans="1:17" x14ac:dyDescent="0.25">
      <c r="A35" s="1" t="s">
        <v>89</v>
      </c>
      <c r="B35" s="36">
        <f>'Reimbursement Rates &lt;-INPUT'!D16</f>
        <v>0</v>
      </c>
      <c r="C35" s="36">
        <f t="shared" si="2"/>
        <v>0</v>
      </c>
      <c r="D35" s="36">
        <f t="shared" si="2"/>
        <v>0</v>
      </c>
      <c r="E35" s="36">
        <f t="shared" si="2"/>
        <v>0</v>
      </c>
      <c r="F35" s="36">
        <f t="shared" si="2"/>
        <v>0</v>
      </c>
      <c r="G35" s="36">
        <f t="shared" si="2"/>
        <v>0</v>
      </c>
      <c r="H35" s="36">
        <f t="shared" si="2"/>
        <v>0</v>
      </c>
      <c r="I35" s="36">
        <f t="shared" si="4"/>
        <v>0</v>
      </c>
      <c r="J35" s="36">
        <f t="shared" si="3"/>
        <v>0</v>
      </c>
      <c r="M35" s="7"/>
    </row>
    <row r="36" spans="1:17" x14ac:dyDescent="0.25">
      <c r="A36" s="1" t="s">
        <v>5</v>
      </c>
      <c r="B36" s="36">
        <f>'Reimbursement Rates &lt;-INPUT'!D17</f>
        <v>0</v>
      </c>
      <c r="C36" s="36">
        <f t="shared" si="2"/>
        <v>0</v>
      </c>
      <c r="D36" s="36">
        <f t="shared" si="2"/>
        <v>0</v>
      </c>
      <c r="E36" s="36">
        <f t="shared" si="2"/>
        <v>0</v>
      </c>
      <c r="F36" s="36">
        <f t="shared" si="2"/>
        <v>0</v>
      </c>
      <c r="G36" s="36">
        <f t="shared" si="2"/>
        <v>0</v>
      </c>
      <c r="H36" s="36">
        <f t="shared" si="2"/>
        <v>0</v>
      </c>
      <c r="I36" s="36">
        <f t="shared" si="4"/>
        <v>0</v>
      </c>
      <c r="J36" s="36">
        <f t="shared" si="3"/>
        <v>0</v>
      </c>
      <c r="M36" s="7"/>
      <c r="Q36" s="1"/>
    </row>
    <row r="37" spans="1:17" x14ac:dyDescent="0.25">
      <c r="A37" s="1" t="s">
        <v>84</v>
      </c>
      <c r="B37" s="36">
        <f>'Reimbursement Rates &lt;-INPUT'!D18</f>
        <v>0</v>
      </c>
      <c r="C37" s="36">
        <f t="shared" si="2"/>
        <v>0</v>
      </c>
      <c r="D37" s="36">
        <f t="shared" si="2"/>
        <v>0</v>
      </c>
      <c r="E37" s="36">
        <f t="shared" si="2"/>
        <v>0</v>
      </c>
      <c r="F37" s="36">
        <f t="shared" si="2"/>
        <v>0</v>
      </c>
      <c r="G37" s="36">
        <f t="shared" si="2"/>
        <v>0</v>
      </c>
      <c r="H37" s="36">
        <f t="shared" si="2"/>
        <v>0</v>
      </c>
      <c r="I37" s="36">
        <f t="shared" si="4"/>
        <v>0</v>
      </c>
      <c r="J37" s="36">
        <f t="shared" si="3"/>
        <v>0</v>
      </c>
      <c r="M37" s="7"/>
      <c r="Q37" s="1"/>
    </row>
    <row r="38" spans="1:17" x14ac:dyDescent="0.25">
      <c r="A38" s="1" t="s">
        <v>4</v>
      </c>
      <c r="B38" s="36">
        <f>'Reimbursement Rates &lt;-INPUT'!D19</f>
        <v>0</v>
      </c>
      <c r="C38" s="36">
        <f t="shared" si="2"/>
        <v>0</v>
      </c>
      <c r="D38" s="36">
        <f t="shared" si="2"/>
        <v>0</v>
      </c>
      <c r="E38" s="36">
        <f t="shared" si="2"/>
        <v>0</v>
      </c>
      <c r="F38" s="36">
        <f t="shared" si="2"/>
        <v>0</v>
      </c>
      <c r="G38" s="36">
        <f t="shared" si="2"/>
        <v>0</v>
      </c>
      <c r="H38" s="36">
        <f t="shared" si="2"/>
        <v>0</v>
      </c>
      <c r="I38" s="36">
        <f t="shared" si="4"/>
        <v>0</v>
      </c>
      <c r="J38" s="36">
        <f t="shared" si="3"/>
        <v>0</v>
      </c>
      <c r="M38" s="7"/>
    </row>
    <row r="39" spans="1:17" x14ac:dyDescent="0.25">
      <c r="A39" s="1" t="s">
        <v>51</v>
      </c>
      <c r="B39" s="36">
        <f>'Reimbursement Rates &lt;-INPUT'!D20</f>
        <v>0</v>
      </c>
      <c r="C39" s="36">
        <f t="shared" si="2"/>
        <v>0</v>
      </c>
      <c r="D39" s="36">
        <f t="shared" si="2"/>
        <v>0</v>
      </c>
      <c r="E39" s="36">
        <f t="shared" si="2"/>
        <v>0</v>
      </c>
      <c r="F39" s="36">
        <f t="shared" si="2"/>
        <v>0</v>
      </c>
      <c r="G39" s="36">
        <f t="shared" si="2"/>
        <v>0</v>
      </c>
      <c r="H39" s="36">
        <f t="shared" si="2"/>
        <v>0</v>
      </c>
      <c r="I39" s="36">
        <f t="shared" si="4"/>
        <v>0</v>
      </c>
      <c r="J39" s="36">
        <f t="shared" si="3"/>
        <v>0</v>
      </c>
      <c r="M39" s="7"/>
      <c r="Q39" s="1"/>
    </row>
    <row r="40" spans="1:17" x14ac:dyDescent="0.25">
      <c r="A40" s="1" t="s">
        <v>85</v>
      </c>
      <c r="B40" s="36">
        <f>'Reimbursement Rates &lt;-INPUT'!D22</f>
        <v>0</v>
      </c>
      <c r="C40" s="36">
        <f t="shared" si="2"/>
        <v>0</v>
      </c>
      <c r="D40" s="36">
        <f t="shared" si="2"/>
        <v>0</v>
      </c>
      <c r="E40" s="36">
        <f t="shared" si="2"/>
        <v>0</v>
      </c>
      <c r="F40" s="36">
        <f t="shared" si="2"/>
        <v>0</v>
      </c>
      <c r="G40" s="36">
        <f t="shared" si="2"/>
        <v>0</v>
      </c>
      <c r="H40" s="36">
        <f t="shared" si="2"/>
        <v>0</v>
      </c>
      <c r="I40" s="36">
        <f t="shared" si="4"/>
        <v>0</v>
      </c>
      <c r="J40" s="36">
        <f t="shared" si="3"/>
        <v>0</v>
      </c>
      <c r="M40" s="7"/>
      <c r="Q40" s="1"/>
    </row>
    <row r="41" spans="1:17" x14ac:dyDescent="0.25">
      <c r="A41" s="1" t="s">
        <v>2</v>
      </c>
      <c r="B41" s="36">
        <f>'Reimbursement Rates &lt;-INPUT'!D23</f>
        <v>0</v>
      </c>
      <c r="C41" s="36">
        <f t="shared" si="2"/>
        <v>0</v>
      </c>
      <c r="D41" s="36">
        <f t="shared" si="2"/>
        <v>0</v>
      </c>
      <c r="E41" s="36">
        <f t="shared" si="2"/>
        <v>0</v>
      </c>
      <c r="F41" s="36">
        <f t="shared" si="2"/>
        <v>0</v>
      </c>
      <c r="G41" s="36">
        <f t="shared" si="2"/>
        <v>0</v>
      </c>
      <c r="H41" s="36">
        <f t="shared" si="2"/>
        <v>0</v>
      </c>
      <c r="I41" s="36">
        <f t="shared" si="4"/>
        <v>0</v>
      </c>
      <c r="J41" s="36">
        <f t="shared" si="3"/>
        <v>0</v>
      </c>
      <c r="M41" s="7"/>
      <c r="Q41" s="1"/>
    </row>
    <row r="42" spans="1:17" x14ac:dyDescent="0.25">
      <c r="A42" s="1" t="s">
        <v>86</v>
      </c>
      <c r="B42" s="36">
        <f>'Reimbursement Rates &lt;-INPUT'!D24</f>
        <v>0</v>
      </c>
      <c r="C42" s="36">
        <f t="shared" si="2"/>
        <v>0</v>
      </c>
      <c r="D42" s="36">
        <f t="shared" si="2"/>
        <v>0</v>
      </c>
      <c r="E42" s="36">
        <f t="shared" si="2"/>
        <v>0</v>
      </c>
      <c r="F42" s="36">
        <f t="shared" si="2"/>
        <v>0</v>
      </c>
      <c r="G42" s="36">
        <f t="shared" si="2"/>
        <v>0</v>
      </c>
      <c r="H42" s="36">
        <f t="shared" si="2"/>
        <v>0</v>
      </c>
      <c r="I42" s="36">
        <f t="shared" si="4"/>
        <v>0</v>
      </c>
      <c r="J42" s="36">
        <f t="shared" si="3"/>
        <v>0</v>
      </c>
      <c r="M42" s="7"/>
    </row>
    <row r="43" spans="1:17" x14ac:dyDescent="0.25">
      <c r="A43" s="1" t="s">
        <v>29</v>
      </c>
      <c r="B43" s="36">
        <f>'Reimbursement Rates &lt;-INPUT'!D25</f>
        <v>0</v>
      </c>
      <c r="C43" s="36">
        <f t="shared" si="2"/>
        <v>0</v>
      </c>
      <c r="D43" s="36">
        <f t="shared" si="2"/>
        <v>0</v>
      </c>
      <c r="E43" s="36">
        <f t="shared" si="2"/>
        <v>0</v>
      </c>
      <c r="F43" s="36">
        <f t="shared" si="2"/>
        <v>0</v>
      </c>
      <c r="G43" s="36">
        <f t="shared" si="2"/>
        <v>0</v>
      </c>
      <c r="H43" s="36">
        <f t="shared" si="2"/>
        <v>0</v>
      </c>
      <c r="I43" s="36">
        <f t="shared" si="4"/>
        <v>0</v>
      </c>
      <c r="J43" s="36">
        <f t="shared" si="3"/>
        <v>0</v>
      </c>
      <c r="M43" s="7"/>
    </row>
    <row r="44" spans="1:17" x14ac:dyDescent="0.25">
      <c r="A44" s="1" t="s">
        <v>52</v>
      </c>
      <c r="B44" s="36">
        <f>'Reimbursement Rates &lt;-INPUT'!D26</f>
        <v>0</v>
      </c>
      <c r="C44" s="36">
        <f t="shared" si="2"/>
        <v>0</v>
      </c>
      <c r="D44" s="36">
        <f t="shared" si="2"/>
        <v>0</v>
      </c>
      <c r="E44" s="36">
        <f t="shared" si="2"/>
        <v>0</v>
      </c>
      <c r="F44" s="36">
        <f t="shared" si="2"/>
        <v>0</v>
      </c>
      <c r="G44" s="36">
        <f t="shared" si="2"/>
        <v>0</v>
      </c>
      <c r="H44" s="36">
        <f t="shared" si="2"/>
        <v>0</v>
      </c>
      <c r="I44" s="36">
        <f t="shared" si="4"/>
        <v>0</v>
      </c>
      <c r="J44" s="36">
        <f t="shared" si="3"/>
        <v>0</v>
      </c>
      <c r="M44" s="7"/>
      <c r="Q44" s="1"/>
    </row>
    <row r="45" spans="1:17" x14ac:dyDescent="0.25">
      <c r="A45" s="1" t="s">
        <v>1</v>
      </c>
      <c r="B45" s="36">
        <f>'Reimbursement Rates &lt;-INPUT'!D28</f>
        <v>0</v>
      </c>
      <c r="C45" s="36">
        <f t="shared" si="2"/>
        <v>0</v>
      </c>
      <c r="D45" s="36">
        <f t="shared" si="2"/>
        <v>0</v>
      </c>
      <c r="E45" s="36">
        <f t="shared" si="2"/>
        <v>0</v>
      </c>
      <c r="F45" s="36">
        <f t="shared" si="2"/>
        <v>0</v>
      </c>
      <c r="G45" s="36">
        <f t="shared" si="2"/>
        <v>0</v>
      </c>
      <c r="H45" s="36">
        <f t="shared" si="2"/>
        <v>0</v>
      </c>
      <c r="I45" s="36">
        <f t="shared" si="4"/>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50" t="s">
        <v>33</v>
      </c>
      <c r="B47" s="151"/>
      <c r="C47" s="151"/>
      <c r="D47" s="151"/>
      <c r="E47" s="151"/>
      <c r="F47" s="151"/>
      <c r="G47" s="151"/>
      <c r="H47" s="151"/>
      <c r="I47" s="151"/>
      <c r="J47" s="152"/>
      <c r="M47" s="7"/>
      <c r="Q47" s="1"/>
    </row>
    <row r="48" spans="1:17" x14ac:dyDescent="0.25">
      <c r="A48" s="4" t="s">
        <v>16</v>
      </c>
      <c r="B48" s="5" t="s">
        <v>15</v>
      </c>
      <c r="C48" s="5" t="s">
        <v>14</v>
      </c>
      <c r="D48" s="5" t="s">
        <v>13</v>
      </c>
      <c r="E48" s="5" t="s">
        <v>12</v>
      </c>
      <c r="F48" s="5" t="s">
        <v>94</v>
      </c>
      <c r="G48" s="5" t="s">
        <v>95</v>
      </c>
      <c r="H48" s="5" t="s">
        <v>38</v>
      </c>
      <c r="I48" s="5" t="s">
        <v>9</v>
      </c>
      <c r="J48" s="5" t="s">
        <v>0</v>
      </c>
      <c r="M48" s="7"/>
    </row>
    <row r="49" spans="1:17" x14ac:dyDescent="0.25">
      <c r="A49" s="1" t="s">
        <v>49</v>
      </c>
      <c r="B49" s="37">
        <f t="shared" ref="B49:B50" si="5">IF(B8&gt;0,B8*(1-B29),0)</f>
        <v>0</v>
      </c>
      <c r="C49" s="37">
        <f t="shared" ref="C49:I49" si="6">IF(C8&gt;0,C8*(1-C29),0)</f>
        <v>0</v>
      </c>
      <c r="D49" s="37">
        <f t="shared" si="6"/>
        <v>0</v>
      </c>
      <c r="E49" s="37">
        <f t="shared" si="6"/>
        <v>0</v>
      </c>
      <c r="F49" s="37">
        <f t="shared" si="6"/>
        <v>0</v>
      </c>
      <c r="G49" s="37">
        <f t="shared" si="6"/>
        <v>0</v>
      </c>
      <c r="H49" s="37">
        <f t="shared" si="6"/>
        <v>0</v>
      </c>
      <c r="I49" s="37">
        <f t="shared" si="6"/>
        <v>0</v>
      </c>
      <c r="J49" s="37">
        <f>SUM(B49:H49)</f>
        <v>0</v>
      </c>
      <c r="M49" s="7"/>
      <c r="Q49" s="1"/>
    </row>
    <row r="50" spans="1:17" x14ac:dyDescent="0.25">
      <c r="A50" s="1" t="s">
        <v>8</v>
      </c>
      <c r="B50" s="37">
        <f t="shared" si="5"/>
        <v>0</v>
      </c>
      <c r="C50" s="37">
        <f t="shared" ref="C50:I50" si="7">IF(C9&gt;0,C9*(1-C30),0)</f>
        <v>0</v>
      </c>
      <c r="D50" s="37">
        <f t="shared" si="7"/>
        <v>0</v>
      </c>
      <c r="E50" s="37">
        <f t="shared" si="7"/>
        <v>0</v>
      </c>
      <c r="F50" s="37">
        <f t="shared" si="7"/>
        <v>0</v>
      </c>
      <c r="G50" s="37">
        <f t="shared" si="7"/>
        <v>0</v>
      </c>
      <c r="H50" s="37">
        <f t="shared" si="7"/>
        <v>0</v>
      </c>
      <c r="I50" s="37">
        <f t="shared" si="7"/>
        <v>0</v>
      </c>
      <c r="J50" s="37">
        <f t="shared" ref="J50:J65" si="8">SUM(B50:H50)</f>
        <v>0</v>
      </c>
      <c r="M50" s="7"/>
      <c r="Q50" s="7"/>
    </row>
    <row r="51" spans="1:17" x14ac:dyDescent="0.25">
      <c r="A51" s="1" t="s">
        <v>7</v>
      </c>
      <c r="B51" s="37">
        <f>IF(B10&gt;0,B10*(1-B31),0)</f>
        <v>0</v>
      </c>
      <c r="C51" s="37">
        <f t="shared" ref="C51:I51" si="9">IF(C10&gt;0,C10*(1-C31),0)</f>
        <v>0</v>
      </c>
      <c r="D51" s="37">
        <f t="shared" si="9"/>
        <v>0</v>
      </c>
      <c r="E51" s="37">
        <f t="shared" si="9"/>
        <v>0</v>
      </c>
      <c r="F51" s="37">
        <f t="shared" si="9"/>
        <v>0</v>
      </c>
      <c r="G51" s="37">
        <f t="shared" si="9"/>
        <v>0</v>
      </c>
      <c r="H51" s="37">
        <f t="shared" si="9"/>
        <v>0</v>
      </c>
      <c r="I51" s="37">
        <f t="shared" si="9"/>
        <v>0</v>
      </c>
      <c r="J51" s="37">
        <f t="shared" si="8"/>
        <v>0</v>
      </c>
      <c r="M51" s="7"/>
    </row>
    <row r="52" spans="1:17" x14ac:dyDescent="0.25">
      <c r="A52" s="1" t="s">
        <v>42</v>
      </c>
      <c r="B52" s="37">
        <f t="shared" ref="B52:B65" si="10">IF(B11&gt;0,B11*(1-B32),0)</f>
        <v>0</v>
      </c>
      <c r="C52" s="37">
        <f t="shared" ref="C52:I52" si="11">IF(C11&gt;0,C11*(1-C32),0)</f>
        <v>0</v>
      </c>
      <c r="D52" s="37">
        <f t="shared" si="11"/>
        <v>0</v>
      </c>
      <c r="E52" s="37">
        <f t="shared" si="11"/>
        <v>0</v>
      </c>
      <c r="F52" s="37">
        <f t="shared" si="11"/>
        <v>0</v>
      </c>
      <c r="G52" s="37">
        <f t="shared" si="11"/>
        <v>0</v>
      </c>
      <c r="H52" s="37">
        <f t="shared" si="11"/>
        <v>0</v>
      </c>
      <c r="I52" s="37">
        <f t="shared" si="11"/>
        <v>0</v>
      </c>
      <c r="J52" s="37">
        <f t="shared" si="8"/>
        <v>0</v>
      </c>
      <c r="M52" s="7"/>
    </row>
    <row r="53" spans="1:17" x14ac:dyDescent="0.25">
      <c r="A53" s="1" t="s">
        <v>6</v>
      </c>
      <c r="B53" s="37">
        <f t="shared" si="10"/>
        <v>0</v>
      </c>
      <c r="C53" s="37">
        <f t="shared" ref="C53:I53" si="12">IF(C12&gt;0,C12*(1-C33),0)</f>
        <v>0</v>
      </c>
      <c r="D53" s="37">
        <f t="shared" si="12"/>
        <v>0</v>
      </c>
      <c r="E53" s="37">
        <f t="shared" si="12"/>
        <v>0</v>
      </c>
      <c r="F53" s="37">
        <f t="shared" si="12"/>
        <v>0</v>
      </c>
      <c r="G53" s="37">
        <f t="shared" si="12"/>
        <v>0</v>
      </c>
      <c r="H53" s="37">
        <f t="shared" si="12"/>
        <v>0</v>
      </c>
      <c r="I53" s="37">
        <f t="shared" si="12"/>
        <v>0</v>
      </c>
      <c r="J53" s="37">
        <f t="shared" si="8"/>
        <v>0</v>
      </c>
      <c r="M53" s="7"/>
    </row>
    <row r="54" spans="1:17" x14ac:dyDescent="0.25">
      <c r="A54" s="1" t="s">
        <v>50</v>
      </c>
      <c r="B54" s="37">
        <f t="shared" si="10"/>
        <v>0</v>
      </c>
      <c r="C54" s="37">
        <f t="shared" ref="C54:I54" si="13">IF(C13&gt;0,C13*(1-C34),0)</f>
        <v>0</v>
      </c>
      <c r="D54" s="37">
        <f t="shared" si="13"/>
        <v>0</v>
      </c>
      <c r="E54" s="37">
        <f t="shared" si="13"/>
        <v>0</v>
      </c>
      <c r="F54" s="37">
        <f t="shared" si="13"/>
        <v>0</v>
      </c>
      <c r="G54" s="37">
        <f t="shared" si="13"/>
        <v>0</v>
      </c>
      <c r="H54" s="37">
        <f t="shared" si="13"/>
        <v>0</v>
      </c>
      <c r="I54" s="37">
        <f t="shared" si="13"/>
        <v>0</v>
      </c>
      <c r="J54" s="37">
        <f t="shared" si="8"/>
        <v>0</v>
      </c>
      <c r="M54" s="7"/>
    </row>
    <row r="55" spans="1:17" x14ac:dyDescent="0.25">
      <c r="A55" s="1" t="s">
        <v>89</v>
      </c>
      <c r="B55" s="37">
        <f t="shared" si="10"/>
        <v>0</v>
      </c>
      <c r="C55" s="37">
        <f t="shared" ref="C55:I55" si="14">IF(C14&gt;0,C14*(1-C35),0)</f>
        <v>0</v>
      </c>
      <c r="D55" s="37">
        <f t="shared" si="14"/>
        <v>0</v>
      </c>
      <c r="E55" s="37">
        <f t="shared" si="14"/>
        <v>0</v>
      </c>
      <c r="F55" s="37">
        <f t="shared" si="14"/>
        <v>0</v>
      </c>
      <c r="G55" s="37">
        <f t="shared" si="14"/>
        <v>0</v>
      </c>
      <c r="H55" s="37">
        <f t="shared" si="14"/>
        <v>0</v>
      </c>
      <c r="I55" s="37">
        <f t="shared" si="14"/>
        <v>0</v>
      </c>
      <c r="J55" s="37">
        <f t="shared" si="8"/>
        <v>0</v>
      </c>
      <c r="M55" s="7"/>
    </row>
    <row r="56" spans="1:17" x14ac:dyDescent="0.25">
      <c r="A56" s="1" t="s">
        <v>5</v>
      </c>
      <c r="B56" s="37">
        <f t="shared" si="10"/>
        <v>0</v>
      </c>
      <c r="C56" s="37">
        <f t="shared" ref="C56:I56" si="15">IF(C15&gt;0,C15*(1-C36),0)</f>
        <v>0</v>
      </c>
      <c r="D56" s="37">
        <f t="shared" si="15"/>
        <v>0</v>
      </c>
      <c r="E56" s="37">
        <f t="shared" si="15"/>
        <v>0</v>
      </c>
      <c r="F56" s="37">
        <f t="shared" si="15"/>
        <v>0</v>
      </c>
      <c r="G56" s="37">
        <f t="shared" si="15"/>
        <v>0</v>
      </c>
      <c r="H56" s="37">
        <f t="shared" si="15"/>
        <v>0</v>
      </c>
      <c r="I56" s="37">
        <f t="shared" si="15"/>
        <v>0</v>
      </c>
      <c r="J56" s="37">
        <f t="shared" si="8"/>
        <v>0</v>
      </c>
      <c r="M56" s="7"/>
    </row>
    <row r="57" spans="1:17" x14ac:dyDescent="0.25">
      <c r="A57" s="1" t="s">
        <v>84</v>
      </c>
      <c r="B57" s="37">
        <f t="shared" si="10"/>
        <v>0</v>
      </c>
      <c r="C57" s="37">
        <f t="shared" ref="C57:I57" si="16">IF(C16&gt;0,C16*(1-C37),0)</f>
        <v>0</v>
      </c>
      <c r="D57" s="37">
        <f t="shared" si="16"/>
        <v>0</v>
      </c>
      <c r="E57" s="37">
        <f t="shared" si="16"/>
        <v>0</v>
      </c>
      <c r="F57" s="37">
        <f t="shared" si="16"/>
        <v>0</v>
      </c>
      <c r="G57" s="37">
        <f t="shared" si="16"/>
        <v>0</v>
      </c>
      <c r="H57" s="37">
        <f t="shared" si="16"/>
        <v>0</v>
      </c>
      <c r="I57" s="37">
        <f t="shared" si="16"/>
        <v>0</v>
      </c>
      <c r="J57" s="37">
        <f t="shared" si="8"/>
        <v>0</v>
      </c>
      <c r="M57" s="7"/>
    </row>
    <row r="58" spans="1:17" x14ac:dyDescent="0.25">
      <c r="A58" s="1" t="s">
        <v>4</v>
      </c>
      <c r="B58" s="37">
        <f t="shared" si="10"/>
        <v>0</v>
      </c>
      <c r="C58" s="37">
        <f t="shared" ref="C58:I58" si="17">IF(C17&gt;0,C17*(1-C38),0)</f>
        <v>0</v>
      </c>
      <c r="D58" s="37">
        <f t="shared" si="17"/>
        <v>0</v>
      </c>
      <c r="E58" s="37">
        <f t="shared" si="17"/>
        <v>0</v>
      </c>
      <c r="F58" s="37">
        <f t="shared" si="17"/>
        <v>0</v>
      </c>
      <c r="G58" s="37">
        <f t="shared" si="17"/>
        <v>0</v>
      </c>
      <c r="H58" s="37">
        <f t="shared" si="17"/>
        <v>0</v>
      </c>
      <c r="I58" s="37">
        <f t="shared" si="17"/>
        <v>0</v>
      </c>
      <c r="J58" s="37">
        <f t="shared" si="8"/>
        <v>0</v>
      </c>
      <c r="M58" s="7"/>
    </row>
    <row r="59" spans="1:17" x14ac:dyDescent="0.25">
      <c r="A59" s="1" t="s">
        <v>51</v>
      </c>
      <c r="B59" s="37">
        <f t="shared" si="10"/>
        <v>0</v>
      </c>
      <c r="C59" s="37">
        <f t="shared" ref="C59:I59" si="18">IF(C18&gt;0,C18*(1-C39),0)</f>
        <v>0</v>
      </c>
      <c r="D59" s="37">
        <f t="shared" si="18"/>
        <v>0</v>
      </c>
      <c r="E59" s="37">
        <f t="shared" si="18"/>
        <v>0</v>
      </c>
      <c r="F59" s="37">
        <f t="shared" si="18"/>
        <v>0</v>
      </c>
      <c r="G59" s="37">
        <f t="shared" si="18"/>
        <v>0</v>
      </c>
      <c r="H59" s="37">
        <f t="shared" si="18"/>
        <v>0</v>
      </c>
      <c r="I59" s="37">
        <f t="shared" si="18"/>
        <v>0</v>
      </c>
      <c r="J59" s="37">
        <f t="shared" si="8"/>
        <v>0</v>
      </c>
      <c r="M59" s="7"/>
    </row>
    <row r="60" spans="1:17" x14ac:dyDescent="0.25">
      <c r="A60" s="1" t="s">
        <v>85</v>
      </c>
      <c r="B60" s="37">
        <f t="shared" si="10"/>
        <v>0</v>
      </c>
      <c r="C60" s="37">
        <f t="shared" ref="C60:I60" si="19">IF(C19&gt;0,C19*(1-C40),0)</f>
        <v>0</v>
      </c>
      <c r="D60" s="37">
        <f t="shared" si="19"/>
        <v>0</v>
      </c>
      <c r="E60" s="37">
        <f t="shared" si="19"/>
        <v>0</v>
      </c>
      <c r="F60" s="37">
        <f t="shared" si="19"/>
        <v>0</v>
      </c>
      <c r="G60" s="37">
        <f t="shared" si="19"/>
        <v>0</v>
      </c>
      <c r="H60" s="37">
        <f t="shared" si="19"/>
        <v>0</v>
      </c>
      <c r="I60" s="37">
        <f t="shared" si="19"/>
        <v>0</v>
      </c>
      <c r="J60" s="37">
        <f t="shared" si="8"/>
        <v>0</v>
      </c>
      <c r="M60" s="7"/>
    </row>
    <row r="61" spans="1:17" x14ac:dyDescent="0.25">
      <c r="A61" s="1" t="s">
        <v>2</v>
      </c>
      <c r="B61" s="37">
        <f t="shared" si="10"/>
        <v>0</v>
      </c>
      <c r="C61" s="37">
        <f t="shared" ref="C61:I61" si="20">IF(C20&gt;0,C20*(1-C41),0)</f>
        <v>0</v>
      </c>
      <c r="D61" s="37">
        <f t="shared" si="20"/>
        <v>0</v>
      </c>
      <c r="E61" s="37">
        <f t="shared" si="20"/>
        <v>0</v>
      </c>
      <c r="F61" s="37">
        <f t="shared" si="20"/>
        <v>0</v>
      </c>
      <c r="G61" s="37">
        <f t="shared" si="20"/>
        <v>0</v>
      </c>
      <c r="H61" s="37">
        <f t="shared" si="20"/>
        <v>0</v>
      </c>
      <c r="I61" s="37">
        <f t="shared" si="20"/>
        <v>0</v>
      </c>
      <c r="J61" s="37">
        <f t="shared" si="8"/>
        <v>0</v>
      </c>
      <c r="M61" s="7"/>
    </row>
    <row r="62" spans="1:17" x14ac:dyDescent="0.25">
      <c r="A62" s="1" t="s">
        <v>86</v>
      </c>
      <c r="B62" s="37">
        <f t="shared" si="10"/>
        <v>0</v>
      </c>
      <c r="C62" s="37">
        <f t="shared" ref="C62:I62" si="21">IF(C21&gt;0,C21*(1-C42),0)</f>
        <v>0</v>
      </c>
      <c r="D62" s="37">
        <f t="shared" si="21"/>
        <v>0</v>
      </c>
      <c r="E62" s="37">
        <f t="shared" si="21"/>
        <v>0</v>
      </c>
      <c r="F62" s="37">
        <f t="shared" si="21"/>
        <v>0</v>
      </c>
      <c r="G62" s="37">
        <f t="shared" si="21"/>
        <v>0</v>
      </c>
      <c r="H62" s="37">
        <f t="shared" si="21"/>
        <v>0</v>
      </c>
      <c r="I62" s="37">
        <f t="shared" si="21"/>
        <v>0</v>
      </c>
      <c r="J62" s="37">
        <f t="shared" si="8"/>
        <v>0</v>
      </c>
      <c r="M62" s="168" t="s">
        <v>62</v>
      </c>
    </row>
    <row r="63" spans="1:17" x14ac:dyDescent="0.25">
      <c r="A63" s="1" t="s">
        <v>29</v>
      </c>
      <c r="B63" s="37">
        <f t="shared" si="10"/>
        <v>0</v>
      </c>
      <c r="C63" s="37">
        <f t="shared" ref="C63:I63" si="22">IF(C22&gt;0,C22*(1-C43),0)</f>
        <v>0</v>
      </c>
      <c r="D63" s="37">
        <f t="shared" si="22"/>
        <v>0</v>
      </c>
      <c r="E63" s="37">
        <f t="shared" si="22"/>
        <v>0</v>
      </c>
      <c r="F63" s="37">
        <f t="shared" si="22"/>
        <v>0</v>
      </c>
      <c r="G63" s="37">
        <f t="shared" si="22"/>
        <v>0</v>
      </c>
      <c r="H63" s="37">
        <f t="shared" si="22"/>
        <v>0</v>
      </c>
      <c r="I63" s="37">
        <f t="shared" si="22"/>
        <v>0</v>
      </c>
      <c r="J63" s="37">
        <f t="shared" si="8"/>
        <v>0</v>
      </c>
      <c r="M63" s="168"/>
    </row>
    <row r="64" spans="1:17" x14ac:dyDescent="0.25">
      <c r="A64" s="1" t="s">
        <v>52</v>
      </c>
      <c r="B64" s="37">
        <f t="shared" si="10"/>
        <v>0</v>
      </c>
      <c r="C64" s="37">
        <f t="shared" ref="C64:I64" si="23">IF(C23&gt;0,C23*(1-C44),0)</f>
        <v>0</v>
      </c>
      <c r="D64" s="37">
        <f t="shared" si="23"/>
        <v>0</v>
      </c>
      <c r="E64" s="37">
        <f t="shared" si="23"/>
        <v>0</v>
      </c>
      <c r="F64" s="37">
        <f t="shared" si="23"/>
        <v>0</v>
      </c>
      <c r="G64" s="37">
        <f t="shared" si="23"/>
        <v>0</v>
      </c>
      <c r="H64" s="37">
        <f t="shared" si="23"/>
        <v>0</v>
      </c>
      <c r="I64" s="37">
        <f t="shared" si="23"/>
        <v>0</v>
      </c>
      <c r="J64" s="37">
        <f t="shared" si="8"/>
        <v>0</v>
      </c>
      <c r="L64" s="35" t="s">
        <v>41</v>
      </c>
      <c r="M64" s="168" t="s">
        <v>63</v>
      </c>
    </row>
    <row r="65" spans="1:13" x14ac:dyDescent="0.25">
      <c r="A65" s="1" t="s">
        <v>1</v>
      </c>
      <c r="B65" s="38">
        <f t="shared" si="10"/>
        <v>0</v>
      </c>
      <c r="C65" s="38">
        <f t="shared" ref="C65:I65" si="24">IF(C24&gt;0,C24*(1-C45),0)</f>
        <v>0</v>
      </c>
      <c r="D65" s="38">
        <f t="shared" si="24"/>
        <v>0</v>
      </c>
      <c r="E65" s="38">
        <f t="shared" si="24"/>
        <v>0</v>
      </c>
      <c r="F65" s="38">
        <f t="shared" si="24"/>
        <v>0</v>
      </c>
      <c r="G65" s="38">
        <f t="shared" si="24"/>
        <v>0</v>
      </c>
      <c r="H65" s="38">
        <f t="shared" si="24"/>
        <v>0</v>
      </c>
      <c r="I65" s="38">
        <f t="shared" si="24"/>
        <v>0</v>
      </c>
      <c r="J65" s="38">
        <f t="shared" si="8"/>
        <v>0</v>
      </c>
      <c r="L65" s="42" t="s">
        <v>61</v>
      </c>
      <c r="M65" s="169"/>
    </row>
    <row r="66" spans="1:13" x14ac:dyDescent="0.25">
      <c r="A66" s="1"/>
      <c r="B66" s="9">
        <f>SUM(B49:B65)</f>
        <v>0</v>
      </c>
      <c r="C66" s="9">
        <f t="shared" ref="C66:J66" si="25">SUM(C49:C65)</f>
        <v>0</v>
      </c>
      <c r="D66" s="9">
        <f t="shared" si="25"/>
        <v>0</v>
      </c>
      <c r="E66" s="9">
        <f t="shared" si="25"/>
        <v>0</v>
      </c>
      <c r="F66" s="9">
        <f t="shared" si="25"/>
        <v>0</v>
      </c>
      <c r="G66" s="9">
        <f t="shared" si="25"/>
        <v>0</v>
      </c>
      <c r="H66" s="9">
        <f t="shared" si="25"/>
        <v>0</v>
      </c>
      <c r="I66" s="9">
        <f t="shared" si="25"/>
        <v>0</v>
      </c>
      <c r="J66" s="9">
        <f t="shared" si="25"/>
        <v>0</v>
      </c>
      <c r="L66" s="95">
        <v>60000</v>
      </c>
      <c r="M66" s="7">
        <f>J66-L66</f>
        <v>-60000</v>
      </c>
    </row>
    <row r="67" spans="1:13" ht="15.75" thickBot="1" x14ac:dyDescent="0.3">
      <c r="A67" s="1"/>
      <c r="B67" s="9"/>
      <c r="C67" s="9"/>
      <c r="D67" s="9"/>
      <c r="E67" s="9"/>
      <c r="F67" s="9"/>
      <c r="G67" s="9"/>
      <c r="H67" s="9"/>
      <c r="I67" s="9"/>
      <c r="J67" s="9"/>
      <c r="M67" s="7"/>
    </row>
    <row r="68" spans="1:13" ht="15.75" thickBot="1" x14ac:dyDescent="0.3">
      <c r="A68" s="150" t="s">
        <v>64</v>
      </c>
      <c r="B68" s="151"/>
      <c r="C68" s="151"/>
      <c r="D68" s="151"/>
      <c r="E68" s="151"/>
      <c r="F68" s="151"/>
      <c r="G68" s="151"/>
      <c r="H68" s="151"/>
      <c r="I68" s="151"/>
      <c r="J68" s="152"/>
      <c r="M68" s="7"/>
    </row>
    <row r="69" spans="1:13" x14ac:dyDescent="0.25">
      <c r="A69" s="4" t="s">
        <v>16</v>
      </c>
      <c r="B69" s="5" t="s">
        <v>15</v>
      </c>
      <c r="C69" s="5" t="s">
        <v>14</v>
      </c>
      <c r="D69" s="5" t="s">
        <v>13</v>
      </c>
      <c r="E69" s="5" t="s">
        <v>12</v>
      </c>
      <c r="F69" s="5" t="s">
        <v>94</v>
      </c>
      <c r="G69" s="5" t="s">
        <v>95</v>
      </c>
      <c r="H69" s="5" t="s">
        <v>38</v>
      </c>
      <c r="I69" s="5" t="s">
        <v>9</v>
      </c>
      <c r="J69" s="5" t="s">
        <v>0</v>
      </c>
      <c r="M69" s="7"/>
    </row>
    <row r="70" spans="1:13" x14ac:dyDescent="0.25">
      <c r="A70" s="1" t="s">
        <v>49</v>
      </c>
      <c r="B70" s="39">
        <f t="shared" ref="B70:H72" si="26">B8-B49</f>
        <v>0</v>
      </c>
      <c r="C70" s="39">
        <f t="shared" si="26"/>
        <v>0</v>
      </c>
      <c r="D70" s="39">
        <f t="shared" si="26"/>
        <v>0</v>
      </c>
      <c r="E70" s="39">
        <f t="shared" si="26"/>
        <v>0</v>
      </c>
      <c r="F70" s="39">
        <f t="shared" si="26"/>
        <v>0</v>
      </c>
      <c r="G70" s="39">
        <f t="shared" si="26"/>
        <v>0</v>
      </c>
      <c r="H70" s="39">
        <f t="shared" si="26"/>
        <v>0</v>
      </c>
      <c r="I70" s="39">
        <f t="shared" ref="I70" si="27">I8-I49</f>
        <v>0</v>
      </c>
      <c r="J70" s="39">
        <f>SUM(B70:H70)</f>
        <v>0</v>
      </c>
      <c r="M70" s="7"/>
    </row>
    <row r="71" spans="1:13" x14ac:dyDescent="0.25">
      <c r="A71" s="1" t="s">
        <v>8</v>
      </c>
      <c r="B71" s="39">
        <f t="shared" si="26"/>
        <v>0</v>
      </c>
      <c r="C71" s="39">
        <f t="shared" si="26"/>
        <v>0</v>
      </c>
      <c r="D71" s="39">
        <f t="shared" si="26"/>
        <v>0</v>
      </c>
      <c r="E71" s="39">
        <f t="shared" si="26"/>
        <v>0</v>
      </c>
      <c r="F71" s="39">
        <f t="shared" si="26"/>
        <v>0</v>
      </c>
      <c r="G71" s="39">
        <f t="shared" si="26"/>
        <v>0</v>
      </c>
      <c r="H71" s="39">
        <f t="shared" si="26"/>
        <v>0</v>
      </c>
      <c r="I71" s="39">
        <f t="shared" ref="I71" si="28">I9-I50</f>
        <v>0</v>
      </c>
      <c r="J71" s="39">
        <f t="shared" ref="J71:J86" si="29">SUM(B71:H71)</f>
        <v>0</v>
      </c>
      <c r="M71" s="7"/>
    </row>
    <row r="72" spans="1:13" x14ac:dyDescent="0.25">
      <c r="A72" s="1" t="s">
        <v>7</v>
      </c>
      <c r="B72" s="39">
        <f>B10-B51</f>
        <v>0</v>
      </c>
      <c r="C72" s="39">
        <f t="shared" si="26"/>
        <v>0</v>
      </c>
      <c r="D72" s="39">
        <f t="shared" si="26"/>
        <v>0</v>
      </c>
      <c r="E72" s="39">
        <f t="shared" si="26"/>
        <v>0</v>
      </c>
      <c r="F72" s="39">
        <f t="shared" si="26"/>
        <v>0</v>
      </c>
      <c r="G72" s="39">
        <f t="shared" si="26"/>
        <v>0</v>
      </c>
      <c r="H72" s="39">
        <f t="shared" si="26"/>
        <v>0</v>
      </c>
      <c r="I72" s="39">
        <f t="shared" ref="I72" si="30">I10-I51</f>
        <v>0</v>
      </c>
      <c r="J72" s="39">
        <f t="shared" si="29"/>
        <v>0</v>
      </c>
      <c r="M72" s="7"/>
    </row>
    <row r="73" spans="1:13" x14ac:dyDescent="0.25">
      <c r="A73" s="1" t="s">
        <v>42</v>
      </c>
      <c r="B73" s="39">
        <f t="shared" ref="B73:H86" si="31">B11-B52</f>
        <v>0</v>
      </c>
      <c r="C73" s="39">
        <f t="shared" si="31"/>
        <v>0</v>
      </c>
      <c r="D73" s="39">
        <f t="shared" si="31"/>
        <v>0</v>
      </c>
      <c r="E73" s="39">
        <f t="shared" si="31"/>
        <v>0</v>
      </c>
      <c r="F73" s="39">
        <f t="shared" si="31"/>
        <v>0</v>
      </c>
      <c r="G73" s="39">
        <f t="shared" si="31"/>
        <v>0</v>
      </c>
      <c r="H73" s="39">
        <f t="shared" si="31"/>
        <v>0</v>
      </c>
      <c r="I73" s="39">
        <f t="shared" ref="I73" si="32">I11-I52</f>
        <v>0</v>
      </c>
      <c r="J73" s="39">
        <f t="shared" si="29"/>
        <v>0</v>
      </c>
      <c r="M73" s="7"/>
    </row>
    <row r="74" spans="1:13" x14ac:dyDescent="0.25">
      <c r="A74" s="1" t="s">
        <v>6</v>
      </c>
      <c r="B74" s="39">
        <f t="shared" si="31"/>
        <v>0</v>
      </c>
      <c r="C74" s="39">
        <f t="shared" si="31"/>
        <v>0</v>
      </c>
      <c r="D74" s="39">
        <f t="shared" si="31"/>
        <v>0</v>
      </c>
      <c r="E74" s="39">
        <f t="shared" si="31"/>
        <v>0</v>
      </c>
      <c r="F74" s="39">
        <f t="shared" si="31"/>
        <v>0</v>
      </c>
      <c r="G74" s="39">
        <f t="shared" si="31"/>
        <v>0</v>
      </c>
      <c r="H74" s="39">
        <f t="shared" si="31"/>
        <v>0</v>
      </c>
      <c r="I74" s="39">
        <f t="shared" ref="I74" si="33">I12-I53</f>
        <v>0</v>
      </c>
      <c r="J74" s="39">
        <f t="shared" si="29"/>
        <v>0</v>
      </c>
      <c r="M74" s="7"/>
    </row>
    <row r="75" spans="1:13" x14ac:dyDescent="0.25">
      <c r="A75" s="1" t="s">
        <v>50</v>
      </c>
      <c r="B75" s="39">
        <f t="shared" si="31"/>
        <v>0</v>
      </c>
      <c r="C75" s="39">
        <f t="shared" si="31"/>
        <v>0</v>
      </c>
      <c r="D75" s="39">
        <f t="shared" si="31"/>
        <v>0</v>
      </c>
      <c r="E75" s="39">
        <f t="shared" si="31"/>
        <v>0</v>
      </c>
      <c r="F75" s="39">
        <f t="shared" si="31"/>
        <v>0</v>
      </c>
      <c r="G75" s="39">
        <f t="shared" si="31"/>
        <v>0</v>
      </c>
      <c r="H75" s="39">
        <f t="shared" si="31"/>
        <v>0</v>
      </c>
      <c r="I75" s="39">
        <f t="shared" ref="I75" si="34">I13-I54</f>
        <v>0</v>
      </c>
      <c r="J75" s="39">
        <f t="shared" si="29"/>
        <v>0</v>
      </c>
      <c r="M75" s="7"/>
    </row>
    <row r="76" spans="1:13" x14ac:dyDescent="0.25">
      <c r="A76" s="1" t="s">
        <v>89</v>
      </c>
      <c r="B76" s="39">
        <f t="shared" si="31"/>
        <v>0</v>
      </c>
      <c r="C76" s="39">
        <f t="shared" si="31"/>
        <v>0</v>
      </c>
      <c r="D76" s="39">
        <f t="shared" si="31"/>
        <v>0</v>
      </c>
      <c r="E76" s="39">
        <f t="shared" si="31"/>
        <v>0</v>
      </c>
      <c r="F76" s="39">
        <f t="shared" si="31"/>
        <v>0</v>
      </c>
      <c r="G76" s="39">
        <f t="shared" si="31"/>
        <v>0</v>
      </c>
      <c r="H76" s="39">
        <f t="shared" si="31"/>
        <v>0</v>
      </c>
      <c r="I76" s="39">
        <f t="shared" ref="I76" si="35">I14-I55</f>
        <v>0</v>
      </c>
      <c r="J76" s="39">
        <f t="shared" si="29"/>
        <v>0</v>
      </c>
      <c r="M76" s="7"/>
    </row>
    <row r="77" spans="1:13" x14ac:dyDescent="0.25">
      <c r="A77" s="1" t="s">
        <v>5</v>
      </c>
      <c r="B77" s="39">
        <f t="shared" si="31"/>
        <v>0</v>
      </c>
      <c r="C77" s="39">
        <f t="shared" si="31"/>
        <v>0</v>
      </c>
      <c r="D77" s="39">
        <f t="shared" si="31"/>
        <v>0</v>
      </c>
      <c r="E77" s="39">
        <f t="shared" si="31"/>
        <v>0</v>
      </c>
      <c r="F77" s="39">
        <f t="shared" si="31"/>
        <v>0</v>
      </c>
      <c r="G77" s="39">
        <f t="shared" si="31"/>
        <v>0</v>
      </c>
      <c r="H77" s="39">
        <f t="shared" si="31"/>
        <v>0</v>
      </c>
      <c r="I77" s="39">
        <f t="shared" ref="I77" si="36">I15-I56</f>
        <v>0</v>
      </c>
      <c r="J77" s="39">
        <f t="shared" si="29"/>
        <v>0</v>
      </c>
      <c r="M77" s="7"/>
    </row>
    <row r="78" spans="1:13" x14ac:dyDescent="0.25">
      <c r="A78" s="1" t="s">
        <v>84</v>
      </c>
      <c r="B78" s="39">
        <f t="shared" si="31"/>
        <v>0</v>
      </c>
      <c r="C78" s="39">
        <f t="shared" si="31"/>
        <v>0</v>
      </c>
      <c r="D78" s="39">
        <f t="shared" si="31"/>
        <v>0</v>
      </c>
      <c r="E78" s="39">
        <f t="shared" si="31"/>
        <v>0</v>
      </c>
      <c r="F78" s="39">
        <f t="shared" si="31"/>
        <v>0</v>
      </c>
      <c r="G78" s="39">
        <f t="shared" si="31"/>
        <v>0</v>
      </c>
      <c r="H78" s="39">
        <f t="shared" si="31"/>
        <v>0</v>
      </c>
      <c r="I78" s="39">
        <f t="shared" ref="I78" si="37">I16-I57</f>
        <v>0</v>
      </c>
      <c r="J78" s="39">
        <f t="shared" si="29"/>
        <v>0</v>
      </c>
      <c r="M78" s="7"/>
    </row>
    <row r="79" spans="1:13" x14ac:dyDescent="0.25">
      <c r="A79" s="1" t="s">
        <v>4</v>
      </c>
      <c r="B79" s="39">
        <f t="shared" si="31"/>
        <v>0</v>
      </c>
      <c r="C79" s="39">
        <f t="shared" si="31"/>
        <v>0</v>
      </c>
      <c r="D79" s="39">
        <f t="shared" si="31"/>
        <v>0</v>
      </c>
      <c r="E79" s="39">
        <f t="shared" si="31"/>
        <v>0</v>
      </c>
      <c r="F79" s="39">
        <f t="shared" si="31"/>
        <v>0</v>
      </c>
      <c r="G79" s="39">
        <f t="shared" si="31"/>
        <v>0</v>
      </c>
      <c r="H79" s="39">
        <f t="shared" si="31"/>
        <v>0</v>
      </c>
      <c r="I79" s="39">
        <f t="shared" ref="I79" si="38">I17-I58</f>
        <v>0</v>
      </c>
      <c r="J79" s="39">
        <f t="shared" si="29"/>
        <v>0</v>
      </c>
      <c r="M79" s="7"/>
    </row>
    <row r="80" spans="1:13" x14ac:dyDescent="0.25">
      <c r="A80" s="1" t="s">
        <v>51</v>
      </c>
      <c r="B80" s="39">
        <f t="shared" si="31"/>
        <v>0</v>
      </c>
      <c r="C80" s="39">
        <f t="shared" si="31"/>
        <v>0</v>
      </c>
      <c r="D80" s="39">
        <f t="shared" si="31"/>
        <v>0</v>
      </c>
      <c r="E80" s="39">
        <f t="shared" si="31"/>
        <v>0</v>
      </c>
      <c r="F80" s="39">
        <f t="shared" si="31"/>
        <v>0</v>
      </c>
      <c r="G80" s="39">
        <f t="shared" si="31"/>
        <v>0</v>
      </c>
      <c r="H80" s="39">
        <f t="shared" si="31"/>
        <v>0</v>
      </c>
      <c r="I80" s="39">
        <f t="shared" ref="I80" si="39">I18-I59</f>
        <v>0</v>
      </c>
      <c r="J80" s="39">
        <f t="shared" si="29"/>
        <v>0</v>
      </c>
      <c r="M80" s="7"/>
    </row>
    <row r="81" spans="1:13" x14ac:dyDescent="0.25">
      <c r="A81" s="1" t="s">
        <v>85</v>
      </c>
      <c r="B81" s="39">
        <f t="shared" si="31"/>
        <v>0</v>
      </c>
      <c r="C81" s="39">
        <f t="shared" si="31"/>
        <v>0</v>
      </c>
      <c r="D81" s="39">
        <f t="shared" si="31"/>
        <v>0</v>
      </c>
      <c r="E81" s="39">
        <f t="shared" si="31"/>
        <v>0</v>
      </c>
      <c r="F81" s="39">
        <f t="shared" si="31"/>
        <v>0</v>
      </c>
      <c r="G81" s="39">
        <f t="shared" si="31"/>
        <v>0</v>
      </c>
      <c r="H81" s="39">
        <f t="shared" si="31"/>
        <v>0</v>
      </c>
      <c r="I81" s="39">
        <f t="shared" ref="I81" si="40">I19-I60</f>
        <v>0</v>
      </c>
      <c r="J81" s="39">
        <f t="shared" si="29"/>
        <v>0</v>
      </c>
      <c r="M81" s="7"/>
    </row>
    <row r="82" spans="1:13" x14ac:dyDescent="0.25">
      <c r="A82" s="1" t="s">
        <v>2</v>
      </c>
      <c r="B82" s="39">
        <f t="shared" si="31"/>
        <v>0</v>
      </c>
      <c r="C82" s="39">
        <f t="shared" si="31"/>
        <v>0</v>
      </c>
      <c r="D82" s="39">
        <f t="shared" si="31"/>
        <v>0</v>
      </c>
      <c r="E82" s="39">
        <f t="shared" si="31"/>
        <v>0</v>
      </c>
      <c r="F82" s="39">
        <f t="shared" si="31"/>
        <v>0</v>
      </c>
      <c r="G82" s="39">
        <f t="shared" si="31"/>
        <v>0</v>
      </c>
      <c r="H82" s="39">
        <f t="shared" si="31"/>
        <v>0</v>
      </c>
      <c r="I82" s="39">
        <f t="shared" ref="I82" si="41">I20-I61</f>
        <v>0</v>
      </c>
      <c r="J82" s="39">
        <f t="shared" si="29"/>
        <v>0</v>
      </c>
      <c r="M82" s="7"/>
    </row>
    <row r="83" spans="1:13" x14ac:dyDescent="0.25">
      <c r="A83" s="1" t="s">
        <v>86</v>
      </c>
      <c r="B83" s="39">
        <f t="shared" si="31"/>
        <v>0</v>
      </c>
      <c r="C83" s="39">
        <f t="shared" si="31"/>
        <v>0</v>
      </c>
      <c r="D83" s="39">
        <f t="shared" si="31"/>
        <v>0</v>
      </c>
      <c r="E83" s="39">
        <f t="shared" si="31"/>
        <v>0</v>
      </c>
      <c r="F83" s="39">
        <f t="shared" si="31"/>
        <v>0</v>
      </c>
      <c r="G83" s="39">
        <f t="shared" si="31"/>
        <v>0</v>
      </c>
      <c r="H83" s="39">
        <f t="shared" si="31"/>
        <v>0</v>
      </c>
      <c r="I83" s="39">
        <f t="shared" ref="I83" si="42">I21-I62</f>
        <v>0</v>
      </c>
      <c r="J83" s="39">
        <f t="shared" si="29"/>
        <v>0</v>
      </c>
      <c r="M83" s="7"/>
    </row>
    <row r="84" spans="1:13" x14ac:dyDescent="0.25">
      <c r="A84" s="1" t="s">
        <v>29</v>
      </c>
      <c r="B84" s="39">
        <f t="shared" si="31"/>
        <v>0</v>
      </c>
      <c r="C84" s="39">
        <f t="shared" si="31"/>
        <v>0</v>
      </c>
      <c r="D84" s="39">
        <f t="shared" si="31"/>
        <v>0</v>
      </c>
      <c r="E84" s="39">
        <f t="shared" si="31"/>
        <v>0</v>
      </c>
      <c r="F84" s="39">
        <f t="shared" si="31"/>
        <v>0</v>
      </c>
      <c r="G84" s="39">
        <f t="shared" si="31"/>
        <v>0</v>
      </c>
      <c r="H84" s="39">
        <f t="shared" si="31"/>
        <v>0</v>
      </c>
      <c r="I84" s="39">
        <f t="shared" ref="I84" si="43">I22-I63</f>
        <v>0</v>
      </c>
      <c r="J84" s="39">
        <f t="shared" si="29"/>
        <v>0</v>
      </c>
      <c r="M84" s="7"/>
    </row>
    <row r="85" spans="1:13" x14ac:dyDescent="0.25">
      <c r="A85" s="1" t="s">
        <v>52</v>
      </c>
      <c r="B85" s="39">
        <f t="shared" si="31"/>
        <v>0</v>
      </c>
      <c r="C85" s="39">
        <f t="shared" si="31"/>
        <v>0</v>
      </c>
      <c r="D85" s="39">
        <f t="shared" si="31"/>
        <v>0</v>
      </c>
      <c r="E85" s="39">
        <f t="shared" si="31"/>
        <v>0</v>
      </c>
      <c r="F85" s="39">
        <f t="shared" si="31"/>
        <v>0</v>
      </c>
      <c r="G85" s="39">
        <f t="shared" si="31"/>
        <v>0</v>
      </c>
      <c r="H85" s="39">
        <f t="shared" si="31"/>
        <v>0</v>
      </c>
      <c r="I85" s="39">
        <f t="shared" ref="I85" si="44">I23-I64</f>
        <v>0</v>
      </c>
      <c r="J85" s="39">
        <f t="shared" si="29"/>
        <v>0</v>
      </c>
      <c r="M85" s="7"/>
    </row>
    <row r="86" spans="1:13" x14ac:dyDescent="0.25">
      <c r="A86" s="1" t="s">
        <v>1</v>
      </c>
      <c r="B86" s="40">
        <f t="shared" si="31"/>
        <v>0</v>
      </c>
      <c r="C86" s="40">
        <f t="shared" si="31"/>
        <v>0</v>
      </c>
      <c r="D86" s="40">
        <f t="shared" si="31"/>
        <v>0</v>
      </c>
      <c r="E86" s="40">
        <f t="shared" si="31"/>
        <v>0</v>
      </c>
      <c r="F86" s="40">
        <f t="shared" si="31"/>
        <v>0</v>
      </c>
      <c r="G86" s="40">
        <f t="shared" si="31"/>
        <v>0</v>
      </c>
      <c r="H86" s="40">
        <f t="shared" si="31"/>
        <v>0</v>
      </c>
      <c r="I86" s="40">
        <f t="shared" ref="I86" si="45">I24-I65</f>
        <v>0</v>
      </c>
      <c r="J86" s="40">
        <f t="shared" si="29"/>
        <v>0</v>
      </c>
      <c r="M86" s="7"/>
    </row>
    <row r="87" spans="1:13" x14ac:dyDescent="0.25">
      <c r="A87" s="4"/>
      <c r="B87" s="39">
        <f>SUM(B70:B86)</f>
        <v>0</v>
      </c>
      <c r="C87" s="39">
        <f t="shared" ref="C87:J87" si="46">SUM(C70:C86)</f>
        <v>0</v>
      </c>
      <c r="D87" s="39">
        <f t="shared" si="46"/>
        <v>0</v>
      </c>
      <c r="E87" s="39">
        <f t="shared" si="46"/>
        <v>0</v>
      </c>
      <c r="F87" s="39">
        <f t="shared" si="46"/>
        <v>0</v>
      </c>
      <c r="G87" s="39">
        <f t="shared" si="46"/>
        <v>0</v>
      </c>
      <c r="H87" s="39">
        <f t="shared" si="46"/>
        <v>0</v>
      </c>
      <c r="I87" s="39">
        <f t="shared" si="46"/>
        <v>0</v>
      </c>
      <c r="J87" s="39">
        <f t="shared" si="46"/>
        <v>0</v>
      </c>
      <c r="M87" s="7"/>
    </row>
    <row r="88" spans="1:13" ht="15.75" thickBot="1" x14ac:dyDescent="0.3">
      <c r="A88" s="4"/>
      <c r="B88" s="39"/>
      <c r="C88" s="39"/>
      <c r="D88" s="39"/>
      <c r="E88" s="39"/>
      <c r="F88" s="39"/>
      <c r="G88" s="39"/>
      <c r="H88" s="39"/>
      <c r="I88" s="39"/>
      <c r="J88" s="39"/>
      <c r="M88" s="7"/>
    </row>
    <row r="89" spans="1:13" ht="15.75" thickBot="1" x14ac:dyDescent="0.3">
      <c r="A89" s="153" t="s">
        <v>59</v>
      </c>
      <c r="B89" s="154"/>
      <c r="C89" s="154"/>
      <c r="D89" s="154"/>
      <c r="E89" s="154"/>
      <c r="F89" s="154"/>
      <c r="G89" s="154"/>
      <c r="H89" s="154"/>
      <c r="I89" s="154"/>
      <c r="J89" s="155"/>
      <c r="M89" s="7"/>
    </row>
    <row r="90" spans="1:13" x14ac:dyDescent="0.25">
      <c r="A90" s="4" t="s">
        <v>16</v>
      </c>
      <c r="B90" s="5" t="s">
        <v>15</v>
      </c>
      <c r="C90" s="5" t="s">
        <v>14</v>
      </c>
      <c r="D90" s="5" t="s">
        <v>13</v>
      </c>
      <c r="E90" s="5" t="s">
        <v>12</v>
      </c>
      <c r="F90" s="5" t="s">
        <v>94</v>
      </c>
      <c r="G90" s="5" t="s">
        <v>95</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50" t="s">
        <v>60</v>
      </c>
      <c r="B109" s="151"/>
      <c r="C109" s="151"/>
      <c r="D109" s="151"/>
      <c r="E109" s="151"/>
      <c r="F109" s="151"/>
      <c r="G109" s="151"/>
      <c r="H109" s="151"/>
      <c r="I109" s="151"/>
      <c r="J109" s="152"/>
      <c r="M109" s="7"/>
    </row>
    <row r="110" spans="1:13" x14ac:dyDescent="0.25">
      <c r="A110" s="4" t="s">
        <v>16</v>
      </c>
      <c r="B110" s="5" t="s">
        <v>15</v>
      </c>
      <c r="C110" s="5" t="s">
        <v>14</v>
      </c>
      <c r="D110" s="5" t="s">
        <v>13</v>
      </c>
      <c r="E110" s="5" t="s">
        <v>12</v>
      </c>
      <c r="F110" s="5" t="s">
        <v>94</v>
      </c>
      <c r="G110" s="5" t="s">
        <v>95</v>
      </c>
      <c r="H110" s="5" t="s">
        <v>38</v>
      </c>
      <c r="I110" s="5" t="s">
        <v>9</v>
      </c>
      <c r="J110" s="5" t="s">
        <v>0</v>
      </c>
      <c r="M110" s="7"/>
    </row>
    <row r="111" spans="1:13" x14ac:dyDescent="0.25">
      <c r="A111" s="1" t="s">
        <v>49</v>
      </c>
      <c r="B111" s="66">
        <f>IF(B70&gt;0,B70*B91,0)</f>
        <v>0</v>
      </c>
      <c r="C111" s="66">
        <f t="shared" ref="C111:H113" si="47">IF(C70&gt;0,C70*C91,0)</f>
        <v>0</v>
      </c>
      <c r="D111" s="66">
        <f t="shared" si="47"/>
        <v>0</v>
      </c>
      <c r="E111" s="66">
        <f t="shared" si="47"/>
        <v>0</v>
      </c>
      <c r="F111" s="66">
        <f t="shared" si="47"/>
        <v>0</v>
      </c>
      <c r="G111" s="66">
        <f t="shared" si="47"/>
        <v>0</v>
      </c>
      <c r="H111" s="66">
        <f t="shared" si="47"/>
        <v>0</v>
      </c>
      <c r="I111" s="66">
        <f t="shared" ref="I111" si="48">IF(I70&gt;0,I70*I91,0)</f>
        <v>0</v>
      </c>
      <c r="J111" s="39">
        <f>SUM(B111:H111)</f>
        <v>0</v>
      </c>
      <c r="M111" s="7"/>
    </row>
    <row r="112" spans="1:13" x14ac:dyDescent="0.25">
      <c r="A112" s="1" t="s">
        <v>8</v>
      </c>
      <c r="B112" s="39">
        <f>IF(B71&gt;0,B71*B92,0)</f>
        <v>0</v>
      </c>
      <c r="C112" s="39">
        <f t="shared" si="47"/>
        <v>0</v>
      </c>
      <c r="D112" s="39">
        <f t="shared" si="47"/>
        <v>0</v>
      </c>
      <c r="E112" s="39">
        <f t="shared" si="47"/>
        <v>0</v>
      </c>
      <c r="F112" s="39">
        <f t="shared" si="47"/>
        <v>0</v>
      </c>
      <c r="G112" s="39">
        <f t="shared" si="47"/>
        <v>0</v>
      </c>
      <c r="H112" s="39">
        <f t="shared" si="47"/>
        <v>0</v>
      </c>
      <c r="I112" s="39">
        <f t="shared" ref="I112" si="49">IF(I71&gt;0,I71*I92,0)</f>
        <v>0</v>
      </c>
      <c r="J112" s="39">
        <f t="shared" ref="J112:J127" si="50">SUM(B112:H112)</f>
        <v>0</v>
      </c>
      <c r="M112" s="7"/>
    </row>
    <row r="113" spans="1:13" x14ac:dyDescent="0.25">
      <c r="A113" s="1" t="s">
        <v>7</v>
      </c>
      <c r="B113" s="39">
        <f>IF(B72&gt;0,B72*B93,0)</f>
        <v>0</v>
      </c>
      <c r="C113" s="39">
        <f t="shared" si="47"/>
        <v>0</v>
      </c>
      <c r="D113" s="39">
        <f t="shared" si="47"/>
        <v>0</v>
      </c>
      <c r="E113" s="39">
        <f t="shared" si="47"/>
        <v>0</v>
      </c>
      <c r="F113" s="39">
        <f t="shared" si="47"/>
        <v>0</v>
      </c>
      <c r="G113" s="39">
        <f t="shared" si="47"/>
        <v>0</v>
      </c>
      <c r="H113" s="39">
        <f t="shared" si="47"/>
        <v>0</v>
      </c>
      <c r="I113" s="39">
        <f t="shared" ref="I113" si="51">IF(I72&gt;0,I72*I93,0)</f>
        <v>0</v>
      </c>
      <c r="J113" s="39">
        <f t="shared" si="50"/>
        <v>0</v>
      </c>
      <c r="M113" s="7"/>
    </row>
    <row r="114" spans="1:13" x14ac:dyDescent="0.25">
      <c r="A114" s="1" t="s">
        <v>42</v>
      </c>
      <c r="B114" s="39">
        <f t="shared" ref="B114:H127" si="52">IF(B73&gt;0,B73*B94,0)</f>
        <v>0</v>
      </c>
      <c r="C114" s="39">
        <f t="shared" si="52"/>
        <v>0</v>
      </c>
      <c r="D114" s="39">
        <f t="shared" si="52"/>
        <v>0</v>
      </c>
      <c r="E114" s="39">
        <f t="shared" si="52"/>
        <v>0</v>
      </c>
      <c r="F114" s="39">
        <f t="shared" si="52"/>
        <v>0</v>
      </c>
      <c r="G114" s="39">
        <f t="shared" si="52"/>
        <v>0</v>
      </c>
      <c r="H114" s="39">
        <f t="shared" si="52"/>
        <v>0</v>
      </c>
      <c r="I114" s="39">
        <f t="shared" ref="I114" si="53">IF(I73&gt;0,I73*I94,0)</f>
        <v>0</v>
      </c>
      <c r="J114" s="39">
        <f t="shared" si="50"/>
        <v>0</v>
      </c>
      <c r="M114" s="7"/>
    </row>
    <row r="115" spans="1:13" x14ac:dyDescent="0.25">
      <c r="A115" s="1" t="s">
        <v>6</v>
      </c>
      <c r="B115" s="39">
        <f t="shared" si="52"/>
        <v>0</v>
      </c>
      <c r="C115" s="39">
        <f t="shared" si="52"/>
        <v>0</v>
      </c>
      <c r="D115" s="39">
        <f t="shared" si="52"/>
        <v>0</v>
      </c>
      <c r="E115" s="39">
        <f t="shared" si="52"/>
        <v>0</v>
      </c>
      <c r="F115" s="39">
        <f t="shared" si="52"/>
        <v>0</v>
      </c>
      <c r="G115" s="39">
        <f t="shared" si="52"/>
        <v>0</v>
      </c>
      <c r="H115" s="39">
        <f t="shared" si="52"/>
        <v>0</v>
      </c>
      <c r="I115" s="39">
        <f t="shared" ref="I115" si="54">IF(I74&gt;0,I74*I95,0)</f>
        <v>0</v>
      </c>
      <c r="J115" s="39">
        <f t="shared" si="50"/>
        <v>0</v>
      </c>
      <c r="M115" s="7"/>
    </row>
    <row r="116" spans="1:13" x14ac:dyDescent="0.25">
      <c r="A116" s="1" t="s">
        <v>50</v>
      </c>
      <c r="B116" s="39">
        <f t="shared" si="52"/>
        <v>0</v>
      </c>
      <c r="C116" s="39">
        <f t="shared" si="52"/>
        <v>0</v>
      </c>
      <c r="D116" s="39">
        <f t="shared" si="52"/>
        <v>0</v>
      </c>
      <c r="E116" s="39">
        <f t="shared" si="52"/>
        <v>0</v>
      </c>
      <c r="F116" s="39">
        <f t="shared" si="52"/>
        <v>0</v>
      </c>
      <c r="G116" s="39">
        <f t="shared" si="52"/>
        <v>0</v>
      </c>
      <c r="H116" s="39">
        <f t="shared" si="52"/>
        <v>0</v>
      </c>
      <c r="I116" s="39">
        <f t="shared" ref="I116" si="55">IF(I75&gt;0,I75*I96,0)</f>
        <v>0</v>
      </c>
      <c r="J116" s="39">
        <f t="shared" si="50"/>
        <v>0</v>
      </c>
      <c r="M116" s="7"/>
    </row>
    <row r="117" spans="1:13" x14ac:dyDescent="0.25">
      <c r="A117" s="1" t="s">
        <v>89</v>
      </c>
      <c r="B117" s="39">
        <f t="shared" si="52"/>
        <v>0</v>
      </c>
      <c r="C117" s="39">
        <f t="shared" si="52"/>
        <v>0</v>
      </c>
      <c r="D117" s="39">
        <f t="shared" si="52"/>
        <v>0</v>
      </c>
      <c r="E117" s="39">
        <f t="shared" si="52"/>
        <v>0</v>
      </c>
      <c r="F117" s="39">
        <f t="shared" si="52"/>
        <v>0</v>
      </c>
      <c r="G117" s="39">
        <f t="shared" si="52"/>
        <v>0</v>
      </c>
      <c r="H117" s="39">
        <f t="shared" si="52"/>
        <v>0</v>
      </c>
      <c r="I117" s="39">
        <f t="shared" ref="I117" si="56">IF(I76&gt;0,I76*I97,0)</f>
        <v>0</v>
      </c>
      <c r="J117" s="39">
        <f t="shared" si="50"/>
        <v>0</v>
      </c>
      <c r="M117" s="7"/>
    </row>
    <row r="118" spans="1:13" x14ac:dyDescent="0.25">
      <c r="A118" s="1" t="s">
        <v>5</v>
      </c>
      <c r="B118" s="39">
        <f t="shared" si="52"/>
        <v>0</v>
      </c>
      <c r="C118" s="39">
        <f t="shared" si="52"/>
        <v>0</v>
      </c>
      <c r="D118" s="39">
        <f t="shared" si="52"/>
        <v>0</v>
      </c>
      <c r="E118" s="39">
        <f t="shared" si="52"/>
        <v>0</v>
      </c>
      <c r="F118" s="39">
        <f t="shared" si="52"/>
        <v>0</v>
      </c>
      <c r="G118" s="39">
        <f t="shared" si="52"/>
        <v>0</v>
      </c>
      <c r="H118" s="39">
        <f t="shared" si="52"/>
        <v>0</v>
      </c>
      <c r="I118" s="39">
        <f t="shared" ref="I118" si="57">IF(I77&gt;0,I77*I98,0)</f>
        <v>0</v>
      </c>
      <c r="J118" s="39">
        <f t="shared" si="50"/>
        <v>0</v>
      </c>
      <c r="M118" s="7"/>
    </row>
    <row r="119" spans="1:13" x14ac:dyDescent="0.25">
      <c r="A119" s="1" t="s">
        <v>84</v>
      </c>
      <c r="B119" s="39">
        <f t="shared" si="52"/>
        <v>0</v>
      </c>
      <c r="C119" s="39">
        <f t="shared" si="52"/>
        <v>0</v>
      </c>
      <c r="D119" s="39">
        <f t="shared" si="52"/>
        <v>0</v>
      </c>
      <c r="E119" s="39">
        <f t="shared" si="52"/>
        <v>0</v>
      </c>
      <c r="F119" s="39">
        <f t="shared" si="52"/>
        <v>0</v>
      </c>
      <c r="G119" s="39">
        <f t="shared" si="52"/>
        <v>0</v>
      </c>
      <c r="H119" s="39">
        <f t="shared" si="52"/>
        <v>0</v>
      </c>
      <c r="I119" s="39">
        <f t="shared" ref="I119" si="58">IF(I78&gt;0,I78*I99,0)</f>
        <v>0</v>
      </c>
      <c r="J119" s="39">
        <f t="shared" si="50"/>
        <v>0</v>
      </c>
      <c r="M119" s="7"/>
    </row>
    <row r="120" spans="1:13" x14ac:dyDescent="0.25">
      <c r="A120" s="1" t="s">
        <v>4</v>
      </c>
      <c r="B120" s="39">
        <f t="shared" si="52"/>
        <v>0</v>
      </c>
      <c r="C120" s="39">
        <f t="shared" si="52"/>
        <v>0</v>
      </c>
      <c r="D120" s="39">
        <f t="shared" si="52"/>
        <v>0</v>
      </c>
      <c r="E120" s="39">
        <f t="shared" si="52"/>
        <v>0</v>
      </c>
      <c r="F120" s="39">
        <f t="shared" si="52"/>
        <v>0</v>
      </c>
      <c r="G120" s="39">
        <f t="shared" si="52"/>
        <v>0</v>
      </c>
      <c r="H120" s="39">
        <f t="shared" si="52"/>
        <v>0</v>
      </c>
      <c r="I120" s="39">
        <f t="shared" ref="I120" si="59">IF(I79&gt;0,I79*I100,0)</f>
        <v>0</v>
      </c>
      <c r="J120" s="39">
        <f t="shared" si="50"/>
        <v>0</v>
      </c>
      <c r="M120" s="7"/>
    </row>
    <row r="121" spans="1:13" x14ac:dyDescent="0.25">
      <c r="A121" s="1" t="s">
        <v>51</v>
      </c>
      <c r="B121" s="39">
        <f t="shared" si="52"/>
        <v>0</v>
      </c>
      <c r="C121" s="39">
        <f t="shared" si="52"/>
        <v>0</v>
      </c>
      <c r="D121" s="39">
        <f t="shared" si="52"/>
        <v>0</v>
      </c>
      <c r="E121" s="39">
        <f t="shared" si="52"/>
        <v>0</v>
      </c>
      <c r="F121" s="39">
        <f t="shared" si="52"/>
        <v>0</v>
      </c>
      <c r="G121" s="39">
        <f t="shared" si="52"/>
        <v>0</v>
      </c>
      <c r="H121" s="39">
        <f t="shared" si="52"/>
        <v>0</v>
      </c>
      <c r="I121" s="39">
        <f t="shared" ref="I121" si="60">IF(I80&gt;0,I80*I101,0)</f>
        <v>0</v>
      </c>
      <c r="J121" s="39">
        <f t="shared" si="50"/>
        <v>0</v>
      </c>
      <c r="M121" s="7"/>
    </row>
    <row r="122" spans="1:13" x14ac:dyDescent="0.25">
      <c r="A122" s="1" t="s">
        <v>85</v>
      </c>
      <c r="B122" s="39">
        <f t="shared" si="52"/>
        <v>0</v>
      </c>
      <c r="C122" s="39">
        <f t="shared" si="52"/>
        <v>0</v>
      </c>
      <c r="D122" s="39">
        <f t="shared" si="52"/>
        <v>0</v>
      </c>
      <c r="E122" s="39">
        <f t="shared" si="52"/>
        <v>0</v>
      </c>
      <c r="F122" s="39">
        <f t="shared" si="52"/>
        <v>0</v>
      </c>
      <c r="G122" s="39">
        <f t="shared" si="52"/>
        <v>0</v>
      </c>
      <c r="H122" s="39">
        <f t="shared" si="52"/>
        <v>0</v>
      </c>
      <c r="I122" s="39">
        <f t="shared" ref="I122" si="61">IF(I81&gt;0,I81*I102,0)</f>
        <v>0</v>
      </c>
      <c r="J122" s="39">
        <f t="shared" si="50"/>
        <v>0</v>
      </c>
      <c r="M122" s="7"/>
    </row>
    <row r="123" spans="1:13" x14ac:dyDescent="0.25">
      <c r="A123" s="1" t="s">
        <v>2</v>
      </c>
      <c r="B123" s="39">
        <f t="shared" si="52"/>
        <v>0</v>
      </c>
      <c r="C123" s="39">
        <f t="shared" si="52"/>
        <v>0</v>
      </c>
      <c r="D123" s="39">
        <f t="shared" si="52"/>
        <v>0</v>
      </c>
      <c r="E123" s="39">
        <f t="shared" si="52"/>
        <v>0</v>
      </c>
      <c r="F123" s="39">
        <f t="shared" si="52"/>
        <v>0</v>
      </c>
      <c r="G123" s="39">
        <f t="shared" si="52"/>
        <v>0</v>
      </c>
      <c r="H123" s="39">
        <f t="shared" si="52"/>
        <v>0</v>
      </c>
      <c r="I123" s="39">
        <f t="shared" ref="I123" si="62">IF(I82&gt;0,I82*I103,0)</f>
        <v>0</v>
      </c>
      <c r="J123" s="39">
        <f t="shared" si="50"/>
        <v>0</v>
      </c>
      <c r="M123" s="7"/>
    </row>
    <row r="124" spans="1:13" x14ac:dyDescent="0.25">
      <c r="A124" s="1" t="s">
        <v>86</v>
      </c>
      <c r="B124" s="39">
        <f t="shared" si="52"/>
        <v>0</v>
      </c>
      <c r="C124" s="39">
        <f t="shared" si="52"/>
        <v>0</v>
      </c>
      <c r="D124" s="39">
        <f t="shared" si="52"/>
        <v>0</v>
      </c>
      <c r="E124" s="39">
        <f t="shared" si="52"/>
        <v>0</v>
      </c>
      <c r="F124" s="39">
        <f t="shared" si="52"/>
        <v>0</v>
      </c>
      <c r="G124" s="39">
        <f t="shared" si="52"/>
        <v>0</v>
      </c>
      <c r="H124" s="39">
        <f t="shared" si="52"/>
        <v>0</v>
      </c>
      <c r="I124" s="39">
        <f t="shared" ref="I124" si="63">IF(I83&gt;0,I83*I104,0)</f>
        <v>0</v>
      </c>
      <c r="J124" s="39">
        <f t="shared" si="50"/>
        <v>0</v>
      </c>
      <c r="M124" s="168" t="s">
        <v>62</v>
      </c>
    </row>
    <row r="125" spans="1:13" x14ac:dyDescent="0.25">
      <c r="A125" s="1" t="s">
        <v>29</v>
      </c>
      <c r="B125" s="39">
        <f t="shared" si="52"/>
        <v>0</v>
      </c>
      <c r="C125" s="39">
        <f t="shared" si="52"/>
        <v>0</v>
      </c>
      <c r="D125" s="39">
        <f t="shared" si="52"/>
        <v>0</v>
      </c>
      <c r="E125" s="39">
        <f t="shared" si="52"/>
        <v>0</v>
      </c>
      <c r="F125" s="39">
        <f t="shared" si="52"/>
        <v>0</v>
      </c>
      <c r="G125" s="39">
        <f t="shared" si="52"/>
        <v>0</v>
      </c>
      <c r="H125" s="39">
        <f t="shared" si="52"/>
        <v>0</v>
      </c>
      <c r="I125" s="39">
        <f t="shared" ref="I125" si="64">IF(I84&gt;0,I84*I105,0)</f>
        <v>0</v>
      </c>
      <c r="J125" s="39">
        <f t="shared" si="50"/>
        <v>0</v>
      </c>
      <c r="M125" s="168"/>
    </row>
    <row r="126" spans="1:13" x14ac:dyDescent="0.25">
      <c r="A126" s="1" t="s">
        <v>52</v>
      </c>
      <c r="B126" s="39">
        <f t="shared" si="52"/>
        <v>0</v>
      </c>
      <c r="C126" s="39">
        <f t="shared" si="52"/>
        <v>0</v>
      </c>
      <c r="D126" s="39">
        <f t="shared" si="52"/>
        <v>0</v>
      </c>
      <c r="E126" s="39">
        <f t="shared" si="52"/>
        <v>0</v>
      </c>
      <c r="F126" s="39">
        <f t="shared" si="52"/>
        <v>0</v>
      </c>
      <c r="G126" s="39">
        <f t="shared" si="52"/>
        <v>0</v>
      </c>
      <c r="H126" s="39">
        <f t="shared" si="52"/>
        <v>0</v>
      </c>
      <c r="I126" s="39">
        <f t="shared" ref="I126" si="65">IF(I85&gt;0,I85*I106,0)</f>
        <v>0</v>
      </c>
      <c r="J126" s="39">
        <f t="shared" si="50"/>
        <v>0</v>
      </c>
      <c r="L126" s="35" t="s">
        <v>152</v>
      </c>
      <c r="M126" s="168" t="s">
        <v>63</v>
      </c>
    </row>
    <row r="127" spans="1:13" x14ac:dyDescent="0.25">
      <c r="A127" s="1" t="s">
        <v>1</v>
      </c>
      <c r="B127" s="40">
        <f t="shared" si="52"/>
        <v>0</v>
      </c>
      <c r="C127" s="40">
        <f t="shared" si="52"/>
        <v>0</v>
      </c>
      <c r="D127" s="40">
        <f t="shared" si="52"/>
        <v>0</v>
      </c>
      <c r="E127" s="40">
        <f t="shared" si="52"/>
        <v>0</v>
      </c>
      <c r="F127" s="40">
        <f t="shared" si="52"/>
        <v>0</v>
      </c>
      <c r="G127" s="40">
        <f t="shared" si="52"/>
        <v>0</v>
      </c>
      <c r="H127" s="40">
        <f t="shared" si="52"/>
        <v>0</v>
      </c>
      <c r="I127" s="40">
        <f t="shared" ref="I127" si="66">IF(I86&gt;0,I86*I107,0)</f>
        <v>0</v>
      </c>
      <c r="J127" s="40">
        <f t="shared" si="50"/>
        <v>0</v>
      </c>
      <c r="L127" s="42" t="s">
        <v>61</v>
      </c>
      <c r="M127" s="169"/>
    </row>
    <row r="128" spans="1:13" x14ac:dyDescent="0.25">
      <c r="A128" s="4"/>
      <c r="B128" s="39">
        <f>SUM(B111:B127)</f>
        <v>0</v>
      </c>
      <c r="C128" s="39">
        <f t="shared" ref="C128:J128" si="67">SUM(C111:C127)</f>
        <v>0</v>
      </c>
      <c r="D128" s="39">
        <f t="shared" si="67"/>
        <v>0</v>
      </c>
      <c r="E128" s="39">
        <f t="shared" si="67"/>
        <v>0</v>
      </c>
      <c r="F128" s="39">
        <f t="shared" si="67"/>
        <v>0</v>
      </c>
      <c r="G128" s="39">
        <f t="shared" si="67"/>
        <v>0</v>
      </c>
      <c r="H128" s="39">
        <f t="shared" si="67"/>
        <v>0</v>
      </c>
      <c r="I128" s="39">
        <f t="shared" si="67"/>
        <v>0</v>
      </c>
      <c r="J128" s="39">
        <f t="shared" si="67"/>
        <v>0</v>
      </c>
      <c r="L128" s="95">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50" t="s">
        <v>30</v>
      </c>
      <c r="B130" s="151"/>
      <c r="C130" s="151"/>
      <c r="D130" s="151"/>
      <c r="E130" s="151"/>
      <c r="F130" s="151"/>
      <c r="G130" s="151"/>
      <c r="H130" s="151"/>
      <c r="I130" s="151"/>
      <c r="J130" s="152"/>
      <c r="M130" s="7"/>
    </row>
    <row r="131" spans="1:13" x14ac:dyDescent="0.25">
      <c r="A131" s="4" t="s">
        <v>16</v>
      </c>
      <c r="B131" s="5" t="s">
        <v>15</v>
      </c>
      <c r="C131" s="5" t="s">
        <v>14</v>
      </c>
      <c r="D131" s="5" t="s">
        <v>13</v>
      </c>
      <c r="E131" s="5" t="s">
        <v>12</v>
      </c>
      <c r="F131" s="5" t="s">
        <v>94</v>
      </c>
      <c r="G131" s="5" t="s">
        <v>95</v>
      </c>
      <c r="H131" s="5" t="s">
        <v>38</v>
      </c>
      <c r="I131" s="5" t="s">
        <v>9</v>
      </c>
      <c r="J131" s="5" t="s">
        <v>0</v>
      </c>
      <c r="M131" s="7"/>
    </row>
    <row r="132" spans="1:13" x14ac:dyDescent="0.25">
      <c r="A132" s="1" t="s">
        <v>49</v>
      </c>
      <c r="B132" s="39">
        <f>B70-B111</f>
        <v>0</v>
      </c>
      <c r="C132" s="39">
        <f t="shared" ref="C132:H134" si="68">C70-C111</f>
        <v>0</v>
      </c>
      <c r="D132" s="39">
        <f t="shared" si="68"/>
        <v>0</v>
      </c>
      <c r="E132" s="39">
        <f t="shared" si="68"/>
        <v>0</v>
      </c>
      <c r="F132" s="39">
        <f t="shared" si="68"/>
        <v>0</v>
      </c>
      <c r="G132" s="39">
        <f t="shared" si="68"/>
        <v>0</v>
      </c>
      <c r="H132" s="39">
        <f t="shared" si="68"/>
        <v>0</v>
      </c>
      <c r="I132" s="39">
        <f t="shared" ref="I132" si="69">I70-I111</f>
        <v>0</v>
      </c>
      <c r="J132" s="39">
        <f>SUM(B132:H132)</f>
        <v>0</v>
      </c>
      <c r="M132" s="7"/>
    </row>
    <row r="133" spans="1:13" x14ac:dyDescent="0.25">
      <c r="A133" s="1" t="s">
        <v>8</v>
      </c>
      <c r="B133" s="39">
        <f>B71-B112</f>
        <v>0</v>
      </c>
      <c r="C133" s="39">
        <f t="shared" si="68"/>
        <v>0</v>
      </c>
      <c r="D133" s="39">
        <f t="shared" si="68"/>
        <v>0</v>
      </c>
      <c r="E133" s="39">
        <f t="shared" si="68"/>
        <v>0</v>
      </c>
      <c r="F133" s="39">
        <f t="shared" si="68"/>
        <v>0</v>
      </c>
      <c r="G133" s="39">
        <f t="shared" si="68"/>
        <v>0</v>
      </c>
      <c r="H133" s="39">
        <f t="shared" si="68"/>
        <v>0</v>
      </c>
      <c r="I133" s="39">
        <f t="shared" ref="I133" si="70">I71-I112</f>
        <v>0</v>
      </c>
      <c r="J133" s="39">
        <f t="shared" ref="J133:J148" si="71">SUM(B133:H133)</f>
        <v>0</v>
      </c>
      <c r="M133" s="7"/>
    </row>
    <row r="134" spans="1:13" x14ac:dyDescent="0.25">
      <c r="A134" s="1" t="s">
        <v>7</v>
      </c>
      <c r="B134" s="39">
        <f>B72-B113</f>
        <v>0</v>
      </c>
      <c r="C134" s="39">
        <f t="shared" si="68"/>
        <v>0</v>
      </c>
      <c r="D134" s="39">
        <f t="shared" si="68"/>
        <v>0</v>
      </c>
      <c r="E134" s="39">
        <f t="shared" si="68"/>
        <v>0</v>
      </c>
      <c r="F134" s="39">
        <f t="shared" si="68"/>
        <v>0</v>
      </c>
      <c r="G134" s="39">
        <f t="shared" si="68"/>
        <v>0</v>
      </c>
      <c r="H134" s="39">
        <f t="shared" si="68"/>
        <v>0</v>
      </c>
      <c r="I134" s="39">
        <f t="shared" ref="I134" si="72">I72-I113</f>
        <v>0</v>
      </c>
      <c r="J134" s="39">
        <f t="shared" si="71"/>
        <v>0</v>
      </c>
      <c r="M134" s="7"/>
    </row>
    <row r="135" spans="1:13" x14ac:dyDescent="0.25">
      <c r="A135" s="1" t="s">
        <v>42</v>
      </c>
      <c r="B135" s="39">
        <f t="shared" ref="B135:H148" si="73">B73-B114</f>
        <v>0</v>
      </c>
      <c r="C135" s="39">
        <f t="shared" si="73"/>
        <v>0</v>
      </c>
      <c r="D135" s="39">
        <f t="shared" si="73"/>
        <v>0</v>
      </c>
      <c r="E135" s="39">
        <f t="shared" si="73"/>
        <v>0</v>
      </c>
      <c r="F135" s="39">
        <f t="shared" si="73"/>
        <v>0</v>
      </c>
      <c r="G135" s="39">
        <f t="shared" si="73"/>
        <v>0</v>
      </c>
      <c r="H135" s="39">
        <f t="shared" si="73"/>
        <v>0</v>
      </c>
      <c r="I135" s="39">
        <f t="shared" ref="I135" si="74">I73-I114</f>
        <v>0</v>
      </c>
      <c r="J135" s="39">
        <f t="shared" si="71"/>
        <v>0</v>
      </c>
      <c r="M135" s="7"/>
    </row>
    <row r="136" spans="1:13" x14ac:dyDescent="0.25">
      <c r="A136" s="1" t="s">
        <v>6</v>
      </c>
      <c r="B136" s="39">
        <f t="shared" si="73"/>
        <v>0</v>
      </c>
      <c r="C136" s="39">
        <f t="shared" si="73"/>
        <v>0</v>
      </c>
      <c r="D136" s="39">
        <f t="shared" si="73"/>
        <v>0</v>
      </c>
      <c r="E136" s="39">
        <f t="shared" si="73"/>
        <v>0</v>
      </c>
      <c r="F136" s="39">
        <f t="shared" si="73"/>
        <v>0</v>
      </c>
      <c r="G136" s="39">
        <f t="shared" si="73"/>
        <v>0</v>
      </c>
      <c r="H136" s="39">
        <f t="shared" si="73"/>
        <v>0</v>
      </c>
      <c r="I136" s="39">
        <f t="shared" ref="I136" si="75">I74-I115</f>
        <v>0</v>
      </c>
      <c r="J136" s="39">
        <f t="shared" si="71"/>
        <v>0</v>
      </c>
      <c r="M136" s="7"/>
    </row>
    <row r="137" spans="1:13" x14ac:dyDescent="0.25">
      <c r="A137" s="1" t="s">
        <v>50</v>
      </c>
      <c r="B137" s="39">
        <f t="shared" si="73"/>
        <v>0</v>
      </c>
      <c r="C137" s="39">
        <f t="shared" si="73"/>
        <v>0</v>
      </c>
      <c r="D137" s="39">
        <f t="shared" si="73"/>
        <v>0</v>
      </c>
      <c r="E137" s="39">
        <f t="shared" si="73"/>
        <v>0</v>
      </c>
      <c r="F137" s="39">
        <f t="shared" si="73"/>
        <v>0</v>
      </c>
      <c r="G137" s="39">
        <f t="shared" si="73"/>
        <v>0</v>
      </c>
      <c r="H137" s="39">
        <f t="shared" si="73"/>
        <v>0</v>
      </c>
      <c r="I137" s="39">
        <f t="shared" ref="I137" si="76">I75-I116</f>
        <v>0</v>
      </c>
      <c r="J137" s="39">
        <f t="shared" si="71"/>
        <v>0</v>
      </c>
      <c r="M137" s="7"/>
    </row>
    <row r="138" spans="1:13" x14ac:dyDescent="0.25">
      <c r="A138" s="1" t="s">
        <v>89</v>
      </c>
      <c r="B138" s="39">
        <f t="shared" si="73"/>
        <v>0</v>
      </c>
      <c r="C138" s="39">
        <f t="shared" si="73"/>
        <v>0</v>
      </c>
      <c r="D138" s="39">
        <f t="shared" si="73"/>
        <v>0</v>
      </c>
      <c r="E138" s="39">
        <f t="shared" si="73"/>
        <v>0</v>
      </c>
      <c r="F138" s="39">
        <f t="shared" si="73"/>
        <v>0</v>
      </c>
      <c r="G138" s="39">
        <f t="shared" si="73"/>
        <v>0</v>
      </c>
      <c r="H138" s="39">
        <f t="shared" si="73"/>
        <v>0</v>
      </c>
      <c r="I138" s="39">
        <f t="shared" ref="I138" si="77">I76-I117</f>
        <v>0</v>
      </c>
      <c r="J138" s="39">
        <f t="shared" si="71"/>
        <v>0</v>
      </c>
      <c r="M138" s="7"/>
    </row>
    <row r="139" spans="1:13" x14ac:dyDescent="0.25">
      <c r="A139" s="1" t="s">
        <v>5</v>
      </c>
      <c r="B139" s="39">
        <f t="shared" si="73"/>
        <v>0</v>
      </c>
      <c r="C139" s="39">
        <f t="shared" si="73"/>
        <v>0</v>
      </c>
      <c r="D139" s="39">
        <f t="shared" si="73"/>
        <v>0</v>
      </c>
      <c r="E139" s="39">
        <f t="shared" si="73"/>
        <v>0</v>
      </c>
      <c r="F139" s="39">
        <f t="shared" si="73"/>
        <v>0</v>
      </c>
      <c r="G139" s="39">
        <f t="shared" si="73"/>
        <v>0</v>
      </c>
      <c r="H139" s="39">
        <f t="shared" si="73"/>
        <v>0</v>
      </c>
      <c r="I139" s="39">
        <f t="shared" ref="I139" si="78">I77-I118</f>
        <v>0</v>
      </c>
      <c r="J139" s="39">
        <f t="shared" si="71"/>
        <v>0</v>
      </c>
      <c r="M139" s="7"/>
    </row>
    <row r="140" spans="1:13" x14ac:dyDescent="0.25">
      <c r="A140" s="1" t="s">
        <v>84</v>
      </c>
      <c r="B140" s="39">
        <f t="shared" si="73"/>
        <v>0</v>
      </c>
      <c r="C140" s="39">
        <f t="shared" si="73"/>
        <v>0</v>
      </c>
      <c r="D140" s="39">
        <f t="shared" si="73"/>
        <v>0</v>
      </c>
      <c r="E140" s="39">
        <f t="shared" si="73"/>
        <v>0</v>
      </c>
      <c r="F140" s="39">
        <f t="shared" si="73"/>
        <v>0</v>
      </c>
      <c r="G140" s="39">
        <f t="shared" si="73"/>
        <v>0</v>
      </c>
      <c r="H140" s="39">
        <f t="shared" si="73"/>
        <v>0</v>
      </c>
      <c r="I140" s="39">
        <f t="shared" ref="I140" si="79">I78-I119</f>
        <v>0</v>
      </c>
      <c r="J140" s="39">
        <f t="shared" si="71"/>
        <v>0</v>
      </c>
      <c r="M140" s="7"/>
    </row>
    <row r="141" spans="1:13" x14ac:dyDescent="0.25">
      <c r="A141" s="1" t="s">
        <v>4</v>
      </c>
      <c r="B141" s="39">
        <f t="shared" si="73"/>
        <v>0</v>
      </c>
      <c r="C141" s="39">
        <f t="shared" si="73"/>
        <v>0</v>
      </c>
      <c r="D141" s="39">
        <f t="shared" si="73"/>
        <v>0</v>
      </c>
      <c r="E141" s="39">
        <f t="shared" si="73"/>
        <v>0</v>
      </c>
      <c r="F141" s="39">
        <f t="shared" si="73"/>
        <v>0</v>
      </c>
      <c r="G141" s="39">
        <f t="shared" si="73"/>
        <v>0</v>
      </c>
      <c r="H141" s="39">
        <f t="shared" si="73"/>
        <v>0</v>
      </c>
      <c r="I141" s="39">
        <f t="shared" ref="I141" si="80">I79-I120</f>
        <v>0</v>
      </c>
      <c r="J141" s="39">
        <f t="shared" si="71"/>
        <v>0</v>
      </c>
      <c r="M141" s="7"/>
    </row>
    <row r="142" spans="1:13" x14ac:dyDescent="0.25">
      <c r="A142" s="1" t="s">
        <v>51</v>
      </c>
      <c r="B142" s="39">
        <f t="shared" si="73"/>
        <v>0</v>
      </c>
      <c r="C142" s="39">
        <f t="shared" si="73"/>
        <v>0</v>
      </c>
      <c r="D142" s="39">
        <f t="shared" si="73"/>
        <v>0</v>
      </c>
      <c r="E142" s="39">
        <f t="shared" si="73"/>
        <v>0</v>
      </c>
      <c r="F142" s="39">
        <f t="shared" si="73"/>
        <v>0</v>
      </c>
      <c r="G142" s="39">
        <f t="shared" si="73"/>
        <v>0</v>
      </c>
      <c r="H142" s="39">
        <f t="shared" si="73"/>
        <v>0</v>
      </c>
      <c r="I142" s="39">
        <f t="shared" ref="I142" si="81">I80-I121</f>
        <v>0</v>
      </c>
      <c r="J142" s="39">
        <f t="shared" si="71"/>
        <v>0</v>
      </c>
      <c r="M142" s="7"/>
    </row>
    <row r="143" spans="1:13" x14ac:dyDescent="0.25">
      <c r="A143" s="1" t="s">
        <v>85</v>
      </c>
      <c r="B143" s="39">
        <f t="shared" si="73"/>
        <v>0</v>
      </c>
      <c r="C143" s="39">
        <f t="shared" si="73"/>
        <v>0</v>
      </c>
      <c r="D143" s="39">
        <f t="shared" si="73"/>
        <v>0</v>
      </c>
      <c r="E143" s="39">
        <f t="shared" si="73"/>
        <v>0</v>
      </c>
      <c r="F143" s="39">
        <f t="shared" si="73"/>
        <v>0</v>
      </c>
      <c r="G143" s="39">
        <f t="shared" si="73"/>
        <v>0</v>
      </c>
      <c r="H143" s="39">
        <f t="shared" si="73"/>
        <v>0</v>
      </c>
      <c r="I143" s="39">
        <f t="shared" ref="I143" si="82">I81-I122</f>
        <v>0</v>
      </c>
      <c r="J143" s="39">
        <f t="shared" si="71"/>
        <v>0</v>
      </c>
      <c r="M143" s="7"/>
    </row>
    <row r="144" spans="1:13" x14ac:dyDescent="0.25">
      <c r="A144" s="1" t="s">
        <v>2</v>
      </c>
      <c r="B144" s="39">
        <f t="shared" si="73"/>
        <v>0</v>
      </c>
      <c r="C144" s="39">
        <f t="shared" si="73"/>
        <v>0</v>
      </c>
      <c r="D144" s="39">
        <f t="shared" si="73"/>
        <v>0</v>
      </c>
      <c r="E144" s="39">
        <f t="shared" si="73"/>
        <v>0</v>
      </c>
      <c r="F144" s="39">
        <f t="shared" si="73"/>
        <v>0</v>
      </c>
      <c r="G144" s="39">
        <f t="shared" si="73"/>
        <v>0</v>
      </c>
      <c r="H144" s="39">
        <f t="shared" si="73"/>
        <v>0</v>
      </c>
      <c r="I144" s="39">
        <f t="shared" ref="I144" si="83">I82-I123</f>
        <v>0</v>
      </c>
      <c r="J144" s="39">
        <f t="shared" si="71"/>
        <v>0</v>
      </c>
      <c r="M144" s="7"/>
    </row>
    <row r="145" spans="1:13" x14ac:dyDescent="0.25">
      <c r="A145" s="1" t="s">
        <v>86</v>
      </c>
      <c r="B145" s="39">
        <f t="shared" si="73"/>
        <v>0</v>
      </c>
      <c r="C145" s="39">
        <f t="shared" si="73"/>
        <v>0</v>
      </c>
      <c r="D145" s="39">
        <f t="shared" si="73"/>
        <v>0</v>
      </c>
      <c r="E145" s="39">
        <f t="shared" si="73"/>
        <v>0</v>
      </c>
      <c r="F145" s="39">
        <f t="shared" si="73"/>
        <v>0</v>
      </c>
      <c r="G145" s="39">
        <f t="shared" si="73"/>
        <v>0</v>
      </c>
      <c r="H145" s="39">
        <f t="shared" si="73"/>
        <v>0</v>
      </c>
      <c r="I145" s="39">
        <f t="shared" ref="I145" si="84">I83-I124</f>
        <v>0</v>
      </c>
      <c r="J145" s="39">
        <f t="shared" si="71"/>
        <v>0</v>
      </c>
      <c r="M145" s="7"/>
    </row>
    <row r="146" spans="1:13" x14ac:dyDescent="0.25">
      <c r="A146" s="1" t="s">
        <v>29</v>
      </c>
      <c r="B146" s="39">
        <f t="shared" si="73"/>
        <v>0</v>
      </c>
      <c r="C146" s="39">
        <f t="shared" si="73"/>
        <v>0</v>
      </c>
      <c r="D146" s="39">
        <f t="shared" si="73"/>
        <v>0</v>
      </c>
      <c r="E146" s="39">
        <f t="shared" si="73"/>
        <v>0</v>
      </c>
      <c r="F146" s="39">
        <f t="shared" si="73"/>
        <v>0</v>
      </c>
      <c r="G146" s="39">
        <f t="shared" si="73"/>
        <v>0</v>
      </c>
      <c r="H146" s="39">
        <f t="shared" si="73"/>
        <v>0</v>
      </c>
      <c r="I146" s="39">
        <f t="shared" ref="I146" si="85">I84-I125</f>
        <v>0</v>
      </c>
      <c r="J146" s="39">
        <f t="shared" si="71"/>
        <v>0</v>
      </c>
      <c r="M146" s="7"/>
    </row>
    <row r="147" spans="1:13" x14ac:dyDescent="0.25">
      <c r="A147" s="1" t="s">
        <v>52</v>
      </c>
      <c r="B147" s="39">
        <f t="shared" si="73"/>
        <v>0</v>
      </c>
      <c r="C147" s="39">
        <f t="shared" si="73"/>
        <v>0</v>
      </c>
      <c r="D147" s="39">
        <f t="shared" si="73"/>
        <v>0</v>
      </c>
      <c r="E147" s="39">
        <f t="shared" si="73"/>
        <v>0</v>
      </c>
      <c r="F147" s="39">
        <f t="shared" si="73"/>
        <v>0</v>
      </c>
      <c r="G147" s="39">
        <f t="shared" si="73"/>
        <v>0</v>
      </c>
      <c r="H147" s="39">
        <f t="shared" si="73"/>
        <v>0</v>
      </c>
      <c r="I147" s="39">
        <f t="shared" ref="I147" si="86">I85-I126</f>
        <v>0</v>
      </c>
      <c r="J147" s="39">
        <f t="shared" si="71"/>
        <v>0</v>
      </c>
      <c r="M147" s="7"/>
    </row>
    <row r="148" spans="1:13" x14ac:dyDescent="0.25">
      <c r="A148" s="1" t="s">
        <v>1</v>
      </c>
      <c r="B148" s="40">
        <f t="shared" si="73"/>
        <v>0</v>
      </c>
      <c r="C148" s="40">
        <f t="shared" si="73"/>
        <v>0</v>
      </c>
      <c r="D148" s="40">
        <f t="shared" si="73"/>
        <v>0</v>
      </c>
      <c r="E148" s="40">
        <f t="shared" si="73"/>
        <v>0</v>
      </c>
      <c r="F148" s="40">
        <f t="shared" si="73"/>
        <v>0</v>
      </c>
      <c r="G148" s="40">
        <f t="shared" si="73"/>
        <v>0</v>
      </c>
      <c r="H148" s="40">
        <f t="shared" si="73"/>
        <v>0</v>
      </c>
      <c r="I148" s="40">
        <f t="shared" ref="I148" si="87">I86-I127</f>
        <v>0</v>
      </c>
      <c r="J148" s="40">
        <f t="shared" si="71"/>
        <v>0</v>
      </c>
      <c r="M148" s="7"/>
    </row>
    <row r="149" spans="1:13" x14ac:dyDescent="0.25">
      <c r="A149" s="4"/>
      <c r="B149" s="39">
        <f>SUM(B132:B148)</f>
        <v>0</v>
      </c>
      <c r="C149" s="39">
        <f t="shared" ref="C149:J149" si="88">SUM(C132:C148)</f>
        <v>0</v>
      </c>
      <c r="D149" s="39">
        <f t="shared" si="88"/>
        <v>0</v>
      </c>
      <c r="E149" s="39">
        <f t="shared" si="88"/>
        <v>0</v>
      </c>
      <c r="F149" s="39">
        <f t="shared" si="88"/>
        <v>0</v>
      </c>
      <c r="G149" s="39">
        <f t="shared" si="88"/>
        <v>0</v>
      </c>
      <c r="H149" s="39">
        <f t="shared" si="88"/>
        <v>0</v>
      </c>
      <c r="I149" s="39">
        <f t="shared" si="88"/>
        <v>0</v>
      </c>
      <c r="J149" s="39">
        <f t="shared" si="88"/>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09:J109"/>
    <mergeCell ref="M124:M125"/>
    <mergeCell ref="M126:M127"/>
    <mergeCell ref="A130:J130"/>
    <mergeCell ref="A27:J27"/>
    <mergeCell ref="A47:J47"/>
    <mergeCell ref="M62:M63"/>
    <mergeCell ref="M64:M65"/>
    <mergeCell ref="A68:J68"/>
    <mergeCell ref="A89:J89"/>
    <mergeCell ref="A1:M1"/>
    <mergeCell ref="A2:M2"/>
    <mergeCell ref="A3:M3"/>
    <mergeCell ref="A4:M4"/>
    <mergeCell ref="A6:J6"/>
    <mergeCell ref="L6:M6"/>
  </mergeCells>
  <pageMargins left="0.7" right="0.7" top="0.75" bottom="0.75" header="0.3" footer="0.3"/>
  <pageSetup scale="3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Q158"/>
  <sheetViews>
    <sheetView workbookViewId="0">
      <selection sqref="A1:M1"/>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62" t="s">
        <v>17</v>
      </c>
      <c r="B1" s="162"/>
      <c r="C1" s="162"/>
      <c r="D1" s="162"/>
      <c r="E1" s="162"/>
      <c r="F1" s="162"/>
      <c r="G1" s="162"/>
      <c r="H1" s="162"/>
      <c r="I1" s="162"/>
      <c r="J1" s="162"/>
      <c r="K1" s="162"/>
      <c r="L1" s="162"/>
      <c r="M1" s="162"/>
      <c r="O1" s="31"/>
    </row>
    <row r="2" spans="1:15" ht="15.75" x14ac:dyDescent="0.25">
      <c r="A2" s="163" t="s">
        <v>225</v>
      </c>
      <c r="B2" s="163"/>
      <c r="C2" s="163"/>
      <c r="D2" s="163"/>
      <c r="E2" s="163"/>
      <c r="F2" s="163"/>
      <c r="G2" s="163"/>
      <c r="H2" s="163"/>
      <c r="I2" s="163"/>
      <c r="J2" s="163"/>
      <c r="K2" s="163"/>
      <c r="L2" s="163"/>
      <c r="M2" s="163"/>
      <c r="O2" s="31"/>
    </row>
    <row r="3" spans="1:15" x14ac:dyDescent="0.25">
      <c r="A3" s="164" t="s">
        <v>31</v>
      </c>
      <c r="B3" s="164"/>
      <c r="C3" s="164"/>
      <c r="D3" s="164"/>
      <c r="E3" s="164"/>
      <c r="F3" s="164"/>
      <c r="G3" s="164"/>
      <c r="H3" s="164"/>
      <c r="I3" s="164"/>
      <c r="J3" s="164"/>
      <c r="K3" s="164"/>
      <c r="L3" s="164"/>
      <c r="M3" s="164"/>
    </row>
    <row r="4" spans="1:15" x14ac:dyDescent="0.25">
      <c r="A4" s="167">
        <f>'Company Summary'!A4:J4</f>
        <v>45199</v>
      </c>
      <c r="B4" s="167"/>
      <c r="C4" s="167"/>
      <c r="D4" s="167"/>
      <c r="E4" s="167"/>
      <c r="F4" s="167"/>
      <c r="G4" s="167"/>
      <c r="H4" s="167"/>
      <c r="I4" s="167"/>
      <c r="J4" s="167"/>
      <c r="K4" s="167"/>
      <c r="L4" s="167"/>
      <c r="M4" s="167"/>
    </row>
    <row r="5" spans="1:15" ht="15.75" thickBot="1" x14ac:dyDescent="0.3">
      <c r="A5" s="80"/>
      <c r="B5" s="80"/>
      <c r="C5" s="80"/>
      <c r="D5" s="80"/>
      <c r="E5" s="80"/>
      <c r="F5" s="80"/>
      <c r="G5" s="80"/>
      <c r="H5" s="80"/>
      <c r="I5" s="80"/>
      <c r="J5" s="80"/>
      <c r="K5" s="80"/>
      <c r="L5" s="80"/>
      <c r="M5" s="80"/>
    </row>
    <row r="6" spans="1:15" ht="15.75" thickBot="1" x14ac:dyDescent="0.3">
      <c r="A6" s="150" t="s">
        <v>54</v>
      </c>
      <c r="B6" s="151"/>
      <c r="C6" s="151"/>
      <c r="D6" s="151"/>
      <c r="E6" s="151"/>
      <c r="F6" s="151"/>
      <c r="G6" s="151"/>
      <c r="H6" s="151"/>
      <c r="I6" s="151"/>
      <c r="J6" s="152"/>
      <c r="L6" s="166"/>
      <c r="M6" s="166"/>
    </row>
    <row r="7" spans="1:15" x14ac:dyDescent="0.25">
      <c r="A7" s="4" t="s">
        <v>16</v>
      </c>
      <c r="B7" s="5" t="s">
        <v>15</v>
      </c>
      <c r="C7" s="5" t="s">
        <v>14</v>
      </c>
      <c r="D7" s="5" t="s">
        <v>13</v>
      </c>
      <c r="E7" s="5" t="s">
        <v>12</v>
      </c>
      <c r="F7" s="5" t="s">
        <v>94</v>
      </c>
      <c r="G7" s="5" t="s">
        <v>95</v>
      </c>
      <c r="H7" s="5" t="s">
        <v>38</v>
      </c>
      <c r="I7" s="5" t="s">
        <v>9</v>
      </c>
      <c r="J7" s="5" t="s">
        <v>0</v>
      </c>
      <c r="L7" s="4"/>
      <c r="M7" s="4"/>
    </row>
    <row r="8" spans="1:15" x14ac:dyDescent="0.25">
      <c r="A8" s="1" t="s">
        <v>49</v>
      </c>
      <c r="B8" s="33">
        <f>'Agile AR Aging &lt;-INPUT'!C101</f>
        <v>0</v>
      </c>
      <c r="C8" s="33">
        <f>'Agile AR Aging &lt;-INPUT'!D101</f>
        <v>0</v>
      </c>
      <c r="D8" s="33">
        <f>'Agile AR Aging &lt;-INPUT'!E101</f>
        <v>0</v>
      </c>
      <c r="E8" s="33">
        <f>'Agile AR Aging &lt;-INPUT'!F101</f>
        <v>0</v>
      </c>
      <c r="F8" s="33">
        <f>'Agile AR Aging &lt;-INPUT'!G101</f>
        <v>0</v>
      </c>
      <c r="G8" s="33">
        <f>'Agile AR Aging &lt;-INPUT'!H101</f>
        <v>0</v>
      </c>
      <c r="H8" s="33">
        <f>'Agile AR Aging &lt;-INPUT'!I101</f>
        <v>0</v>
      </c>
      <c r="I8" s="33">
        <f>'Agile AR Aging &lt;-INPUT'!J101</f>
        <v>0</v>
      </c>
      <c r="J8" s="2">
        <f t="shared" ref="J8:J24" si="0">SUM(B8:H8)</f>
        <v>0</v>
      </c>
      <c r="L8" s="67"/>
    </row>
    <row r="9" spans="1:15" x14ac:dyDescent="0.25">
      <c r="A9" s="1" t="s">
        <v>8</v>
      </c>
      <c r="B9" s="33">
        <f>'Agile AR Aging &lt;-INPUT'!C102</f>
        <v>0</v>
      </c>
      <c r="C9" s="33">
        <f>'Agile AR Aging &lt;-INPUT'!D102</f>
        <v>0</v>
      </c>
      <c r="D9" s="33">
        <f>'Agile AR Aging &lt;-INPUT'!E102</f>
        <v>0</v>
      </c>
      <c r="E9" s="33">
        <f>'Agile AR Aging &lt;-INPUT'!F102</f>
        <v>0</v>
      </c>
      <c r="F9" s="33">
        <f>'Agile AR Aging &lt;-INPUT'!G102</f>
        <v>0</v>
      </c>
      <c r="G9" s="33">
        <f>'Agile AR Aging &lt;-INPUT'!H102</f>
        <v>0</v>
      </c>
      <c r="H9" s="33">
        <f>'Agile AR Aging &lt;-INPUT'!I102</f>
        <v>0</v>
      </c>
      <c r="I9" s="33">
        <f>'Agile AR Aging &lt;-INPUT'!J102</f>
        <v>0</v>
      </c>
      <c r="J9" s="2">
        <f t="shared" si="0"/>
        <v>0</v>
      </c>
      <c r="L9" s="67"/>
      <c r="N9" s="68"/>
    </row>
    <row r="10" spans="1:15" x14ac:dyDescent="0.25">
      <c r="A10" s="1" t="s">
        <v>7</v>
      </c>
      <c r="B10" s="33">
        <f>'Agile AR Aging &lt;-INPUT'!C103</f>
        <v>0</v>
      </c>
      <c r="C10" s="33">
        <f>'Agile AR Aging &lt;-INPUT'!D103</f>
        <v>0</v>
      </c>
      <c r="D10" s="33">
        <f>'Agile AR Aging &lt;-INPUT'!E103</f>
        <v>0</v>
      </c>
      <c r="E10" s="33">
        <f>'Agile AR Aging &lt;-INPUT'!F103</f>
        <v>0</v>
      </c>
      <c r="F10" s="33">
        <f>'Agile AR Aging &lt;-INPUT'!G103</f>
        <v>0</v>
      </c>
      <c r="G10" s="33">
        <f>'Agile AR Aging &lt;-INPUT'!H103</f>
        <v>0</v>
      </c>
      <c r="H10" s="33">
        <f>'Agile AR Aging &lt;-INPUT'!I103</f>
        <v>0</v>
      </c>
      <c r="I10" s="33">
        <f>'Agile AR Aging &lt;-INPUT'!J103</f>
        <v>0</v>
      </c>
      <c r="J10" s="2">
        <f t="shared" si="0"/>
        <v>0</v>
      </c>
      <c r="L10" s="67"/>
      <c r="N10" s="68"/>
    </row>
    <row r="11" spans="1:15" x14ac:dyDescent="0.25">
      <c r="A11" s="1" t="s">
        <v>42</v>
      </c>
      <c r="B11" s="33">
        <f>'Agile AR Aging &lt;-INPUT'!C104</f>
        <v>0</v>
      </c>
      <c r="C11" s="33">
        <f>'Agile AR Aging &lt;-INPUT'!D104</f>
        <v>0</v>
      </c>
      <c r="D11" s="33">
        <f>'Agile AR Aging &lt;-INPUT'!E104</f>
        <v>0</v>
      </c>
      <c r="E11" s="33">
        <f>'Agile AR Aging &lt;-INPUT'!F104</f>
        <v>0</v>
      </c>
      <c r="F11" s="33">
        <f>'Agile AR Aging &lt;-INPUT'!G104</f>
        <v>0</v>
      </c>
      <c r="G11" s="33">
        <f>'Agile AR Aging &lt;-INPUT'!H104</f>
        <v>0</v>
      </c>
      <c r="H11" s="33">
        <f>'Agile AR Aging &lt;-INPUT'!I104</f>
        <v>0</v>
      </c>
      <c r="I11" s="33">
        <f>'Agile AR Aging &lt;-INPUT'!J104</f>
        <v>0</v>
      </c>
      <c r="J11" s="2">
        <f t="shared" si="0"/>
        <v>0</v>
      </c>
      <c r="L11" s="67"/>
      <c r="N11" s="68"/>
    </row>
    <row r="12" spans="1:15" x14ac:dyDescent="0.25">
      <c r="A12" s="1" t="s">
        <v>6</v>
      </c>
      <c r="B12" s="33">
        <f>'Agile AR Aging &lt;-INPUT'!C105+'Agile AR Aging &lt;-INPUT'!C106+'Agile AR Aging &lt;-INPUT'!C113+'Agile AR Aging &lt;-INPUT'!C119</f>
        <v>0</v>
      </c>
      <c r="C12" s="33">
        <f>'Agile AR Aging &lt;-INPUT'!D105+'Agile AR Aging &lt;-INPUT'!D106+'Agile AR Aging &lt;-INPUT'!D113+'Agile AR Aging &lt;-INPUT'!D119</f>
        <v>0</v>
      </c>
      <c r="D12" s="33">
        <f>'Agile AR Aging &lt;-INPUT'!E105+'Agile AR Aging &lt;-INPUT'!E106+'Agile AR Aging &lt;-INPUT'!E113+'Agile AR Aging &lt;-INPUT'!E119</f>
        <v>0</v>
      </c>
      <c r="E12" s="33">
        <f>'Agile AR Aging &lt;-INPUT'!F105+'Agile AR Aging &lt;-INPUT'!F106+'Agile AR Aging &lt;-INPUT'!F113+'Agile AR Aging &lt;-INPUT'!F119</f>
        <v>0</v>
      </c>
      <c r="F12" s="33">
        <f>'Agile AR Aging &lt;-INPUT'!G105+'Agile AR Aging &lt;-INPUT'!G106+'Agile AR Aging &lt;-INPUT'!G113+'Agile AR Aging &lt;-INPUT'!G119</f>
        <v>0</v>
      </c>
      <c r="G12" s="33">
        <f>'Agile AR Aging &lt;-INPUT'!H105+'Agile AR Aging &lt;-INPUT'!H106+'Agile AR Aging &lt;-INPUT'!H113+'Agile AR Aging &lt;-INPUT'!H119</f>
        <v>0</v>
      </c>
      <c r="H12" s="33">
        <f>'Agile AR Aging &lt;-INPUT'!I105+'Agile AR Aging &lt;-INPUT'!I106+'Agile AR Aging &lt;-INPUT'!I113+'Agile AR Aging &lt;-INPUT'!I119</f>
        <v>0</v>
      </c>
      <c r="I12" s="33">
        <f>'Agile AR Aging &lt;-INPUT'!J105+'Agile AR Aging &lt;-INPUT'!J106+'Agile AR Aging &lt;-INPUT'!J113+'Agile AR Aging &lt;-INPUT'!J119</f>
        <v>0</v>
      </c>
      <c r="J12" s="2">
        <f t="shared" si="0"/>
        <v>0</v>
      </c>
      <c r="L12" s="72"/>
      <c r="N12" s="68"/>
    </row>
    <row r="13" spans="1:15" x14ac:dyDescent="0.25">
      <c r="A13" s="1" t="s">
        <v>50</v>
      </c>
      <c r="B13" s="33">
        <f>'Agile AR Aging &lt;-INPUT'!C107</f>
        <v>0</v>
      </c>
      <c r="C13" s="33">
        <f>'Agile AR Aging &lt;-INPUT'!D107</f>
        <v>0</v>
      </c>
      <c r="D13" s="33">
        <f>'Agile AR Aging &lt;-INPUT'!E107</f>
        <v>0</v>
      </c>
      <c r="E13" s="33">
        <f>'Agile AR Aging &lt;-INPUT'!F107</f>
        <v>0</v>
      </c>
      <c r="F13" s="33">
        <f>'Agile AR Aging &lt;-INPUT'!G107</f>
        <v>0</v>
      </c>
      <c r="G13" s="33">
        <f>'Agile AR Aging &lt;-INPUT'!H107</f>
        <v>0</v>
      </c>
      <c r="H13" s="33">
        <f>'Agile AR Aging &lt;-INPUT'!I107</f>
        <v>0</v>
      </c>
      <c r="I13" s="33">
        <f>'Agile AR Aging &lt;-INPUT'!J107</f>
        <v>0</v>
      </c>
      <c r="J13" s="2">
        <f t="shared" si="0"/>
        <v>0</v>
      </c>
      <c r="L13" s="72"/>
      <c r="N13" s="68"/>
    </row>
    <row r="14" spans="1:15" x14ac:dyDescent="0.25">
      <c r="A14" s="1" t="s">
        <v>89</v>
      </c>
      <c r="B14" s="33">
        <f>'Agile AR Aging &lt;-INPUT'!C108</f>
        <v>0</v>
      </c>
      <c r="C14" s="33">
        <f>'Agile AR Aging &lt;-INPUT'!D108</f>
        <v>0</v>
      </c>
      <c r="D14" s="33">
        <f>'Agile AR Aging &lt;-INPUT'!E108</f>
        <v>0</v>
      </c>
      <c r="E14" s="33">
        <f>'Agile AR Aging &lt;-INPUT'!F108</f>
        <v>0</v>
      </c>
      <c r="F14" s="33">
        <f>'Agile AR Aging &lt;-INPUT'!G108</f>
        <v>0</v>
      </c>
      <c r="G14" s="33">
        <f>'Agile AR Aging &lt;-INPUT'!H108</f>
        <v>0</v>
      </c>
      <c r="H14" s="33">
        <f>'Agile AR Aging &lt;-INPUT'!I108</f>
        <v>0</v>
      </c>
      <c r="I14" s="33">
        <f>'Agile AR Aging &lt;-INPUT'!J108</f>
        <v>0</v>
      </c>
      <c r="J14" s="2">
        <f t="shared" si="0"/>
        <v>0</v>
      </c>
      <c r="L14" s="72"/>
      <c r="N14" s="68"/>
    </row>
    <row r="15" spans="1:15" x14ac:dyDescent="0.25">
      <c r="A15" s="1" t="s">
        <v>5</v>
      </c>
      <c r="B15" s="33">
        <f>'Agile AR Aging &lt;-INPUT'!C109</f>
        <v>0</v>
      </c>
      <c r="C15" s="33">
        <f>'Agile AR Aging &lt;-INPUT'!D109</f>
        <v>0</v>
      </c>
      <c r="D15" s="33">
        <f>'Agile AR Aging &lt;-INPUT'!E109</f>
        <v>0</v>
      </c>
      <c r="E15" s="33">
        <f>'Agile AR Aging &lt;-INPUT'!F109</f>
        <v>0</v>
      </c>
      <c r="F15" s="33">
        <f>'Agile AR Aging &lt;-INPUT'!G109</f>
        <v>0</v>
      </c>
      <c r="G15" s="33">
        <f>'Agile AR Aging &lt;-INPUT'!H109</f>
        <v>0</v>
      </c>
      <c r="H15" s="33">
        <f>'Agile AR Aging &lt;-INPUT'!I109</f>
        <v>0</v>
      </c>
      <c r="I15" s="33">
        <f>'Agile AR Aging &lt;-INPUT'!J109</f>
        <v>0</v>
      </c>
      <c r="J15" s="2">
        <f t="shared" si="0"/>
        <v>0</v>
      </c>
      <c r="L15" s="72"/>
      <c r="N15" s="68"/>
    </row>
    <row r="16" spans="1:15" x14ac:dyDescent="0.25">
      <c r="A16" s="1" t="s">
        <v>84</v>
      </c>
      <c r="B16" s="33">
        <f>'Agile AR Aging &lt;-INPUT'!C110</f>
        <v>0</v>
      </c>
      <c r="C16" s="33">
        <f>'Agile AR Aging &lt;-INPUT'!D110</f>
        <v>0</v>
      </c>
      <c r="D16" s="33">
        <f>'Agile AR Aging &lt;-INPUT'!E110</f>
        <v>0</v>
      </c>
      <c r="E16" s="33">
        <f>'Agile AR Aging &lt;-INPUT'!F110</f>
        <v>0</v>
      </c>
      <c r="F16" s="33">
        <f>'Agile AR Aging &lt;-INPUT'!G110</f>
        <v>0</v>
      </c>
      <c r="G16" s="33">
        <f>'Agile AR Aging &lt;-INPUT'!H110</f>
        <v>0</v>
      </c>
      <c r="H16" s="33">
        <f>'Agile AR Aging &lt;-INPUT'!I110</f>
        <v>0</v>
      </c>
      <c r="I16" s="33">
        <f>'Agile AR Aging &lt;-INPUT'!J110</f>
        <v>0</v>
      </c>
      <c r="J16" s="2">
        <f t="shared" si="0"/>
        <v>0</v>
      </c>
      <c r="L16" s="72"/>
      <c r="N16" s="68"/>
    </row>
    <row r="17" spans="1:17" x14ac:dyDescent="0.25">
      <c r="A17" s="1" t="s">
        <v>4</v>
      </c>
      <c r="B17" s="33">
        <f>'Agile AR Aging &lt;-INPUT'!C111</f>
        <v>0</v>
      </c>
      <c r="C17" s="33">
        <f>'Agile AR Aging &lt;-INPUT'!D111</f>
        <v>0</v>
      </c>
      <c r="D17" s="33">
        <f>'Agile AR Aging &lt;-INPUT'!E111</f>
        <v>0</v>
      </c>
      <c r="E17" s="33">
        <f>'Agile AR Aging &lt;-INPUT'!F111</f>
        <v>0</v>
      </c>
      <c r="F17" s="33">
        <f>'Agile AR Aging &lt;-INPUT'!G111</f>
        <v>0</v>
      </c>
      <c r="G17" s="33">
        <f>'Agile AR Aging &lt;-INPUT'!H111</f>
        <v>0</v>
      </c>
      <c r="H17" s="33">
        <f>'Agile AR Aging &lt;-INPUT'!I111</f>
        <v>0</v>
      </c>
      <c r="I17" s="33">
        <f>'Agile AR Aging &lt;-INPUT'!J111</f>
        <v>0</v>
      </c>
      <c r="J17" s="2">
        <f t="shared" si="0"/>
        <v>0</v>
      </c>
      <c r="L17" s="72"/>
      <c r="N17" s="68"/>
    </row>
    <row r="18" spans="1:17" x14ac:dyDescent="0.25">
      <c r="A18" s="1" t="s">
        <v>51</v>
      </c>
      <c r="B18" s="33">
        <f>'Agile AR Aging &lt;-INPUT'!C112</f>
        <v>0</v>
      </c>
      <c r="C18" s="33">
        <f>'Agile AR Aging &lt;-INPUT'!D112</f>
        <v>0</v>
      </c>
      <c r="D18" s="33">
        <f>'Agile AR Aging &lt;-INPUT'!E112</f>
        <v>0</v>
      </c>
      <c r="E18" s="33">
        <f>'Agile AR Aging &lt;-INPUT'!F112</f>
        <v>0</v>
      </c>
      <c r="F18" s="33">
        <f>'Agile AR Aging &lt;-INPUT'!G112</f>
        <v>0</v>
      </c>
      <c r="G18" s="33">
        <f>'Agile AR Aging &lt;-INPUT'!H112</f>
        <v>0</v>
      </c>
      <c r="H18" s="33">
        <f>'Agile AR Aging &lt;-INPUT'!I112</f>
        <v>0</v>
      </c>
      <c r="I18" s="33">
        <f>'Agile AR Aging &lt;-INPUT'!J112</f>
        <v>0</v>
      </c>
      <c r="J18" s="2">
        <f t="shared" si="0"/>
        <v>0</v>
      </c>
      <c r="L18" s="72"/>
      <c r="N18" s="68"/>
    </row>
    <row r="19" spans="1:17" x14ac:dyDescent="0.25">
      <c r="A19" s="1" t="s">
        <v>85</v>
      </c>
      <c r="B19" s="33">
        <f>'Agile AR Aging &lt;-INPUT'!C114</f>
        <v>0</v>
      </c>
      <c r="C19" s="33">
        <f>'Agile AR Aging &lt;-INPUT'!D114</f>
        <v>0</v>
      </c>
      <c r="D19" s="33">
        <f>'Agile AR Aging &lt;-INPUT'!E114</f>
        <v>0</v>
      </c>
      <c r="E19" s="33">
        <f>'Agile AR Aging &lt;-INPUT'!F114</f>
        <v>0</v>
      </c>
      <c r="F19" s="33">
        <f>'Agile AR Aging &lt;-INPUT'!G114</f>
        <v>0</v>
      </c>
      <c r="G19" s="33">
        <f>'Agile AR Aging &lt;-INPUT'!H114</f>
        <v>0</v>
      </c>
      <c r="H19" s="33">
        <f>'Agile AR Aging &lt;-INPUT'!I114</f>
        <v>0</v>
      </c>
      <c r="I19" s="33">
        <f>'Agile AR Aging &lt;-INPUT'!J114</f>
        <v>0</v>
      </c>
      <c r="J19" s="2">
        <f t="shared" si="0"/>
        <v>0</v>
      </c>
      <c r="L19" s="72"/>
      <c r="N19" s="68"/>
    </row>
    <row r="20" spans="1:17" x14ac:dyDescent="0.25">
      <c r="A20" s="1" t="s">
        <v>2</v>
      </c>
      <c r="B20" s="33">
        <f>'Agile AR Aging &lt;-INPUT'!C115</f>
        <v>0</v>
      </c>
      <c r="C20" s="33">
        <f>'Agile AR Aging &lt;-INPUT'!D115</f>
        <v>0</v>
      </c>
      <c r="D20" s="33">
        <f>'Agile AR Aging &lt;-INPUT'!E115</f>
        <v>0</v>
      </c>
      <c r="E20" s="33">
        <f>'Agile AR Aging &lt;-INPUT'!F115</f>
        <v>0</v>
      </c>
      <c r="F20" s="33">
        <f>'Agile AR Aging &lt;-INPUT'!G115</f>
        <v>0</v>
      </c>
      <c r="G20" s="33">
        <f>'Agile AR Aging &lt;-INPUT'!H115</f>
        <v>0</v>
      </c>
      <c r="H20" s="33">
        <f>'Agile AR Aging &lt;-INPUT'!I115</f>
        <v>0</v>
      </c>
      <c r="I20" s="33">
        <f>'Agile AR Aging &lt;-INPUT'!J115</f>
        <v>0</v>
      </c>
      <c r="J20" s="2">
        <f t="shared" si="0"/>
        <v>0</v>
      </c>
      <c r="L20" s="72"/>
      <c r="N20" s="68"/>
    </row>
    <row r="21" spans="1:17" x14ac:dyDescent="0.25">
      <c r="A21" s="1" t="s">
        <v>86</v>
      </c>
      <c r="B21" s="33">
        <f>'Agile AR Aging &lt;-INPUT'!C116</f>
        <v>0</v>
      </c>
      <c r="C21" s="33">
        <f>'Agile AR Aging &lt;-INPUT'!D116</f>
        <v>0</v>
      </c>
      <c r="D21" s="33">
        <f>'Agile AR Aging &lt;-INPUT'!E116</f>
        <v>0</v>
      </c>
      <c r="E21" s="33">
        <f>'Agile AR Aging &lt;-INPUT'!F116</f>
        <v>0</v>
      </c>
      <c r="F21" s="33">
        <f>'Agile AR Aging &lt;-INPUT'!G116</f>
        <v>0</v>
      </c>
      <c r="G21" s="33">
        <f>'Agile AR Aging &lt;-INPUT'!H116</f>
        <v>0</v>
      </c>
      <c r="H21" s="33">
        <f>'Agile AR Aging &lt;-INPUT'!I116</f>
        <v>0</v>
      </c>
      <c r="I21" s="33">
        <f>'Agile AR Aging &lt;-INPUT'!J116</f>
        <v>0</v>
      </c>
      <c r="J21" s="2">
        <f t="shared" si="0"/>
        <v>0</v>
      </c>
      <c r="L21" s="72"/>
      <c r="N21" s="68"/>
    </row>
    <row r="22" spans="1:17" x14ac:dyDescent="0.25">
      <c r="A22" s="1" t="s">
        <v>29</v>
      </c>
      <c r="B22" s="33">
        <f>'Agile AR Aging &lt;-INPUT'!C117</f>
        <v>0</v>
      </c>
      <c r="C22" s="33">
        <f>'Agile AR Aging &lt;-INPUT'!D117</f>
        <v>0</v>
      </c>
      <c r="D22" s="33">
        <f>'Agile AR Aging &lt;-INPUT'!E117</f>
        <v>0</v>
      </c>
      <c r="E22" s="33">
        <f>'Agile AR Aging &lt;-INPUT'!F117</f>
        <v>0</v>
      </c>
      <c r="F22" s="33">
        <f>'Agile AR Aging &lt;-INPUT'!G117</f>
        <v>0</v>
      </c>
      <c r="G22" s="33">
        <f>'Agile AR Aging &lt;-INPUT'!H117</f>
        <v>0</v>
      </c>
      <c r="H22" s="33">
        <f>'Agile AR Aging &lt;-INPUT'!I117</f>
        <v>0</v>
      </c>
      <c r="I22" s="33">
        <f>'Agile AR Aging &lt;-INPUT'!J117</f>
        <v>0</v>
      </c>
      <c r="J22" s="2">
        <f t="shared" si="0"/>
        <v>0</v>
      </c>
      <c r="L22" s="72"/>
      <c r="N22" s="68"/>
    </row>
    <row r="23" spans="1:17" x14ac:dyDescent="0.25">
      <c r="A23" s="1" t="s">
        <v>52</v>
      </c>
      <c r="B23" s="33">
        <f>'Agile AR Aging &lt;-INPUT'!C118</f>
        <v>0</v>
      </c>
      <c r="C23" s="33">
        <f>'Agile AR Aging &lt;-INPUT'!D118</f>
        <v>0</v>
      </c>
      <c r="D23" s="33">
        <f>'Agile AR Aging &lt;-INPUT'!E118</f>
        <v>0</v>
      </c>
      <c r="E23" s="33">
        <f>'Agile AR Aging &lt;-INPUT'!F118</f>
        <v>0</v>
      </c>
      <c r="F23" s="33">
        <f>'Agile AR Aging &lt;-INPUT'!G118</f>
        <v>0</v>
      </c>
      <c r="G23" s="33">
        <f>'Agile AR Aging &lt;-INPUT'!H118</f>
        <v>0</v>
      </c>
      <c r="H23" s="33">
        <f>'Agile AR Aging &lt;-INPUT'!I118</f>
        <v>0</v>
      </c>
      <c r="I23" s="33">
        <f>'Agile AR Aging &lt;-INPUT'!J118</f>
        <v>0</v>
      </c>
      <c r="J23" s="2">
        <f t="shared" si="0"/>
        <v>0</v>
      </c>
      <c r="L23" s="72"/>
      <c r="N23" s="68"/>
    </row>
    <row r="24" spans="1:17" x14ac:dyDescent="0.25">
      <c r="A24" s="1" t="s">
        <v>1</v>
      </c>
      <c r="B24" s="32">
        <f>'Agile AR Aging &lt;-INPUT'!C120</f>
        <v>0</v>
      </c>
      <c r="C24" s="32">
        <f>'Agile AR Aging &lt;-INPUT'!D120</f>
        <v>0</v>
      </c>
      <c r="D24" s="32">
        <f>'Agile AR Aging &lt;-INPUT'!E120</f>
        <v>0</v>
      </c>
      <c r="E24" s="32">
        <f>'Agile AR Aging &lt;-INPUT'!F120</f>
        <v>0</v>
      </c>
      <c r="F24" s="32">
        <f>'Agile AR Aging &lt;-INPUT'!G120</f>
        <v>0</v>
      </c>
      <c r="G24" s="32">
        <f>'Agile AR Aging &lt;-INPUT'!H120</f>
        <v>0</v>
      </c>
      <c r="H24" s="32">
        <f>'Agile AR Aging &lt;-INPUT'!I120</f>
        <v>0</v>
      </c>
      <c r="I24" s="32">
        <f>'Agile AR Aging &lt;-INPUT'!J120</f>
        <v>0</v>
      </c>
      <c r="J24" s="9">
        <f t="shared" si="0"/>
        <v>0</v>
      </c>
      <c r="L24" s="72"/>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53" t="s">
        <v>55</v>
      </c>
      <c r="B27" s="154"/>
      <c r="C27" s="154"/>
      <c r="D27" s="154"/>
      <c r="E27" s="154"/>
      <c r="F27" s="154"/>
      <c r="G27" s="154"/>
      <c r="H27" s="154"/>
      <c r="I27" s="154"/>
      <c r="J27" s="155"/>
      <c r="Q27" s="1"/>
    </row>
    <row r="28" spans="1:17" x14ac:dyDescent="0.25">
      <c r="A28" s="4" t="s">
        <v>16</v>
      </c>
      <c r="B28" s="5" t="s">
        <v>15</v>
      </c>
      <c r="C28" s="5" t="s">
        <v>14</v>
      </c>
      <c r="D28" s="5" t="s">
        <v>13</v>
      </c>
      <c r="E28" s="5" t="s">
        <v>12</v>
      </c>
      <c r="F28" s="5" t="s">
        <v>94</v>
      </c>
      <c r="G28" s="5" t="s">
        <v>95</v>
      </c>
      <c r="H28" s="5" t="s">
        <v>38</v>
      </c>
      <c r="I28" s="5" t="s">
        <v>9</v>
      </c>
      <c r="J28" s="5" t="s">
        <v>0</v>
      </c>
      <c r="Q28" s="1"/>
    </row>
    <row r="29" spans="1:17" x14ac:dyDescent="0.25">
      <c r="A29" s="1" t="s">
        <v>49</v>
      </c>
      <c r="B29" s="36">
        <f>'Reimbursement Rates &lt;-INPUT'!E9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&lt;-INPUT'!E10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&lt;-INPUT'!E11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&lt;-INPUT'!E12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&lt;-INPUT'!E13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&lt;-INPUT'!E15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&lt;-INPUT'!E16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&lt;-INPUT'!E17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&lt;-INPUT'!E18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&lt;-INPUT'!E19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&lt;-INPUT'!E20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&lt;-INPUT'!E22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&lt;-INPUT'!E23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&lt;-INPUT'!E24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&lt;-INPUT'!E25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&lt;-INPUT'!E26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&lt;-INPUT'!E28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50" t="s">
        <v>33</v>
      </c>
      <c r="B47" s="151"/>
      <c r="C47" s="151"/>
      <c r="D47" s="151"/>
      <c r="E47" s="151"/>
      <c r="F47" s="151"/>
      <c r="G47" s="151"/>
      <c r="H47" s="151"/>
      <c r="I47" s="151"/>
      <c r="J47" s="152"/>
      <c r="M47" s="7"/>
      <c r="Q47" s="1"/>
    </row>
    <row r="48" spans="1:17" x14ac:dyDescent="0.25">
      <c r="A48" s="4" t="s">
        <v>16</v>
      </c>
      <c r="B48" s="5" t="s">
        <v>15</v>
      </c>
      <c r="C48" s="5" t="s">
        <v>14</v>
      </c>
      <c r="D48" s="5" t="s">
        <v>13</v>
      </c>
      <c r="E48" s="5" t="s">
        <v>12</v>
      </c>
      <c r="F48" s="5" t="s">
        <v>94</v>
      </c>
      <c r="G48" s="5" t="s">
        <v>95</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68"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68"/>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68"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69"/>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95">
        <v>60000</v>
      </c>
      <c r="M66" s="7">
        <f>J66-L66</f>
        <v>-60000</v>
      </c>
    </row>
    <row r="67" spans="1:13" ht="15.75" thickBot="1" x14ac:dyDescent="0.3">
      <c r="A67" s="1"/>
      <c r="B67" s="9"/>
      <c r="C67" s="9"/>
      <c r="D67" s="9"/>
      <c r="E67" s="9"/>
      <c r="F67" s="9"/>
      <c r="G67" s="9"/>
      <c r="H67" s="9"/>
      <c r="I67" s="9"/>
      <c r="J67" s="9"/>
      <c r="M67" s="7"/>
    </row>
    <row r="68" spans="1:13" ht="15.75" thickBot="1" x14ac:dyDescent="0.3">
      <c r="A68" s="150" t="s">
        <v>64</v>
      </c>
      <c r="B68" s="151"/>
      <c r="C68" s="151"/>
      <c r="D68" s="151"/>
      <c r="E68" s="151"/>
      <c r="F68" s="151"/>
      <c r="G68" s="151"/>
      <c r="H68" s="151"/>
      <c r="I68" s="151"/>
      <c r="J68" s="152"/>
      <c r="M68" s="7"/>
    </row>
    <row r="69" spans="1:13" x14ac:dyDescent="0.25">
      <c r="A69" s="4" t="s">
        <v>16</v>
      </c>
      <c r="B69" s="5" t="s">
        <v>15</v>
      </c>
      <c r="C69" s="5" t="s">
        <v>14</v>
      </c>
      <c r="D69" s="5" t="s">
        <v>13</v>
      </c>
      <c r="E69" s="5" t="s">
        <v>12</v>
      </c>
      <c r="F69" s="5" t="s">
        <v>94</v>
      </c>
      <c r="G69" s="5" t="s">
        <v>95</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53" t="s">
        <v>59</v>
      </c>
      <c r="B89" s="154"/>
      <c r="C89" s="154"/>
      <c r="D89" s="154"/>
      <c r="E89" s="154"/>
      <c r="F89" s="154"/>
      <c r="G89" s="154"/>
      <c r="H89" s="154"/>
      <c r="I89" s="154"/>
      <c r="J89" s="155"/>
      <c r="M89" s="7"/>
    </row>
    <row r="90" spans="1:13" x14ac:dyDescent="0.25">
      <c r="A90" s="4" t="s">
        <v>16</v>
      </c>
      <c r="B90" s="5" t="s">
        <v>15</v>
      </c>
      <c r="C90" s="5" t="s">
        <v>14</v>
      </c>
      <c r="D90" s="5" t="s">
        <v>13</v>
      </c>
      <c r="E90" s="5" t="s">
        <v>12</v>
      </c>
      <c r="F90" s="5" t="s">
        <v>94</v>
      </c>
      <c r="G90" s="5" t="s">
        <v>95</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50" t="s">
        <v>60</v>
      </c>
      <c r="B109" s="151"/>
      <c r="C109" s="151"/>
      <c r="D109" s="151"/>
      <c r="E109" s="151"/>
      <c r="F109" s="151"/>
      <c r="G109" s="151"/>
      <c r="H109" s="151"/>
      <c r="I109" s="151"/>
      <c r="J109" s="152"/>
      <c r="M109" s="7"/>
    </row>
    <row r="110" spans="1:13" x14ac:dyDescent="0.25">
      <c r="A110" s="4" t="s">
        <v>16</v>
      </c>
      <c r="B110" s="5" t="s">
        <v>15</v>
      </c>
      <c r="C110" s="5" t="s">
        <v>14</v>
      </c>
      <c r="D110" s="5" t="s">
        <v>13</v>
      </c>
      <c r="E110" s="5" t="s">
        <v>12</v>
      </c>
      <c r="F110" s="5" t="s">
        <v>94</v>
      </c>
      <c r="G110" s="5" t="s">
        <v>95</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68"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68"/>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152</v>
      </c>
      <c r="M126" s="168"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69"/>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95">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50" t="s">
        <v>30</v>
      </c>
      <c r="B130" s="151"/>
      <c r="C130" s="151"/>
      <c r="D130" s="151"/>
      <c r="E130" s="151"/>
      <c r="F130" s="151"/>
      <c r="G130" s="151"/>
      <c r="H130" s="151"/>
      <c r="I130" s="151"/>
      <c r="J130" s="152"/>
      <c r="M130" s="7"/>
    </row>
    <row r="131" spans="1:13" x14ac:dyDescent="0.25">
      <c r="A131" s="4" t="s">
        <v>16</v>
      </c>
      <c r="B131" s="5" t="s">
        <v>15</v>
      </c>
      <c r="C131" s="5" t="s">
        <v>14</v>
      </c>
      <c r="D131" s="5" t="s">
        <v>13</v>
      </c>
      <c r="E131" s="5" t="s">
        <v>12</v>
      </c>
      <c r="F131" s="5" t="s">
        <v>94</v>
      </c>
      <c r="G131" s="5" t="s">
        <v>95</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09:J109"/>
    <mergeCell ref="M124:M125"/>
    <mergeCell ref="M126:M127"/>
    <mergeCell ref="A130:J130"/>
    <mergeCell ref="A27:J27"/>
    <mergeCell ref="A47:J47"/>
    <mergeCell ref="M62:M63"/>
    <mergeCell ref="M64:M65"/>
    <mergeCell ref="A68:J68"/>
    <mergeCell ref="A89:J89"/>
    <mergeCell ref="A1:M1"/>
    <mergeCell ref="A2:M2"/>
    <mergeCell ref="A3:M3"/>
    <mergeCell ref="A4:M4"/>
    <mergeCell ref="A6:J6"/>
    <mergeCell ref="L6:M6"/>
  </mergeCells>
  <pageMargins left="0.7" right="0.7" top="0.75" bottom="0.75" header="0.3" footer="0.3"/>
  <pageSetup scale="3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Q158"/>
  <sheetViews>
    <sheetView workbookViewId="0">
      <selection sqref="A1:M1"/>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62" t="s">
        <v>17</v>
      </c>
      <c r="B1" s="162"/>
      <c r="C1" s="162"/>
      <c r="D1" s="162"/>
      <c r="E1" s="162"/>
      <c r="F1" s="162"/>
      <c r="G1" s="162"/>
      <c r="H1" s="162"/>
      <c r="I1" s="162"/>
      <c r="J1" s="162"/>
      <c r="K1" s="162"/>
      <c r="L1" s="162"/>
      <c r="M1" s="162"/>
      <c r="O1" s="31"/>
    </row>
    <row r="2" spans="1:15" ht="15.75" x14ac:dyDescent="0.25">
      <c r="A2" s="163" t="s">
        <v>225</v>
      </c>
      <c r="B2" s="163"/>
      <c r="C2" s="163"/>
      <c r="D2" s="163"/>
      <c r="E2" s="163"/>
      <c r="F2" s="163"/>
      <c r="G2" s="163"/>
      <c r="H2" s="163"/>
      <c r="I2" s="163"/>
      <c r="J2" s="163"/>
      <c r="K2" s="163"/>
      <c r="L2" s="163"/>
      <c r="M2" s="163"/>
      <c r="O2" s="31"/>
    </row>
    <row r="3" spans="1:15" x14ac:dyDescent="0.25">
      <c r="A3" s="164" t="s">
        <v>31</v>
      </c>
      <c r="B3" s="164"/>
      <c r="C3" s="164"/>
      <c r="D3" s="164"/>
      <c r="E3" s="164"/>
      <c r="F3" s="164"/>
      <c r="G3" s="164"/>
      <c r="H3" s="164"/>
      <c r="I3" s="164"/>
      <c r="J3" s="164"/>
      <c r="K3" s="164"/>
      <c r="L3" s="164"/>
      <c r="M3" s="164"/>
    </row>
    <row r="4" spans="1:15" x14ac:dyDescent="0.25">
      <c r="A4" s="167">
        <f>'Company Summary'!A4:J4</f>
        <v>45199</v>
      </c>
      <c r="B4" s="167"/>
      <c r="C4" s="167"/>
      <c r="D4" s="167"/>
      <c r="E4" s="167"/>
      <c r="F4" s="167"/>
      <c r="G4" s="167"/>
      <c r="H4" s="167"/>
      <c r="I4" s="167"/>
      <c r="J4" s="167"/>
      <c r="K4" s="167"/>
      <c r="L4" s="167"/>
      <c r="M4" s="167"/>
    </row>
    <row r="5" spans="1:15" ht="15.75" thickBot="1" x14ac:dyDescent="0.3">
      <c r="A5" s="80"/>
      <c r="B5" s="80"/>
      <c r="C5" s="80"/>
      <c r="D5" s="80"/>
      <c r="E5" s="80"/>
      <c r="F5" s="80"/>
      <c r="G5" s="80"/>
      <c r="H5" s="80"/>
      <c r="I5" s="80"/>
      <c r="J5" s="80"/>
      <c r="K5" s="80"/>
      <c r="L5" s="80"/>
      <c r="M5" s="80"/>
    </row>
    <row r="6" spans="1:15" ht="15.75" thickBot="1" x14ac:dyDescent="0.3">
      <c r="A6" s="150" t="s">
        <v>54</v>
      </c>
      <c r="B6" s="151"/>
      <c r="C6" s="151"/>
      <c r="D6" s="151"/>
      <c r="E6" s="151"/>
      <c r="F6" s="151"/>
      <c r="G6" s="151"/>
      <c r="H6" s="151"/>
      <c r="I6" s="151"/>
      <c r="J6" s="152"/>
      <c r="L6" s="166"/>
      <c r="M6" s="166"/>
    </row>
    <row r="7" spans="1:15" x14ac:dyDescent="0.25">
      <c r="A7" s="4" t="s">
        <v>16</v>
      </c>
      <c r="B7" s="5" t="s">
        <v>15</v>
      </c>
      <c r="C7" s="5" t="s">
        <v>14</v>
      </c>
      <c r="D7" s="5" t="s">
        <v>13</v>
      </c>
      <c r="E7" s="5" t="s">
        <v>12</v>
      </c>
      <c r="F7" s="5" t="s">
        <v>94</v>
      </c>
      <c r="G7" s="5" t="s">
        <v>95</v>
      </c>
      <c r="H7" s="5" t="s">
        <v>38</v>
      </c>
      <c r="I7" s="5" t="s">
        <v>9</v>
      </c>
      <c r="J7" s="5" t="s">
        <v>0</v>
      </c>
      <c r="L7" s="4"/>
      <c r="M7" s="4"/>
    </row>
    <row r="8" spans="1:15" x14ac:dyDescent="0.25">
      <c r="A8" s="1" t="s">
        <v>49</v>
      </c>
      <c r="B8" s="33">
        <f>'Agile AR Aging &lt;-INPUT'!C127</f>
        <v>0</v>
      </c>
      <c r="C8" s="33">
        <f>'Agile AR Aging &lt;-INPUT'!D127</f>
        <v>0</v>
      </c>
      <c r="D8" s="33">
        <f>'Agile AR Aging &lt;-INPUT'!E127</f>
        <v>0</v>
      </c>
      <c r="E8" s="33">
        <f>'Agile AR Aging &lt;-INPUT'!F127</f>
        <v>0</v>
      </c>
      <c r="F8" s="33">
        <f>'Agile AR Aging &lt;-INPUT'!G127</f>
        <v>0</v>
      </c>
      <c r="G8" s="33">
        <f>'Agile AR Aging &lt;-INPUT'!H127</f>
        <v>0</v>
      </c>
      <c r="H8" s="33">
        <f>'Agile AR Aging &lt;-INPUT'!I127</f>
        <v>0</v>
      </c>
      <c r="I8" s="33">
        <f>'Agile AR Aging &lt;-INPUT'!J127</f>
        <v>0</v>
      </c>
      <c r="J8" s="2">
        <f t="shared" ref="J8:J24" si="0">SUM(B8:H8)</f>
        <v>0</v>
      </c>
      <c r="L8" s="67"/>
    </row>
    <row r="9" spans="1:15" x14ac:dyDescent="0.25">
      <c r="A9" s="1" t="s">
        <v>8</v>
      </c>
      <c r="B9" s="33">
        <f>'Agile AR Aging &lt;-INPUT'!C128</f>
        <v>0</v>
      </c>
      <c r="C9" s="33">
        <f>'Agile AR Aging &lt;-INPUT'!D128</f>
        <v>0</v>
      </c>
      <c r="D9" s="33">
        <f>'Agile AR Aging &lt;-INPUT'!E128</f>
        <v>0</v>
      </c>
      <c r="E9" s="33">
        <f>'Agile AR Aging &lt;-INPUT'!F128</f>
        <v>0</v>
      </c>
      <c r="F9" s="33">
        <f>'Agile AR Aging &lt;-INPUT'!G128</f>
        <v>0</v>
      </c>
      <c r="G9" s="33">
        <f>'Agile AR Aging &lt;-INPUT'!H128</f>
        <v>0</v>
      </c>
      <c r="H9" s="33">
        <f>'Agile AR Aging &lt;-INPUT'!I128</f>
        <v>0</v>
      </c>
      <c r="I9" s="33">
        <f>'Agile AR Aging &lt;-INPUT'!J128</f>
        <v>0</v>
      </c>
      <c r="J9" s="2">
        <f t="shared" si="0"/>
        <v>0</v>
      </c>
      <c r="L9" s="67"/>
      <c r="N9" s="68"/>
    </row>
    <row r="10" spans="1:15" x14ac:dyDescent="0.25">
      <c r="A10" s="1" t="s">
        <v>7</v>
      </c>
      <c r="B10" s="33">
        <f>'Agile AR Aging &lt;-INPUT'!C129</f>
        <v>0</v>
      </c>
      <c r="C10" s="33">
        <f>'Agile AR Aging &lt;-INPUT'!D129</f>
        <v>0</v>
      </c>
      <c r="D10" s="33">
        <f>'Agile AR Aging &lt;-INPUT'!E129</f>
        <v>0</v>
      </c>
      <c r="E10" s="33">
        <f>'Agile AR Aging &lt;-INPUT'!F129</f>
        <v>0</v>
      </c>
      <c r="F10" s="33">
        <f>'Agile AR Aging &lt;-INPUT'!G129</f>
        <v>0</v>
      </c>
      <c r="G10" s="33">
        <f>'Agile AR Aging &lt;-INPUT'!H129</f>
        <v>0</v>
      </c>
      <c r="H10" s="33">
        <f>'Agile AR Aging &lt;-INPUT'!I129</f>
        <v>0</v>
      </c>
      <c r="I10" s="33">
        <f>'Agile AR Aging &lt;-INPUT'!J129</f>
        <v>0</v>
      </c>
      <c r="J10" s="2">
        <f t="shared" si="0"/>
        <v>0</v>
      </c>
      <c r="L10" s="67"/>
      <c r="N10" s="68"/>
    </row>
    <row r="11" spans="1:15" x14ac:dyDescent="0.25">
      <c r="A11" s="1" t="s">
        <v>42</v>
      </c>
      <c r="B11" s="33">
        <f>'Agile AR Aging &lt;-INPUT'!C130</f>
        <v>0</v>
      </c>
      <c r="C11" s="33">
        <f>'Agile AR Aging &lt;-INPUT'!D130</f>
        <v>0</v>
      </c>
      <c r="D11" s="33">
        <f>'Agile AR Aging &lt;-INPUT'!E130</f>
        <v>0</v>
      </c>
      <c r="E11" s="33">
        <f>'Agile AR Aging &lt;-INPUT'!F130</f>
        <v>0</v>
      </c>
      <c r="F11" s="33">
        <f>'Agile AR Aging &lt;-INPUT'!G130</f>
        <v>0</v>
      </c>
      <c r="G11" s="33">
        <f>'Agile AR Aging &lt;-INPUT'!H130</f>
        <v>0</v>
      </c>
      <c r="H11" s="33">
        <f>'Agile AR Aging &lt;-INPUT'!I130</f>
        <v>0</v>
      </c>
      <c r="I11" s="33">
        <f>'Agile AR Aging &lt;-INPUT'!J130</f>
        <v>0</v>
      </c>
      <c r="J11" s="2">
        <f t="shared" si="0"/>
        <v>0</v>
      </c>
      <c r="L11" s="67"/>
      <c r="N11" s="68"/>
    </row>
    <row r="12" spans="1:15" x14ac:dyDescent="0.25">
      <c r="A12" s="1" t="s">
        <v>6</v>
      </c>
      <c r="B12" s="33">
        <f>'Agile AR Aging &lt;-INPUT'!C131+'Agile AR Aging &lt;-INPUT'!C132+'Agile AR Aging &lt;-INPUT'!C139+'Agile AR Aging &lt;-INPUT'!C145</f>
        <v>0</v>
      </c>
      <c r="C12" s="33">
        <f>'Agile AR Aging &lt;-INPUT'!D131+'Agile AR Aging &lt;-INPUT'!D132+'Agile AR Aging &lt;-INPUT'!D139+'Agile AR Aging &lt;-INPUT'!D145</f>
        <v>0</v>
      </c>
      <c r="D12" s="33">
        <f>'Agile AR Aging &lt;-INPUT'!E131+'Agile AR Aging &lt;-INPUT'!E132+'Agile AR Aging &lt;-INPUT'!E139+'Agile AR Aging &lt;-INPUT'!E145</f>
        <v>0</v>
      </c>
      <c r="E12" s="33">
        <f>'Agile AR Aging &lt;-INPUT'!F131+'Agile AR Aging &lt;-INPUT'!F132+'Agile AR Aging &lt;-INPUT'!F139+'Agile AR Aging &lt;-INPUT'!F145</f>
        <v>0</v>
      </c>
      <c r="F12" s="33">
        <f>'Agile AR Aging &lt;-INPUT'!G131+'Agile AR Aging &lt;-INPUT'!G132+'Agile AR Aging &lt;-INPUT'!G139+'Agile AR Aging &lt;-INPUT'!G145</f>
        <v>0</v>
      </c>
      <c r="G12" s="33">
        <f>'Agile AR Aging &lt;-INPUT'!H131+'Agile AR Aging &lt;-INPUT'!H132+'Agile AR Aging &lt;-INPUT'!H139+'Agile AR Aging &lt;-INPUT'!H145</f>
        <v>0</v>
      </c>
      <c r="H12" s="33">
        <f>'Agile AR Aging &lt;-INPUT'!I131+'Agile AR Aging &lt;-INPUT'!I132+'Agile AR Aging &lt;-INPUT'!I139+'Agile AR Aging &lt;-INPUT'!I145</f>
        <v>0</v>
      </c>
      <c r="I12" s="33">
        <f>'Agile AR Aging &lt;-INPUT'!J131+'Agile AR Aging &lt;-INPUT'!J132+'Agile AR Aging &lt;-INPUT'!J139+'Agile AR Aging &lt;-INPUT'!J145</f>
        <v>0</v>
      </c>
      <c r="J12" s="2">
        <f t="shared" si="0"/>
        <v>0</v>
      </c>
      <c r="L12" s="72"/>
      <c r="N12" s="68"/>
    </row>
    <row r="13" spans="1:15" x14ac:dyDescent="0.25">
      <c r="A13" s="1" t="s">
        <v>50</v>
      </c>
      <c r="B13" s="33">
        <f>'Agile AR Aging &lt;-INPUT'!C133</f>
        <v>0</v>
      </c>
      <c r="C13" s="33">
        <f>'Agile AR Aging &lt;-INPUT'!D133</f>
        <v>0</v>
      </c>
      <c r="D13" s="33">
        <f>'Agile AR Aging &lt;-INPUT'!E133</f>
        <v>0</v>
      </c>
      <c r="E13" s="33">
        <f>'Agile AR Aging &lt;-INPUT'!F133</f>
        <v>0</v>
      </c>
      <c r="F13" s="33">
        <f>'Agile AR Aging &lt;-INPUT'!G133</f>
        <v>0</v>
      </c>
      <c r="G13" s="33">
        <f>'Agile AR Aging &lt;-INPUT'!H133</f>
        <v>0</v>
      </c>
      <c r="H13" s="33">
        <f>'Agile AR Aging &lt;-INPUT'!I133</f>
        <v>0</v>
      </c>
      <c r="I13" s="33">
        <f>'Agile AR Aging &lt;-INPUT'!J133</f>
        <v>0</v>
      </c>
      <c r="J13" s="2">
        <f t="shared" si="0"/>
        <v>0</v>
      </c>
      <c r="L13" s="72"/>
      <c r="N13" s="68"/>
    </row>
    <row r="14" spans="1:15" x14ac:dyDescent="0.25">
      <c r="A14" s="1" t="s">
        <v>89</v>
      </c>
      <c r="B14" s="33">
        <f>'Agile AR Aging &lt;-INPUT'!C134</f>
        <v>0</v>
      </c>
      <c r="C14" s="33">
        <f>'Agile AR Aging &lt;-INPUT'!D134</f>
        <v>0</v>
      </c>
      <c r="D14" s="33">
        <f>'Agile AR Aging &lt;-INPUT'!E134</f>
        <v>0</v>
      </c>
      <c r="E14" s="33">
        <f>'Agile AR Aging &lt;-INPUT'!F134</f>
        <v>0</v>
      </c>
      <c r="F14" s="33">
        <f>'Agile AR Aging &lt;-INPUT'!G134</f>
        <v>0</v>
      </c>
      <c r="G14" s="33">
        <f>'Agile AR Aging &lt;-INPUT'!H134</f>
        <v>0</v>
      </c>
      <c r="H14" s="33">
        <f>'Agile AR Aging &lt;-INPUT'!I134</f>
        <v>0</v>
      </c>
      <c r="I14" s="33">
        <f>'Agile AR Aging &lt;-INPUT'!J134</f>
        <v>0</v>
      </c>
      <c r="J14" s="2">
        <f t="shared" si="0"/>
        <v>0</v>
      </c>
      <c r="L14" s="72"/>
      <c r="N14" s="68"/>
    </row>
    <row r="15" spans="1:15" x14ac:dyDescent="0.25">
      <c r="A15" s="1" t="s">
        <v>5</v>
      </c>
      <c r="B15" s="33">
        <f>'Agile AR Aging &lt;-INPUT'!C135</f>
        <v>0</v>
      </c>
      <c r="C15" s="33">
        <f>'Agile AR Aging &lt;-INPUT'!D135</f>
        <v>0</v>
      </c>
      <c r="D15" s="33">
        <f>'Agile AR Aging &lt;-INPUT'!E135</f>
        <v>0</v>
      </c>
      <c r="E15" s="33">
        <f>'Agile AR Aging &lt;-INPUT'!F135</f>
        <v>0</v>
      </c>
      <c r="F15" s="33">
        <f>'Agile AR Aging &lt;-INPUT'!G135</f>
        <v>0</v>
      </c>
      <c r="G15" s="33">
        <f>'Agile AR Aging &lt;-INPUT'!H135</f>
        <v>0</v>
      </c>
      <c r="H15" s="33">
        <f>'Agile AR Aging &lt;-INPUT'!I135</f>
        <v>0</v>
      </c>
      <c r="I15" s="33">
        <f>'Agile AR Aging &lt;-INPUT'!J135</f>
        <v>0</v>
      </c>
      <c r="J15" s="2">
        <f t="shared" si="0"/>
        <v>0</v>
      </c>
      <c r="L15" s="72"/>
      <c r="N15" s="68"/>
    </row>
    <row r="16" spans="1:15" x14ac:dyDescent="0.25">
      <c r="A16" s="1" t="s">
        <v>84</v>
      </c>
      <c r="B16" s="33">
        <f>'Agile AR Aging &lt;-INPUT'!C136</f>
        <v>0</v>
      </c>
      <c r="C16" s="33">
        <f>'Agile AR Aging &lt;-INPUT'!D136</f>
        <v>0</v>
      </c>
      <c r="D16" s="33">
        <f>'Agile AR Aging &lt;-INPUT'!E136</f>
        <v>0</v>
      </c>
      <c r="E16" s="33">
        <f>'Agile AR Aging &lt;-INPUT'!F136</f>
        <v>0</v>
      </c>
      <c r="F16" s="33">
        <f>'Agile AR Aging &lt;-INPUT'!G136</f>
        <v>0</v>
      </c>
      <c r="G16" s="33">
        <f>'Agile AR Aging &lt;-INPUT'!H136</f>
        <v>0</v>
      </c>
      <c r="H16" s="33">
        <f>'Agile AR Aging &lt;-INPUT'!I136</f>
        <v>0</v>
      </c>
      <c r="I16" s="33">
        <f>'Agile AR Aging &lt;-INPUT'!J136</f>
        <v>0</v>
      </c>
      <c r="J16" s="2">
        <f t="shared" si="0"/>
        <v>0</v>
      </c>
      <c r="L16" s="72"/>
      <c r="N16" s="68"/>
    </row>
    <row r="17" spans="1:17" x14ac:dyDescent="0.25">
      <c r="A17" s="1" t="s">
        <v>4</v>
      </c>
      <c r="B17" s="33">
        <f>'Agile AR Aging &lt;-INPUT'!C137</f>
        <v>0</v>
      </c>
      <c r="C17" s="33">
        <f>'Agile AR Aging &lt;-INPUT'!D137</f>
        <v>0</v>
      </c>
      <c r="D17" s="33">
        <f>'Agile AR Aging &lt;-INPUT'!E137</f>
        <v>0</v>
      </c>
      <c r="E17" s="33">
        <f>'Agile AR Aging &lt;-INPUT'!F137</f>
        <v>0</v>
      </c>
      <c r="F17" s="33">
        <f>'Agile AR Aging &lt;-INPUT'!G137</f>
        <v>0</v>
      </c>
      <c r="G17" s="33">
        <f>'Agile AR Aging &lt;-INPUT'!H137</f>
        <v>0</v>
      </c>
      <c r="H17" s="33">
        <f>'Agile AR Aging &lt;-INPUT'!I137</f>
        <v>0</v>
      </c>
      <c r="I17" s="33">
        <f>'Agile AR Aging &lt;-INPUT'!J137</f>
        <v>0</v>
      </c>
      <c r="J17" s="2">
        <f t="shared" si="0"/>
        <v>0</v>
      </c>
      <c r="L17" s="72"/>
      <c r="N17" s="68"/>
    </row>
    <row r="18" spans="1:17" x14ac:dyDescent="0.25">
      <c r="A18" s="1" t="s">
        <v>51</v>
      </c>
      <c r="B18" s="33">
        <f>'Agile AR Aging &lt;-INPUT'!C138</f>
        <v>0</v>
      </c>
      <c r="C18" s="33">
        <f>'Agile AR Aging &lt;-INPUT'!D138</f>
        <v>0</v>
      </c>
      <c r="D18" s="33">
        <f>'Agile AR Aging &lt;-INPUT'!E138</f>
        <v>0</v>
      </c>
      <c r="E18" s="33">
        <f>'Agile AR Aging &lt;-INPUT'!F138</f>
        <v>0</v>
      </c>
      <c r="F18" s="33">
        <f>'Agile AR Aging &lt;-INPUT'!G138</f>
        <v>0</v>
      </c>
      <c r="G18" s="33">
        <f>'Agile AR Aging &lt;-INPUT'!H138</f>
        <v>0</v>
      </c>
      <c r="H18" s="33">
        <f>'Agile AR Aging &lt;-INPUT'!I138</f>
        <v>0</v>
      </c>
      <c r="I18" s="33">
        <f>'Agile AR Aging &lt;-INPUT'!J138</f>
        <v>0</v>
      </c>
      <c r="J18" s="2">
        <f t="shared" si="0"/>
        <v>0</v>
      </c>
      <c r="L18" s="72"/>
      <c r="N18" s="68"/>
    </row>
    <row r="19" spans="1:17" x14ac:dyDescent="0.25">
      <c r="A19" s="1" t="s">
        <v>85</v>
      </c>
      <c r="B19" s="33">
        <f>'Agile AR Aging &lt;-INPUT'!C140</f>
        <v>0</v>
      </c>
      <c r="C19" s="33">
        <f>'Agile AR Aging &lt;-INPUT'!D140</f>
        <v>0</v>
      </c>
      <c r="D19" s="33">
        <f>'Agile AR Aging &lt;-INPUT'!E140</f>
        <v>0</v>
      </c>
      <c r="E19" s="33">
        <f>'Agile AR Aging &lt;-INPUT'!F140</f>
        <v>0</v>
      </c>
      <c r="F19" s="33">
        <f>'Agile AR Aging &lt;-INPUT'!G140</f>
        <v>0</v>
      </c>
      <c r="G19" s="33">
        <f>'Agile AR Aging &lt;-INPUT'!H140</f>
        <v>0</v>
      </c>
      <c r="H19" s="33">
        <f>'Agile AR Aging &lt;-INPUT'!I140</f>
        <v>0</v>
      </c>
      <c r="I19" s="33">
        <f>'Agile AR Aging &lt;-INPUT'!J140</f>
        <v>0</v>
      </c>
      <c r="J19" s="2">
        <f t="shared" si="0"/>
        <v>0</v>
      </c>
      <c r="L19" s="72"/>
      <c r="N19" s="68"/>
    </row>
    <row r="20" spans="1:17" x14ac:dyDescent="0.25">
      <c r="A20" s="1" t="s">
        <v>2</v>
      </c>
      <c r="B20" s="33">
        <f>'Agile AR Aging &lt;-INPUT'!C141</f>
        <v>0</v>
      </c>
      <c r="C20" s="33">
        <f>'Agile AR Aging &lt;-INPUT'!D141</f>
        <v>0</v>
      </c>
      <c r="D20" s="33">
        <f>'Agile AR Aging &lt;-INPUT'!E141</f>
        <v>0</v>
      </c>
      <c r="E20" s="33">
        <f>'Agile AR Aging &lt;-INPUT'!F141</f>
        <v>0</v>
      </c>
      <c r="F20" s="33">
        <f>'Agile AR Aging &lt;-INPUT'!G141</f>
        <v>0</v>
      </c>
      <c r="G20" s="33">
        <f>'Agile AR Aging &lt;-INPUT'!H141</f>
        <v>0</v>
      </c>
      <c r="H20" s="33">
        <f>'Agile AR Aging &lt;-INPUT'!I141</f>
        <v>0</v>
      </c>
      <c r="I20" s="33">
        <f>'Agile AR Aging &lt;-INPUT'!J141</f>
        <v>0</v>
      </c>
      <c r="J20" s="2">
        <f t="shared" si="0"/>
        <v>0</v>
      </c>
      <c r="L20" s="72"/>
      <c r="N20" s="68"/>
    </row>
    <row r="21" spans="1:17" x14ac:dyDescent="0.25">
      <c r="A21" s="1" t="s">
        <v>86</v>
      </c>
      <c r="B21" s="33">
        <f>'Agile AR Aging &lt;-INPUT'!C142</f>
        <v>0</v>
      </c>
      <c r="C21" s="33">
        <f>'Agile AR Aging &lt;-INPUT'!D142</f>
        <v>0</v>
      </c>
      <c r="D21" s="33">
        <f>'Agile AR Aging &lt;-INPUT'!E142</f>
        <v>0</v>
      </c>
      <c r="E21" s="33">
        <f>'Agile AR Aging &lt;-INPUT'!F142</f>
        <v>0</v>
      </c>
      <c r="F21" s="33">
        <f>'Agile AR Aging &lt;-INPUT'!G142</f>
        <v>0</v>
      </c>
      <c r="G21" s="33">
        <f>'Agile AR Aging &lt;-INPUT'!H142</f>
        <v>0</v>
      </c>
      <c r="H21" s="33">
        <f>'Agile AR Aging &lt;-INPUT'!I142</f>
        <v>0</v>
      </c>
      <c r="I21" s="33">
        <f>'Agile AR Aging &lt;-INPUT'!J142</f>
        <v>0</v>
      </c>
      <c r="J21" s="2">
        <f t="shared" si="0"/>
        <v>0</v>
      </c>
      <c r="L21" s="72"/>
      <c r="N21" s="68"/>
    </row>
    <row r="22" spans="1:17" x14ac:dyDescent="0.25">
      <c r="A22" s="1" t="s">
        <v>29</v>
      </c>
      <c r="B22" s="33">
        <f>'Agile AR Aging &lt;-INPUT'!C143</f>
        <v>0</v>
      </c>
      <c r="C22" s="33">
        <f>'Agile AR Aging &lt;-INPUT'!D143</f>
        <v>0</v>
      </c>
      <c r="D22" s="33">
        <f>'Agile AR Aging &lt;-INPUT'!E143</f>
        <v>0</v>
      </c>
      <c r="E22" s="33">
        <f>'Agile AR Aging &lt;-INPUT'!F143</f>
        <v>0</v>
      </c>
      <c r="F22" s="33">
        <f>'Agile AR Aging &lt;-INPUT'!G143</f>
        <v>0</v>
      </c>
      <c r="G22" s="33">
        <f>'Agile AR Aging &lt;-INPUT'!H143</f>
        <v>0</v>
      </c>
      <c r="H22" s="33">
        <f>'Agile AR Aging &lt;-INPUT'!I143</f>
        <v>0</v>
      </c>
      <c r="I22" s="33">
        <f>'Agile AR Aging &lt;-INPUT'!J143</f>
        <v>0</v>
      </c>
      <c r="J22" s="2">
        <f t="shared" si="0"/>
        <v>0</v>
      </c>
      <c r="L22" s="72"/>
      <c r="N22" s="68"/>
    </row>
    <row r="23" spans="1:17" x14ac:dyDescent="0.25">
      <c r="A23" s="1" t="s">
        <v>52</v>
      </c>
      <c r="B23" s="33">
        <f>'Agile AR Aging &lt;-INPUT'!C144</f>
        <v>0</v>
      </c>
      <c r="C23" s="33">
        <f>'Agile AR Aging &lt;-INPUT'!D144</f>
        <v>0</v>
      </c>
      <c r="D23" s="33">
        <f>'Agile AR Aging &lt;-INPUT'!E144</f>
        <v>0</v>
      </c>
      <c r="E23" s="33">
        <f>'Agile AR Aging &lt;-INPUT'!F144</f>
        <v>0</v>
      </c>
      <c r="F23" s="33">
        <f>'Agile AR Aging &lt;-INPUT'!G144</f>
        <v>0</v>
      </c>
      <c r="G23" s="33">
        <f>'Agile AR Aging &lt;-INPUT'!H144</f>
        <v>0</v>
      </c>
      <c r="H23" s="33">
        <f>'Agile AR Aging &lt;-INPUT'!I144</f>
        <v>0</v>
      </c>
      <c r="I23" s="33">
        <f>'Agile AR Aging &lt;-INPUT'!J144</f>
        <v>0</v>
      </c>
      <c r="J23" s="2">
        <f t="shared" si="0"/>
        <v>0</v>
      </c>
      <c r="L23" s="72"/>
      <c r="N23" s="68"/>
    </row>
    <row r="24" spans="1:17" x14ac:dyDescent="0.25">
      <c r="A24" s="1" t="s">
        <v>1</v>
      </c>
      <c r="B24" s="32">
        <f>'Agile AR Aging &lt;-INPUT'!C146</f>
        <v>0</v>
      </c>
      <c r="C24" s="32">
        <f>'Agile AR Aging &lt;-INPUT'!D146</f>
        <v>0</v>
      </c>
      <c r="D24" s="32">
        <f>'Agile AR Aging &lt;-INPUT'!E146</f>
        <v>0</v>
      </c>
      <c r="E24" s="32">
        <f>'Agile AR Aging &lt;-INPUT'!F146</f>
        <v>0</v>
      </c>
      <c r="F24" s="32">
        <f>'Agile AR Aging &lt;-INPUT'!G146</f>
        <v>0</v>
      </c>
      <c r="G24" s="32">
        <f>'Agile AR Aging &lt;-INPUT'!H146</f>
        <v>0</v>
      </c>
      <c r="H24" s="32">
        <f>'Agile AR Aging &lt;-INPUT'!I146</f>
        <v>0</v>
      </c>
      <c r="I24" s="32">
        <f>'Agile AR Aging &lt;-INPUT'!J146</f>
        <v>0</v>
      </c>
      <c r="J24" s="9">
        <f t="shared" si="0"/>
        <v>0</v>
      </c>
      <c r="L24" s="72"/>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53" t="s">
        <v>55</v>
      </c>
      <c r="B27" s="154"/>
      <c r="C27" s="154"/>
      <c r="D27" s="154"/>
      <c r="E27" s="154"/>
      <c r="F27" s="154"/>
      <c r="G27" s="154"/>
      <c r="H27" s="154"/>
      <c r="I27" s="154"/>
      <c r="J27" s="155"/>
      <c r="Q27" s="1"/>
    </row>
    <row r="28" spans="1:17" x14ac:dyDescent="0.25">
      <c r="A28" s="4" t="s">
        <v>16</v>
      </c>
      <c r="B28" s="5" t="s">
        <v>15</v>
      </c>
      <c r="C28" s="5" t="s">
        <v>14</v>
      </c>
      <c r="D28" s="5" t="s">
        <v>13</v>
      </c>
      <c r="E28" s="5" t="s">
        <v>12</v>
      </c>
      <c r="F28" s="5" t="s">
        <v>94</v>
      </c>
      <c r="G28" s="5" t="s">
        <v>95</v>
      </c>
      <c r="H28" s="5" t="s">
        <v>38</v>
      </c>
      <c r="I28" s="5" t="s">
        <v>9</v>
      </c>
      <c r="J28" s="5" t="s">
        <v>0</v>
      </c>
      <c r="Q28" s="1"/>
    </row>
    <row r="29" spans="1:17" x14ac:dyDescent="0.25">
      <c r="A29" s="1" t="s">
        <v>49</v>
      </c>
      <c r="B29" s="36">
        <f>'Reimbursement Rates &lt;-INPUT'!F9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&lt;-INPUT'!F10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&lt;-INPUT'!F11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&lt;-INPUT'!F12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&lt;-INPUT'!F13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&lt;-INPUT'!F15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&lt;-INPUT'!F16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&lt;-INPUT'!F17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&lt;-INPUT'!F18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&lt;-INPUT'!F19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&lt;-INPUT'!F20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&lt;-INPUT'!F22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&lt;-INPUT'!F23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&lt;-INPUT'!F24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&lt;-INPUT'!F25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&lt;-INPUT'!F26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&lt;-INPUT'!F28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50" t="s">
        <v>33</v>
      </c>
      <c r="B47" s="151"/>
      <c r="C47" s="151"/>
      <c r="D47" s="151"/>
      <c r="E47" s="151"/>
      <c r="F47" s="151"/>
      <c r="G47" s="151"/>
      <c r="H47" s="151"/>
      <c r="I47" s="151"/>
      <c r="J47" s="152"/>
      <c r="M47" s="7"/>
      <c r="Q47" s="1"/>
    </row>
    <row r="48" spans="1:17" x14ac:dyDescent="0.25">
      <c r="A48" s="4" t="s">
        <v>16</v>
      </c>
      <c r="B48" s="5" t="s">
        <v>15</v>
      </c>
      <c r="C48" s="5" t="s">
        <v>14</v>
      </c>
      <c r="D48" s="5" t="s">
        <v>13</v>
      </c>
      <c r="E48" s="5" t="s">
        <v>12</v>
      </c>
      <c r="F48" s="5" t="s">
        <v>94</v>
      </c>
      <c r="G48" s="5" t="s">
        <v>95</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68"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68"/>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68"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69"/>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95">
        <v>60000</v>
      </c>
      <c r="M66" s="7">
        <f>J66-L66</f>
        <v>-60000</v>
      </c>
    </row>
    <row r="67" spans="1:13" ht="15.75" thickBot="1" x14ac:dyDescent="0.3">
      <c r="A67" s="1"/>
      <c r="B67" s="9"/>
      <c r="C67" s="9"/>
      <c r="D67" s="9"/>
      <c r="E67" s="9"/>
      <c r="F67" s="9"/>
      <c r="G67" s="9"/>
      <c r="H67" s="9"/>
      <c r="I67" s="9"/>
      <c r="J67" s="9"/>
      <c r="M67" s="7"/>
    </row>
    <row r="68" spans="1:13" ht="15.75" thickBot="1" x14ac:dyDescent="0.3">
      <c r="A68" s="150" t="s">
        <v>64</v>
      </c>
      <c r="B68" s="151"/>
      <c r="C68" s="151"/>
      <c r="D68" s="151"/>
      <c r="E68" s="151"/>
      <c r="F68" s="151"/>
      <c r="G68" s="151"/>
      <c r="H68" s="151"/>
      <c r="I68" s="151"/>
      <c r="J68" s="152"/>
      <c r="M68" s="7"/>
    </row>
    <row r="69" spans="1:13" x14ac:dyDescent="0.25">
      <c r="A69" s="4" t="s">
        <v>16</v>
      </c>
      <c r="B69" s="5" t="s">
        <v>15</v>
      </c>
      <c r="C69" s="5" t="s">
        <v>14</v>
      </c>
      <c r="D69" s="5" t="s">
        <v>13</v>
      </c>
      <c r="E69" s="5" t="s">
        <v>12</v>
      </c>
      <c r="F69" s="5" t="s">
        <v>94</v>
      </c>
      <c r="G69" s="5" t="s">
        <v>95</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53" t="s">
        <v>59</v>
      </c>
      <c r="B89" s="154"/>
      <c r="C89" s="154"/>
      <c r="D89" s="154"/>
      <c r="E89" s="154"/>
      <c r="F89" s="154"/>
      <c r="G89" s="154"/>
      <c r="H89" s="154"/>
      <c r="I89" s="154"/>
      <c r="J89" s="155"/>
      <c r="M89" s="7"/>
    </row>
    <row r="90" spans="1:13" x14ac:dyDescent="0.25">
      <c r="A90" s="4" t="s">
        <v>16</v>
      </c>
      <c r="B90" s="5" t="s">
        <v>15</v>
      </c>
      <c r="C90" s="5" t="s">
        <v>14</v>
      </c>
      <c r="D90" s="5" t="s">
        <v>13</v>
      </c>
      <c r="E90" s="5" t="s">
        <v>12</v>
      </c>
      <c r="F90" s="5" t="s">
        <v>94</v>
      </c>
      <c r="G90" s="5" t="s">
        <v>95</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50" t="s">
        <v>60</v>
      </c>
      <c r="B109" s="151"/>
      <c r="C109" s="151"/>
      <c r="D109" s="151"/>
      <c r="E109" s="151"/>
      <c r="F109" s="151"/>
      <c r="G109" s="151"/>
      <c r="H109" s="151"/>
      <c r="I109" s="151"/>
      <c r="J109" s="152"/>
      <c r="M109" s="7"/>
    </row>
    <row r="110" spans="1:13" x14ac:dyDescent="0.25">
      <c r="A110" s="4" t="s">
        <v>16</v>
      </c>
      <c r="B110" s="5" t="s">
        <v>15</v>
      </c>
      <c r="C110" s="5" t="s">
        <v>14</v>
      </c>
      <c r="D110" s="5" t="s">
        <v>13</v>
      </c>
      <c r="E110" s="5" t="s">
        <v>12</v>
      </c>
      <c r="F110" s="5" t="s">
        <v>94</v>
      </c>
      <c r="G110" s="5" t="s">
        <v>95</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68"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68"/>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152</v>
      </c>
      <c r="M126" s="168"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69"/>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95">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50" t="s">
        <v>30</v>
      </c>
      <c r="B130" s="151"/>
      <c r="C130" s="151"/>
      <c r="D130" s="151"/>
      <c r="E130" s="151"/>
      <c r="F130" s="151"/>
      <c r="G130" s="151"/>
      <c r="H130" s="151"/>
      <c r="I130" s="151"/>
      <c r="J130" s="152"/>
      <c r="M130" s="7"/>
    </row>
    <row r="131" spans="1:13" x14ac:dyDescent="0.25">
      <c r="A131" s="4" t="s">
        <v>16</v>
      </c>
      <c r="B131" s="5" t="s">
        <v>15</v>
      </c>
      <c r="C131" s="5" t="s">
        <v>14</v>
      </c>
      <c r="D131" s="5" t="s">
        <v>13</v>
      </c>
      <c r="E131" s="5" t="s">
        <v>12</v>
      </c>
      <c r="F131" s="5" t="s">
        <v>94</v>
      </c>
      <c r="G131" s="5" t="s">
        <v>95</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09:J109"/>
    <mergeCell ref="M124:M125"/>
    <mergeCell ref="M126:M127"/>
    <mergeCell ref="A130:J130"/>
    <mergeCell ref="A27:J27"/>
    <mergeCell ref="A47:J47"/>
    <mergeCell ref="M62:M63"/>
    <mergeCell ref="M64:M65"/>
    <mergeCell ref="A68:J68"/>
    <mergeCell ref="A89:J89"/>
    <mergeCell ref="A1:M1"/>
    <mergeCell ref="A2:M2"/>
    <mergeCell ref="A3:M3"/>
    <mergeCell ref="A4:M4"/>
    <mergeCell ref="A6:J6"/>
    <mergeCell ref="L6:M6"/>
  </mergeCells>
  <pageMargins left="0.7" right="0.7" top="0.75" bottom="0.75" header="0.3" footer="0.3"/>
  <pageSetup scale="3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Q158"/>
  <sheetViews>
    <sheetView workbookViewId="0">
      <selection sqref="A1:M1"/>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62" t="s">
        <v>17</v>
      </c>
      <c r="B1" s="162"/>
      <c r="C1" s="162"/>
      <c r="D1" s="162"/>
      <c r="E1" s="162"/>
      <c r="F1" s="162"/>
      <c r="G1" s="162"/>
      <c r="H1" s="162"/>
      <c r="I1" s="162"/>
      <c r="J1" s="162"/>
      <c r="K1" s="162"/>
      <c r="L1" s="162"/>
      <c r="M1" s="162"/>
      <c r="O1" s="31"/>
    </row>
    <row r="2" spans="1:15" ht="15.75" x14ac:dyDescent="0.25">
      <c r="A2" s="163" t="s">
        <v>225</v>
      </c>
      <c r="B2" s="163"/>
      <c r="C2" s="163"/>
      <c r="D2" s="163"/>
      <c r="E2" s="163"/>
      <c r="F2" s="163"/>
      <c r="G2" s="163"/>
      <c r="H2" s="163"/>
      <c r="I2" s="163"/>
      <c r="J2" s="163"/>
      <c r="K2" s="163"/>
      <c r="L2" s="163"/>
      <c r="M2" s="163"/>
      <c r="O2" s="31"/>
    </row>
    <row r="3" spans="1:15" x14ac:dyDescent="0.25">
      <c r="A3" s="164" t="s">
        <v>31</v>
      </c>
      <c r="B3" s="164"/>
      <c r="C3" s="164"/>
      <c r="D3" s="164"/>
      <c r="E3" s="164"/>
      <c r="F3" s="164"/>
      <c r="G3" s="164"/>
      <c r="H3" s="164"/>
      <c r="I3" s="164"/>
      <c r="J3" s="164"/>
      <c r="K3" s="164"/>
      <c r="L3" s="164"/>
      <c r="M3" s="164"/>
    </row>
    <row r="4" spans="1:15" x14ac:dyDescent="0.25">
      <c r="A4" s="167">
        <f>'Company Summary'!A4:J4</f>
        <v>45199</v>
      </c>
      <c r="B4" s="167"/>
      <c r="C4" s="167"/>
      <c r="D4" s="167"/>
      <c r="E4" s="167"/>
      <c r="F4" s="167"/>
      <c r="G4" s="167"/>
      <c r="H4" s="167"/>
      <c r="I4" s="167"/>
      <c r="J4" s="167"/>
      <c r="K4" s="167"/>
      <c r="L4" s="167"/>
      <c r="M4" s="167"/>
    </row>
    <row r="5" spans="1:15" ht="15.75" thickBot="1" x14ac:dyDescent="0.3">
      <c r="A5" s="80"/>
      <c r="B5" s="80"/>
      <c r="C5" s="80"/>
      <c r="D5" s="80"/>
      <c r="E5" s="80"/>
      <c r="F5" s="80"/>
      <c r="G5" s="80"/>
      <c r="H5" s="80"/>
      <c r="I5" s="80"/>
      <c r="J5" s="80"/>
      <c r="K5" s="80"/>
      <c r="L5" s="80"/>
      <c r="M5" s="80"/>
    </row>
    <row r="6" spans="1:15" ht="15.75" thickBot="1" x14ac:dyDescent="0.3">
      <c r="A6" s="150" t="s">
        <v>54</v>
      </c>
      <c r="B6" s="151"/>
      <c r="C6" s="151"/>
      <c r="D6" s="151"/>
      <c r="E6" s="151"/>
      <c r="F6" s="151"/>
      <c r="G6" s="151"/>
      <c r="H6" s="151"/>
      <c r="I6" s="151"/>
      <c r="J6" s="152"/>
      <c r="L6" s="166"/>
      <c r="M6" s="166"/>
    </row>
    <row r="7" spans="1:15" x14ac:dyDescent="0.25">
      <c r="A7" s="4" t="s">
        <v>16</v>
      </c>
      <c r="B7" s="5" t="s">
        <v>15</v>
      </c>
      <c r="C7" s="5" t="s">
        <v>14</v>
      </c>
      <c r="D7" s="5" t="s">
        <v>13</v>
      </c>
      <c r="E7" s="5" t="s">
        <v>12</v>
      </c>
      <c r="F7" s="5" t="s">
        <v>94</v>
      </c>
      <c r="G7" s="5" t="s">
        <v>95</v>
      </c>
      <c r="H7" s="5" t="s">
        <v>38</v>
      </c>
      <c r="I7" s="5" t="s">
        <v>9</v>
      </c>
      <c r="J7" s="5" t="s">
        <v>0</v>
      </c>
      <c r="L7" s="4"/>
      <c r="M7" s="4"/>
    </row>
    <row r="8" spans="1:15" x14ac:dyDescent="0.25">
      <c r="A8" s="1" t="s">
        <v>49</v>
      </c>
      <c r="B8" s="33">
        <f>'Agile AR Aging &lt;-INPUT'!C153</f>
        <v>0</v>
      </c>
      <c r="C8" s="33">
        <f>'Agile AR Aging &lt;-INPUT'!D153</f>
        <v>0</v>
      </c>
      <c r="D8" s="33">
        <f>'Agile AR Aging &lt;-INPUT'!E153</f>
        <v>0</v>
      </c>
      <c r="E8" s="33">
        <f>'Agile AR Aging &lt;-INPUT'!F153</f>
        <v>0</v>
      </c>
      <c r="F8" s="33">
        <f>'Agile AR Aging &lt;-INPUT'!G153</f>
        <v>0</v>
      </c>
      <c r="G8" s="33">
        <f>'Agile AR Aging &lt;-INPUT'!H153</f>
        <v>0</v>
      </c>
      <c r="H8" s="33">
        <f>'Agile AR Aging &lt;-INPUT'!I153</f>
        <v>0</v>
      </c>
      <c r="I8" s="33">
        <f>'Agile AR Aging &lt;-INPUT'!J153</f>
        <v>0</v>
      </c>
      <c r="J8" s="2">
        <f t="shared" ref="J8:J24" si="0">SUM(B8:H8)</f>
        <v>0</v>
      </c>
      <c r="L8" s="67"/>
    </row>
    <row r="9" spans="1:15" x14ac:dyDescent="0.25">
      <c r="A9" s="1" t="s">
        <v>8</v>
      </c>
      <c r="B9" s="33">
        <f>'Agile AR Aging &lt;-INPUT'!C154</f>
        <v>0</v>
      </c>
      <c r="C9" s="33">
        <f>'Agile AR Aging &lt;-INPUT'!D154</f>
        <v>0</v>
      </c>
      <c r="D9" s="33">
        <f>'Agile AR Aging &lt;-INPUT'!E154</f>
        <v>0</v>
      </c>
      <c r="E9" s="33">
        <f>'Agile AR Aging &lt;-INPUT'!F154</f>
        <v>0</v>
      </c>
      <c r="F9" s="33">
        <f>'Agile AR Aging &lt;-INPUT'!G154</f>
        <v>0</v>
      </c>
      <c r="G9" s="33">
        <f>'Agile AR Aging &lt;-INPUT'!H154</f>
        <v>0</v>
      </c>
      <c r="H9" s="33">
        <f>'Agile AR Aging &lt;-INPUT'!I154</f>
        <v>0</v>
      </c>
      <c r="I9" s="33">
        <f>'Agile AR Aging &lt;-INPUT'!J154</f>
        <v>0</v>
      </c>
      <c r="J9" s="2">
        <f t="shared" si="0"/>
        <v>0</v>
      </c>
      <c r="L9" s="67"/>
      <c r="N9" s="68"/>
    </row>
    <row r="10" spans="1:15" x14ac:dyDescent="0.25">
      <c r="A10" s="1" t="s">
        <v>7</v>
      </c>
      <c r="B10" s="33">
        <f>'Agile AR Aging &lt;-INPUT'!C155</f>
        <v>0</v>
      </c>
      <c r="C10" s="33">
        <f>'Agile AR Aging &lt;-INPUT'!D155</f>
        <v>0</v>
      </c>
      <c r="D10" s="33">
        <f>'Agile AR Aging &lt;-INPUT'!E155</f>
        <v>0</v>
      </c>
      <c r="E10" s="33">
        <f>'Agile AR Aging &lt;-INPUT'!F155</f>
        <v>0</v>
      </c>
      <c r="F10" s="33">
        <f>'Agile AR Aging &lt;-INPUT'!G155</f>
        <v>0</v>
      </c>
      <c r="G10" s="33">
        <f>'Agile AR Aging &lt;-INPUT'!H155</f>
        <v>0</v>
      </c>
      <c r="H10" s="33">
        <f>'Agile AR Aging &lt;-INPUT'!I155</f>
        <v>0</v>
      </c>
      <c r="I10" s="33">
        <f>'Agile AR Aging &lt;-INPUT'!J155</f>
        <v>0</v>
      </c>
      <c r="J10" s="2">
        <f t="shared" si="0"/>
        <v>0</v>
      </c>
      <c r="L10" s="67"/>
      <c r="N10" s="68"/>
    </row>
    <row r="11" spans="1:15" x14ac:dyDescent="0.25">
      <c r="A11" s="1" t="s">
        <v>42</v>
      </c>
      <c r="B11" s="33">
        <f>'Agile AR Aging &lt;-INPUT'!C156</f>
        <v>0</v>
      </c>
      <c r="C11" s="33">
        <f>'Agile AR Aging &lt;-INPUT'!D156</f>
        <v>0</v>
      </c>
      <c r="D11" s="33">
        <f>'Agile AR Aging &lt;-INPUT'!E156</f>
        <v>0</v>
      </c>
      <c r="E11" s="33">
        <f>'Agile AR Aging &lt;-INPUT'!F156</f>
        <v>0</v>
      </c>
      <c r="F11" s="33">
        <f>'Agile AR Aging &lt;-INPUT'!G156</f>
        <v>0</v>
      </c>
      <c r="G11" s="33">
        <f>'Agile AR Aging &lt;-INPUT'!H156</f>
        <v>0</v>
      </c>
      <c r="H11" s="33">
        <f>'Agile AR Aging &lt;-INPUT'!I156</f>
        <v>0</v>
      </c>
      <c r="I11" s="33">
        <f>'Agile AR Aging &lt;-INPUT'!J156</f>
        <v>0</v>
      </c>
      <c r="J11" s="2">
        <f t="shared" si="0"/>
        <v>0</v>
      </c>
      <c r="L11" s="67"/>
      <c r="N11" s="68"/>
    </row>
    <row r="12" spans="1:15" x14ac:dyDescent="0.25">
      <c r="A12" s="1" t="s">
        <v>6</v>
      </c>
      <c r="B12" s="33">
        <f>'Agile AR Aging &lt;-INPUT'!C157+'Agile AR Aging &lt;-INPUT'!C158+'Agile AR Aging &lt;-INPUT'!C165+'Agile AR Aging &lt;-INPUT'!C171</f>
        <v>0</v>
      </c>
      <c r="C12" s="33">
        <f>'Agile AR Aging &lt;-INPUT'!D157+'Agile AR Aging &lt;-INPUT'!D158+'Agile AR Aging &lt;-INPUT'!D165+'Agile AR Aging &lt;-INPUT'!D171</f>
        <v>0</v>
      </c>
      <c r="D12" s="33">
        <f>'Agile AR Aging &lt;-INPUT'!E157+'Agile AR Aging &lt;-INPUT'!E158+'Agile AR Aging &lt;-INPUT'!E165+'Agile AR Aging &lt;-INPUT'!E171</f>
        <v>0</v>
      </c>
      <c r="E12" s="33">
        <f>'Agile AR Aging &lt;-INPUT'!F157+'Agile AR Aging &lt;-INPUT'!F158+'Agile AR Aging &lt;-INPUT'!F165+'Agile AR Aging &lt;-INPUT'!F171</f>
        <v>0</v>
      </c>
      <c r="F12" s="33">
        <f>'Agile AR Aging &lt;-INPUT'!G157+'Agile AR Aging &lt;-INPUT'!G158+'Agile AR Aging &lt;-INPUT'!G165+'Agile AR Aging &lt;-INPUT'!G171</f>
        <v>0</v>
      </c>
      <c r="G12" s="33">
        <f>'Agile AR Aging &lt;-INPUT'!H157+'Agile AR Aging &lt;-INPUT'!H158+'Agile AR Aging &lt;-INPUT'!H165+'Agile AR Aging &lt;-INPUT'!H171</f>
        <v>0</v>
      </c>
      <c r="H12" s="33">
        <f>'Agile AR Aging &lt;-INPUT'!I157+'Agile AR Aging &lt;-INPUT'!I158+'Agile AR Aging &lt;-INPUT'!I165+'Agile AR Aging &lt;-INPUT'!I171</f>
        <v>0</v>
      </c>
      <c r="I12" s="33">
        <f>'Agile AR Aging &lt;-INPUT'!J157+'Agile AR Aging &lt;-INPUT'!J158+'Agile AR Aging &lt;-INPUT'!J165+'Agile AR Aging &lt;-INPUT'!J171</f>
        <v>0</v>
      </c>
      <c r="J12" s="2">
        <f t="shared" si="0"/>
        <v>0</v>
      </c>
      <c r="L12" s="72"/>
      <c r="N12" s="68"/>
    </row>
    <row r="13" spans="1:15" x14ac:dyDescent="0.25">
      <c r="A13" s="1" t="s">
        <v>50</v>
      </c>
      <c r="B13" s="33">
        <f>'Agile AR Aging &lt;-INPUT'!C159</f>
        <v>0</v>
      </c>
      <c r="C13" s="33">
        <f>'Agile AR Aging &lt;-INPUT'!D159</f>
        <v>0</v>
      </c>
      <c r="D13" s="33">
        <f>'Agile AR Aging &lt;-INPUT'!E159</f>
        <v>0</v>
      </c>
      <c r="E13" s="33">
        <f>'Agile AR Aging &lt;-INPUT'!F159</f>
        <v>0</v>
      </c>
      <c r="F13" s="33">
        <f>'Agile AR Aging &lt;-INPUT'!G159</f>
        <v>0</v>
      </c>
      <c r="G13" s="33">
        <f>'Agile AR Aging &lt;-INPUT'!H159</f>
        <v>0</v>
      </c>
      <c r="H13" s="33">
        <f>'Agile AR Aging &lt;-INPUT'!I159</f>
        <v>0</v>
      </c>
      <c r="I13" s="33">
        <f>'Agile AR Aging &lt;-INPUT'!J159</f>
        <v>0</v>
      </c>
      <c r="J13" s="2">
        <f t="shared" si="0"/>
        <v>0</v>
      </c>
      <c r="L13" s="72"/>
      <c r="N13" s="68"/>
    </row>
    <row r="14" spans="1:15" x14ac:dyDescent="0.25">
      <c r="A14" s="1" t="s">
        <v>89</v>
      </c>
      <c r="B14" s="33">
        <f>'Agile AR Aging &lt;-INPUT'!C160</f>
        <v>0</v>
      </c>
      <c r="C14" s="33">
        <f>'Agile AR Aging &lt;-INPUT'!D160</f>
        <v>0</v>
      </c>
      <c r="D14" s="33">
        <f>'Agile AR Aging &lt;-INPUT'!E160</f>
        <v>0</v>
      </c>
      <c r="E14" s="33">
        <f>'Agile AR Aging &lt;-INPUT'!F160</f>
        <v>0</v>
      </c>
      <c r="F14" s="33">
        <f>'Agile AR Aging &lt;-INPUT'!G160</f>
        <v>0</v>
      </c>
      <c r="G14" s="33">
        <f>'Agile AR Aging &lt;-INPUT'!H160</f>
        <v>0</v>
      </c>
      <c r="H14" s="33">
        <f>'Agile AR Aging &lt;-INPUT'!I160</f>
        <v>0</v>
      </c>
      <c r="I14" s="33">
        <f>'Agile AR Aging &lt;-INPUT'!J160</f>
        <v>0</v>
      </c>
      <c r="J14" s="2">
        <f t="shared" si="0"/>
        <v>0</v>
      </c>
      <c r="L14" s="72"/>
      <c r="N14" s="68"/>
    </row>
    <row r="15" spans="1:15" x14ac:dyDescent="0.25">
      <c r="A15" s="1" t="s">
        <v>5</v>
      </c>
      <c r="B15" s="33">
        <f>'Agile AR Aging &lt;-INPUT'!C161</f>
        <v>0</v>
      </c>
      <c r="C15" s="33">
        <f>'Agile AR Aging &lt;-INPUT'!D161</f>
        <v>0</v>
      </c>
      <c r="D15" s="33">
        <f>'Agile AR Aging &lt;-INPUT'!E161</f>
        <v>0</v>
      </c>
      <c r="E15" s="33">
        <f>'Agile AR Aging &lt;-INPUT'!F161</f>
        <v>0</v>
      </c>
      <c r="F15" s="33">
        <f>'Agile AR Aging &lt;-INPUT'!G161</f>
        <v>0</v>
      </c>
      <c r="G15" s="33">
        <f>'Agile AR Aging &lt;-INPUT'!H161</f>
        <v>0</v>
      </c>
      <c r="H15" s="33">
        <f>'Agile AR Aging &lt;-INPUT'!I161</f>
        <v>0</v>
      </c>
      <c r="I15" s="33">
        <f>'Agile AR Aging &lt;-INPUT'!J161</f>
        <v>0</v>
      </c>
      <c r="J15" s="2">
        <f t="shared" si="0"/>
        <v>0</v>
      </c>
      <c r="L15" s="72"/>
      <c r="N15" s="68"/>
    </row>
    <row r="16" spans="1:15" x14ac:dyDescent="0.25">
      <c r="A16" s="1" t="s">
        <v>84</v>
      </c>
      <c r="B16" s="33">
        <f>'Agile AR Aging &lt;-INPUT'!C162</f>
        <v>0</v>
      </c>
      <c r="C16" s="33">
        <f>'Agile AR Aging &lt;-INPUT'!D162</f>
        <v>0</v>
      </c>
      <c r="D16" s="33">
        <f>'Agile AR Aging &lt;-INPUT'!E162</f>
        <v>0</v>
      </c>
      <c r="E16" s="33">
        <f>'Agile AR Aging &lt;-INPUT'!F162</f>
        <v>0</v>
      </c>
      <c r="F16" s="33">
        <f>'Agile AR Aging &lt;-INPUT'!G162</f>
        <v>0</v>
      </c>
      <c r="G16" s="33">
        <f>'Agile AR Aging &lt;-INPUT'!H162</f>
        <v>0</v>
      </c>
      <c r="H16" s="33">
        <f>'Agile AR Aging &lt;-INPUT'!I162</f>
        <v>0</v>
      </c>
      <c r="I16" s="33">
        <f>'Agile AR Aging &lt;-INPUT'!J162</f>
        <v>0</v>
      </c>
      <c r="J16" s="2">
        <f t="shared" si="0"/>
        <v>0</v>
      </c>
      <c r="L16" s="72"/>
      <c r="N16" s="68"/>
    </row>
    <row r="17" spans="1:17" x14ac:dyDescent="0.25">
      <c r="A17" s="1" t="s">
        <v>4</v>
      </c>
      <c r="B17" s="33">
        <f>'Agile AR Aging &lt;-INPUT'!C163</f>
        <v>0</v>
      </c>
      <c r="C17" s="33">
        <f>'Agile AR Aging &lt;-INPUT'!D163</f>
        <v>0</v>
      </c>
      <c r="D17" s="33">
        <f>'Agile AR Aging &lt;-INPUT'!E163</f>
        <v>0</v>
      </c>
      <c r="E17" s="33">
        <f>'Agile AR Aging &lt;-INPUT'!F163</f>
        <v>0</v>
      </c>
      <c r="F17" s="33">
        <f>'Agile AR Aging &lt;-INPUT'!G163</f>
        <v>0</v>
      </c>
      <c r="G17" s="33">
        <f>'Agile AR Aging &lt;-INPUT'!H163</f>
        <v>0</v>
      </c>
      <c r="H17" s="33">
        <f>'Agile AR Aging &lt;-INPUT'!I163</f>
        <v>0</v>
      </c>
      <c r="I17" s="33">
        <f>'Agile AR Aging &lt;-INPUT'!J163</f>
        <v>0</v>
      </c>
      <c r="J17" s="2">
        <f t="shared" si="0"/>
        <v>0</v>
      </c>
      <c r="L17" s="72"/>
      <c r="N17" s="68"/>
    </row>
    <row r="18" spans="1:17" x14ac:dyDescent="0.25">
      <c r="A18" s="1" t="s">
        <v>51</v>
      </c>
      <c r="B18" s="33">
        <f>'Agile AR Aging &lt;-INPUT'!C164</f>
        <v>0</v>
      </c>
      <c r="C18" s="33">
        <f>'Agile AR Aging &lt;-INPUT'!D164</f>
        <v>0</v>
      </c>
      <c r="D18" s="33">
        <f>'Agile AR Aging &lt;-INPUT'!E164</f>
        <v>0</v>
      </c>
      <c r="E18" s="33">
        <f>'Agile AR Aging &lt;-INPUT'!F164</f>
        <v>0</v>
      </c>
      <c r="F18" s="33">
        <f>'Agile AR Aging &lt;-INPUT'!G164</f>
        <v>0</v>
      </c>
      <c r="G18" s="33">
        <f>'Agile AR Aging &lt;-INPUT'!H164</f>
        <v>0</v>
      </c>
      <c r="H18" s="33">
        <f>'Agile AR Aging &lt;-INPUT'!I164</f>
        <v>0</v>
      </c>
      <c r="I18" s="33">
        <f>'Agile AR Aging &lt;-INPUT'!J164</f>
        <v>0</v>
      </c>
      <c r="J18" s="2">
        <f t="shared" si="0"/>
        <v>0</v>
      </c>
      <c r="L18" s="72"/>
      <c r="N18" s="68"/>
    </row>
    <row r="19" spans="1:17" x14ac:dyDescent="0.25">
      <c r="A19" s="1" t="s">
        <v>85</v>
      </c>
      <c r="B19" s="33">
        <f>'Agile AR Aging &lt;-INPUT'!C166</f>
        <v>0</v>
      </c>
      <c r="C19" s="33">
        <f>'Agile AR Aging &lt;-INPUT'!D166</f>
        <v>0</v>
      </c>
      <c r="D19" s="33">
        <f>'Agile AR Aging &lt;-INPUT'!E166</f>
        <v>0</v>
      </c>
      <c r="E19" s="33">
        <f>'Agile AR Aging &lt;-INPUT'!F166</f>
        <v>0</v>
      </c>
      <c r="F19" s="33">
        <f>'Agile AR Aging &lt;-INPUT'!G166</f>
        <v>0</v>
      </c>
      <c r="G19" s="33">
        <f>'Agile AR Aging &lt;-INPUT'!H166</f>
        <v>0</v>
      </c>
      <c r="H19" s="33">
        <f>'Agile AR Aging &lt;-INPUT'!I166</f>
        <v>0</v>
      </c>
      <c r="I19" s="33">
        <f>'Agile AR Aging &lt;-INPUT'!J166</f>
        <v>0</v>
      </c>
      <c r="J19" s="2">
        <f t="shared" si="0"/>
        <v>0</v>
      </c>
      <c r="L19" s="72"/>
      <c r="N19" s="68"/>
    </row>
    <row r="20" spans="1:17" x14ac:dyDescent="0.25">
      <c r="A20" s="1" t="s">
        <v>2</v>
      </c>
      <c r="B20" s="33">
        <f>'Agile AR Aging &lt;-INPUT'!C167</f>
        <v>0</v>
      </c>
      <c r="C20" s="33">
        <f>'Agile AR Aging &lt;-INPUT'!D167</f>
        <v>0</v>
      </c>
      <c r="D20" s="33">
        <f>'Agile AR Aging &lt;-INPUT'!E167</f>
        <v>0</v>
      </c>
      <c r="E20" s="33">
        <f>'Agile AR Aging &lt;-INPUT'!F167</f>
        <v>0</v>
      </c>
      <c r="F20" s="33">
        <f>'Agile AR Aging &lt;-INPUT'!G167</f>
        <v>0</v>
      </c>
      <c r="G20" s="33">
        <f>'Agile AR Aging &lt;-INPUT'!H167</f>
        <v>0</v>
      </c>
      <c r="H20" s="33">
        <f>'Agile AR Aging &lt;-INPUT'!I167</f>
        <v>0</v>
      </c>
      <c r="I20" s="33">
        <f>'Agile AR Aging &lt;-INPUT'!J167</f>
        <v>0</v>
      </c>
      <c r="J20" s="2">
        <f t="shared" si="0"/>
        <v>0</v>
      </c>
      <c r="L20" s="72"/>
      <c r="N20" s="68"/>
    </row>
    <row r="21" spans="1:17" x14ac:dyDescent="0.25">
      <c r="A21" s="1" t="s">
        <v>86</v>
      </c>
      <c r="B21" s="33">
        <f>'Agile AR Aging &lt;-INPUT'!C168</f>
        <v>0</v>
      </c>
      <c r="C21" s="33">
        <f>'Agile AR Aging &lt;-INPUT'!D168</f>
        <v>0</v>
      </c>
      <c r="D21" s="33">
        <f>'Agile AR Aging &lt;-INPUT'!E168</f>
        <v>0</v>
      </c>
      <c r="E21" s="33">
        <f>'Agile AR Aging &lt;-INPUT'!F168</f>
        <v>0</v>
      </c>
      <c r="F21" s="33">
        <f>'Agile AR Aging &lt;-INPUT'!G168</f>
        <v>0</v>
      </c>
      <c r="G21" s="33">
        <f>'Agile AR Aging &lt;-INPUT'!H168</f>
        <v>0</v>
      </c>
      <c r="H21" s="33">
        <f>'Agile AR Aging &lt;-INPUT'!I168</f>
        <v>0</v>
      </c>
      <c r="I21" s="33">
        <f>'Agile AR Aging &lt;-INPUT'!J168</f>
        <v>0</v>
      </c>
      <c r="J21" s="2">
        <f t="shared" si="0"/>
        <v>0</v>
      </c>
      <c r="L21" s="72"/>
      <c r="N21" s="68"/>
    </row>
    <row r="22" spans="1:17" x14ac:dyDescent="0.25">
      <c r="A22" s="1" t="s">
        <v>29</v>
      </c>
      <c r="B22" s="33">
        <f>'Agile AR Aging &lt;-INPUT'!C169</f>
        <v>0</v>
      </c>
      <c r="C22" s="33">
        <f>'Agile AR Aging &lt;-INPUT'!D169</f>
        <v>0</v>
      </c>
      <c r="D22" s="33">
        <f>'Agile AR Aging &lt;-INPUT'!E169</f>
        <v>0</v>
      </c>
      <c r="E22" s="33">
        <f>'Agile AR Aging &lt;-INPUT'!F169</f>
        <v>0</v>
      </c>
      <c r="F22" s="33">
        <f>'Agile AR Aging &lt;-INPUT'!G169</f>
        <v>0</v>
      </c>
      <c r="G22" s="33">
        <f>'Agile AR Aging &lt;-INPUT'!H169</f>
        <v>0</v>
      </c>
      <c r="H22" s="33">
        <f>'Agile AR Aging &lt;-INPUT'!I169</f>
        <v>0</v>
      </c>
      <c r="I22" s="33">
        <f>'Agile AR Aging &lt;-INPUT'!J169</f>
        <v>0</v>
      </c>
      <c r="J22" s="2">
        <f t="shared" si="0"/>
        <v>0</v>
      </c>
      <c r="L22" s="72"/>
      <c r="N22" s="68"/>
    </row>
    <row r="23" spans="1:17" x14ac:dyDescent="0.25">
      <c r="A23" s="1" t="s">
        <v>52</v>
      </c>
      <c r="B23" s="33">
        <f>'Agile AR Aging &lt;-INPUT'!C170</f>
        <v>0</v>
      </c>
      <c r="C23" s="33">
        <f>'Agile AR Aging &lt;-INPUT'!D170</f>
        <v>0</v>
      </c>
      <c r="D23" s="33">
        <f>'Agile AR Aging &lt;-INPUT'!E170</f>
        <v>0</v>
      </c>
      <c r="E23" s="33">
        <f>'Agile AR Aging &lt;-INPUT'!F170</f>
        <v>0</v>
      </c>
      <c r="F23" s="33">
        <f>'Agile AR Aging &lt;-INPUT'!G170</f>
        <v>0</v>
      </c>
      <c r="G23" s="33">
        <f>'Agile AR Aging &lt;-INPUT'!H170</f>
        <v>0</v>
      </c>
      <c r="H23" s="33">
        <f>'Agile AR Aging &lt;-INPUT'!I170</f>
        <v>0</v>
      </c>
      <c r="I23" s="33">
        <f>'Agile AR Aging &lt;-INPUT'!J170</f>
        <v>0</v>
      </c>
      <c r="J23" s="2">
        <f t="shared" si="0"/>
        <v>0</v>
      </c>
      <c r="L23" s="72"/>
      <c r="N23" s="68"/>
    </row>
    <row r="24" spans="1:17" x14ac:dyDescent="0.25">
      <c r="A24" s="1" t="s">
        <v>1</v>
      </c>
      <c r="B24" s="32">
        <f>'Agile AR Aging &lt;-INPUT'!C172</f>
        <v>0</v>
      </c>
      <c r="C24" s="32">
        <f>'Agile AR Aging &lt;-INPUT'!D172</f>
        <v>0</v>
      </c>
      <c r="D24" s="32">
        <f>'Agile AR Aging &lt;-INPUT'!E172</f>
        <v>0</v>
      </c>
      <c r="E24" s="32">
        <f>'Agile AR Aging &lt;-INPUT'!F172</f>
        <v>0</v>
      </c>
      <c r="F24" s="32">
        <f>'Agile AR Aging &lt;-INPUT'!G172</f>
        <v>0</v>
      </c>
      <c r="G24" s="32">
        <f>'Agile AR Aging &lt;-INPUT'!H172</f>
        <v>0</v>
      </c>
      <c r="H24" s="32">
        <f>'Agile AR Aging &lt;-INPUT'!I172</f>
        <v>0</v>
      </c>
      <c r="I24" s="32">
        <f>'Agile AR Aging &lt;-INPUT'!J172</f>
        <v>0</v>
      </c>
      <c r="J24" s="9">
        <f t="shared" si="0"/>
        <v>0</v>
      </c>
      <c r="L24" s="72"/>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53" t="s">
        <v>55</v>
      </c>
      <c r="B27" s="154"/>
      <c r="C27" s="154"/>
      <c r="D27" s="154"/>
      <c r="E27" s="154"/>
      <c r="F27" s="154"/>
      <c r="G27" s="154"/>
      <c r="H27" s="154"/>
      <c r="I27" s="154"/>
      <c r="J27" s="155"/>
      <c r="Q27" s="1"/>
    </row>
    <row r="28" spans="1:17" x14ac:dyDescent="0.25">
      <c r="A28" s="4" t="s">
        <v>16</v>
      </c>
      <c r="B28" s="5" t="s">
        <v>15</v>
      </c>
      <c r="C28" s="5" t="s">
        <v>14</v>
      </c>
      <c r="D28" s="5" t="s">
        <v>13</v>
      </c>
      <c r="E28" s="5" t="s">
        <v>12</v>
      </c>
      <c r="F28" s="5" t="s">
        <v>94</v>
      </c>
      <c r="G28" s="5" t="s">
        <v>95</v>
      </c>
      <c r="H28" s="5" t="s">
        <v>38</v>
      </c>
      <c r="I28" s="5" t="s">
        <v>9</v>
      </c>
      <c r="J28" s="5" t="s">
        <v>0</v>
      </c>
      <c r="Q28" s="1"/>
    </row>
    <row r="29" spans="1:17" x14ac:dyDescent="0.25">
      <c r="A29" s="1" t="s">
        <v>49</v>
      </c>
      <c r="B29" s="36">
        <f>'Reimbursement Rates &lt;-INPUT'!G9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&lt;-INPUT'!G10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&lt;-INPUT'!G11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&lt;-INPUT'!G12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&lt;-INPUT'!G13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&lt;-INPUT'!G15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&lt;-INPUT'!G16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&lt;-INPUT'!G17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&lt;-INPUT'!G18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&lt;-INPUT'!G19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&lt;-INPUT'!G20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&lt;-INPUT'!G22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&lt;-INPUT'!G23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&lt;-INPUT'!G24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&lt;-INPUT'!G25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&lt;-INPUT'!G26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&lt;-INPUT'!G28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50" t="s">
        <v>33</v>
      </c>
      <c r="B47" s="151"/>
      <c r="C47" s="151"/>
      <c r="D47" s="151"/>
      <c r="E47" s="151"/>
      <c r="F47" s="151"/>
      <c r="G47" s="151"/>
      <c r="H47" s="151"/>
      <c r="I47" s="151"/>
      <c r="J47" s="152"/>
      <c r="M47" s="7"/>
      <c r="Q47" s="1"/>
    </row>
    <row r="48" spans="1:17" x14ac:dyDescent="0.25">
      <c r="A48" s="4" t="s">
        <v>16</v>
      </c>
      <c r="B48" s="5" t="s">
        <v>15</v>
      </c>
      <c r="C48" s="5" t="s">
        <v>14</v>
      </c>
      <c r="D48" s="5" t="s">
        <v>13</v>
      </c>
      <c r="E48" s="5" t="s">
        <v>12</v>
      </c>
      <c r="F48" s="5" t="s">
        <v>94</v>
      </c>
      <c r="G48" s="5" t="s">
        <v>95</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68"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68"/>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68"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69"/>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95">
        <v>60000</v>
      </c>
      <c r="M66" s="7">
        <f>J66-L66</f>
        <v>-60000</v>
      </c>
    </row>
    <row r="67" spans="1:13" ht="15.75" thickBot="1" x14ac:dyDescent="0.3">
      <c r="A67" s="1"/>
      <c r="B67" s="9"/>
      <c r="C67" s="9"/>
      <c r="D67" s="9"/>
      <c r="E67" s="9"/>
      <c r="F67" s="9"/>
      <c r="G67" s="9"/>
      <c r="H67" s="9"/>
      <c r="I67" s="9"/>
      <c r="J67" s="9"/>
      <c r="M67" s="7"/>
    </row>
    <row r="68" spans="1:13" ht="15.75" thickBot="1" x14ac:dyDescent="0.3">
      <c r="A68" s="150" t="s">
        <v>64</v>
      </c>
      <c r="B68" s="151"/>
      <c r="C68" s="151"/>
      <c r="D68" s="151"/>
      <c r="E68" s="151"/>
      <c r="F68" s="151"/>
      <c r="G68" s="151"/>
      <c r="H68" s="151"/>
      <c r="I68" s="151"/>
      <c r="J68" s="152"/>
      <c r="M68" s="7"/>
    </row>
    <row r="69" spans="1:13" x14ac:dyDescent="0.25">
      <c r="A69" s="4" t="s">
        <v>16</v>
      </c>
      <c r="B69" s="5" t="s">
        <v>15</v>
      </c>
      <c r="C69" s="5" t="s">
        <v>14</v>
      </c>
      <c r="D69" s="5" t="s">
        <v>13</v>
      </c>
      <c r="E69" s="5" t="s">
        <v>12</v>
      </c>
      <c r="F69" s="5" t="s">
        <v>94</v>
      </c>
      <c r="G69" s="5" t="s">
        <v>95</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53" t="s">
        <v>59</v>
      </c>
      <c r="B89" s="154"/>
      <c r="C89" s="154"/>
      <c r="D89" s="154"/>
      <c r="E89" s="154"/>
      <c r="F89" s="154"/>
      <c r="G89" s="154"/>
      <c r="H89" s="154"/>
      <c r="I89" s="154"/>
      <c r="J89" s="155"/>
      <c r="M89" s="7"/>
    </row>
    <row r="90" spans="1:13" x14ac:dyDescent="0.25">
      <c r="A90" s="4" t="s">
        <v>16</v>
      </c>
      <c r="B90" s="5" t="s">
        <v>15</v>
      </c>
      <c r="C90" s="5" t="s">
        <v>14</v>
      </c>
      <c r="D90" s="5" t="s">
        <v>13</v>
      </c>
      <c r="E90" s="5" t="s">
        <v>12</v>
      </c>
      <c r="F90" s="5" t="s">
        <v>94</v>
      </c>
      <c r="G90" s="5" t="s">
        <v>95</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50" t="s">
        <v>60</v>
      </c>
      <c r="B109" s="151"/>
      <c r="C109" s="151"/>
      <c r="D109" s="151"/>
      <c r="E109" s="151"/>
      <c r="F109" s="151"/>
      <c r="G109" s="151"/>
      <c r="H109" s="151"/>
      <c r="I109" s="151"/>
      <c r="J109" s="152"/>
      <c r="M109" s="7"/>
    </row>
    <row r="110" spans="1:13" x14ac:dyDescent="0.25">
      <c r="A110" s="4" t="s">
        <v>16</v>
      </c>
      <c r="B110" s="5" t="s">
        <v>15</v>
      </c>
      <c r="C110" s="5" t="s">
        <v>14</v>
      </c>
      <c r="D110" s="5" t="s">
        <v>13</v>
      </c>
      <c r="E110" s="5" t="s">
        <v>12</v>
      </c>
      <c r="F110" s="5" t="s">
        <v>94</v>
      </c>
      <c r="G110" s="5" t="s">
        <v>95</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68"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68"/>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152</v>
      </c>
      <c r="M126" s="168"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69"/>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95">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50" t="s">
        <v>30</v>
      </c>
      <c r="B130" s="151"/>
      <c r="C130" s="151"/>
      <c r="D130" s="151"/>
      <c r="E130" s="151"/>
      <c r="F130" s="151"/>
      <c r="G130" s="151"/>
      <c r="H130" s="151"/>
      <c r="I130" s="151"/>
      <c r="J130" s="152"/>
      <c r="M130" s="7"/>
    </row>
    <row r="131" spans="1:13" x14ac:dyDescent="0.25">
      <c r="A131" s="4" t="s">
        <v>16</v>
      </c>
      <c r="B131" s="5" t="s">
        <v>15</v>
      </c>
      <c r="C131" s="5" t="s">
        <v>14</v>
      </c>
      <c r="D131" s="5" t="s">
        <v>13</v>
      </c>
      <c r="E131" s="5" t="s">
        <v>12</v>
      </c>
      <c r="F131" s="5" t="s">
        <v>94</v>
      </c>
      <c r="G131" s="5" t="s">
        <v>95</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09:J109"/>
    <mergeCell ref="M124:M125"/>
    <mergeCell ref="M126:M127"/>
    <mergeCell ref="A130:J130"/>
    <mergeCell ref="A27:J27"/>
    <mergeCell ref="A47:J47"/>
    <mergeCell ref="M62:M63"/>
    <mergeCell ref="M64:M65"/>
    <mergeCell ref="A68:J68"/>
    <mergeCell ref="A89:J89"/>
    <mergeCell ref="A1:M1"/>
    <mergeCell ref="A2:M2"/>
    <mergeCell ref="A3:M3"/>
    <mergeCell ref="A4:M4"/>
    <mergeCell ref="A6:J6"/>
    <mergeCell ref="L6:M6"/>
  </mergeCells>
  <pageMargins left="0.7" right="0.7" top="0.75" bottom="0.75" header="0.3" footer="0.3"/>
  <pageSetup scale="3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Q158"/>
  <sheetViews>
    <sheetView workbookViewId="0">
      <selection sqref="A1:M1"/>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62" t="s">
        <v>17</v>
      </c>
      <c r="B1" s="162"/>
      <c r="C1" s="162"/>
      <c r="D1" s="162"/>
      <c r="E1" s="162"/>
      <c r="F1" s="162"/>
      <c r="G1" s="162"/>
      <c r="H1" s="162"/>
      <c r="I1" s="162"/>
      <c r="J1" s="162"/>
      <c r="K1" s="162"/>
      <c r="L1" s="162"/>
      <c r="M1" s="162"/>
      <c r="O1" s="31"/>
    </row>
    <row r="2" spans="1:15" ht="15.75" x14ac:dyDescent="0.25">
      <c r="A2" s="163" t="s">
        <v>225</v>
      </c>
      <c r="B2" s="163"/>
      <c r="C2" s="163"/>
      <c r="D2" s="163"/>
      <c r="E2" s="163"/>
      <c r="F2" s="163"/>
      <c r="G2" s="163"/>
      <c r="H2" s="163"/>
      <c r="I2" s="163"/>
      <c r="J2" s="163"/>
      <c r="K2" s="163"/>
      <c r="L2" s="163"/>
      <c r="M2" s="163"/>
      <c r="O2" s="31"/>
    </row>
    <row r="3" spans="1:15" x14ac:dyDescent="0.25">
      <c r="A3" s="164" t="s">
        <v>31</v>
      </c>
      <c r="B3" s="164"/>
      <c r="C3" s="164"/>
      <c r="D3" s="164"/>
      <c r="E3" s="164"/>
      <c r="F3" s="164"/>
      <c r="G3" s="164"/>
      <c r="H3" s="164"/>
      <c r="I3" s="164"/>
      <c r="J3" s="164"/>
      <c r="K3" s="164"/>
      <c r="L3" s="164"/>
      <c r="M3" s="164"/>
    </row>
    <row r="4" spans="1:15" x14ac:dyDescent="0.25">
      <c r="A4" s="167">
        <f>'Company Summary'!A4:J4</f>
        <v>45199</v>
      </c>
      <c r="B4" s="167"/>
      <c r="C4" s="167"/>
      <c r="D4" s="167"/>
      <c r="E4" s="167"/>
      <c r="F4" s="167"/>
      <c r="G4" s="167"/>
      <c r="H4" s="167"/>
      <c r="I4" s="167"/>
      <c r="J4" s="167"/>
      <c r="K4" s="167"/>
      <c r="L4" s="167"/>
      <c r="M4" s="167"/>
    </row>
    <row r="5" spans="1:15" ht="15.75" thickBot="1" x14ac:dyDescent="0.3">
      <c r="A5" s="80"/>
      <c r="B5" s="80"/>
      <c r="C5" s="80"/>
      <c r="D5" s="80"/>
      <c r="E5" s="80"/>
      <c r="F5" s="80"/>
      <c r="G5" s="80"/>
      <c r="H5" s="80"/>
      <c r="I5" s="80"/>
      <c r="J5" s="80"/>
      <c r="K5" s="80"/>
      <c r="L5" s="80"/>
      <c r="M5" s="80"/>
    </row>
    <row r="6" spans="1:15" ht="15.75" thickBot="1" x14ac:dyDescent="0.3">
      <c r="A6" s="150" t="s">
        <v>54</v>
      </c>
      <c r="B6" s="151"/>
      <c r="C6" s="151"/>
      <c r="D6" s="151"/>
      <c r="E6" s="151"/>
      <c r="F6" s="151"/>
      <c r="G6" s="151"/>
      <c r="H6" s="151"/>
      <c r="I6" s="151"/>
      <c r="J6" s="152"/>
      <c r="L6" s="166"/>
      <c r="M6" s="166"/>
    </row>
    <row r="7" spans="1:15" x14ac:dyDescent="0.25">
      <c r="A7" s="4" t="s">
        <v>16</v>
      </c>
      <c r="B7" s="5" t="s">
        <v>15</v>
      </c>
      <c r="C7" s="5" t="s">
        <v>14</v>
      </c>
      <c r="D7" s="5" t="s">
        <v>13</v>
      </c>
      <c r="E7" s="5" t="s">
        <v>12</v>
      </c>
      <c r="F7" s="5" t="s">
        <v>94</v>
      </c>
      <c r="G7" s="5" t="s">
        <v>95</v>
      </c>
      <c r="H7" s="5" t="s">
        <v>38</v>
      </c>
      <c r="I7" s="5" t="s">
        <v>9</v>
      </c>
      <c r="J7" s="5" t="s">
        <v>0</v>
      </c>
      <c r="L7" s="4"/>
      <c r="M7" s="4"/>
    </row>
    <row r="8" spans="1:15" x14ac:dyDescent="0.25">
      <c r="A8" s="1" t="s">
        <v>49</v>
      </c>
      <c r="B8" s="33">
        <f>'Agile AR Aging &lt;-INPUT'!C179</f>
        <v>0</v>
      </c>
      <c r="C8" s="33">
        <f>'Agile AR Aging &lt;-INPUT'!D179</f>
        <v>0</v>
      </c>
      <c r="D8" s="33">
        <f>'Agile AR Aging &lt;-INPUT'!E179</f>
        <v>0</v>
      </c>
      <c r="E8" s="33">
        <f>'Agile AR Aging &lt;-INPUT'!F179</f>
        <v>0</v>
      </c>
      <c r="F8" s="33">
        <f>'Agile AR Aging &lt;-INPUT'!G179</f>
        <v>0</v>
      </c>
      <c r="G8" s="33">
        <f>'Agile AR Aging &lt;-INPUT'!H179</f>
        <v>0</v>
      </c>
      <c r="H8" s="33">
        <f>'Agile AR Aging &lt;-INPUT'!I179</f>
        <v>0</v>
      </c>
      <c r="I8" s="33">
        <f>'Agile AR Aging &lt;-INPUT'!J179</f>
        <v>0</v>
      </c>
      <c r="J8" s="2">
        <f t="shared" ref="J8:J24" si="0">SUM(B8:H8)</f>
        <v>0</v>
      </c>
      <c r="L8" s="67"/>
    </row>
    <row r="9" spans="1:15" x14ac:dyDescent="0.25">
      <c r="A9" s="1" t="s">
        <v>8</v>
      </c>
      <c r="B9" s="33">
        <f>'Agile AR Aging &lt;-INPUT'!C180</f>
        <v>0</v>
      </c>
      <c r="C9" s="33">
        <f>'Agile AR Aging &lt;-INPUT'!D180</f>
        <v>0</v>
      </c>
      <c r="D9" s="33">
        <f>'Agile AR Aging &lt;-INPUT'!E180</f>
        <v>0</v>
      </c>
      <c r="E9" s="33">
        <f>'Agile AR Aging &lt;-INPUT'!F180</f>
        <v>0</v>
      </c>
      <c r="F9" s="33">
        <f>'Agile AR Aging &lt;-INPUT'!G180</f>
        <v>0</v>
      </c>
      <c r="G9" s="33">
        <f>'Agile AR Aging &lt;-INPUT'!H180</f>
        <v>0</v>
      </c>
      <c r="H9" s="33">
        <f>'Agile AR Aging &lt;-INPUT'!I180</f>
        <v>0</v>
      </c>
      <c r="I9" s="33">
        <f>'Agile AR Aging &lt;-INPUT'!J180</f>
        <v>0</v>
      </c>
      <c r="J9" s="2">
        <f t="shared" si="0"/>
        <v>0</v>
      </c>
      <c r="L9" s="67"/>
      <c r="N9" s="68"/>
    </row>
    <row r="10" spans="1:15" x14ac:dyDescent="0.25">
      <c r="A10" s="1" t="s">
        <v>7</v>
      </c>
      <c r="B10" s="33">
        <f>'Agile AR Aging &lt;-INPUT'!C181</f>
        <v>0</v>
      </c>
      <c r="C10" s="33">
        <f>'Agile AR Aging &lt;-INPUT'!D181</f>
        <v>0</v>
      </c>
      <c r="D10" s="33">
        <f>'Agile AR Aging &lt;-INPUT'!E181</f>
        <v>0</v>
      </c>
      <c r="E10" s="33">
        <f>'Agile AR Aging &lt;-INPUT'!F181</f>
        <v>0</v>
      </c>
      <c r="F10" s="33">
        <f>'Agile AR Aging &lt;-INPUT'!G181</f>
        <v>0</v>
      </c>
      <c r="G10" s="33">
        <f>'Agile AR Aging &lt;-INPUT'!H181</f>
        <v>0</v>
      </c>
      <c r="H10" s="33">
        <f>'Agile AR Aging &lt;-INPUT'!I181</f>
        <v>0</v>
      </c>
      <c r="I10" s="33">
        <f>'Agile AR Aging &lt;-INPUT'!J181</f>
        <v>0</v>
      </c>
      <c r="J10" s="2">
        <f t="shared" si="0"/>
        <v>0</v>
      </c>
      <c r="L10" s="67"/>
      <c r="N10" s="68"/>
    </row>
    <row r="11" spans="1:15" x14ac:dyDescent="0.25">
      <c r="A11" s="1" t="s">
        <v>42</v>
      </c>
      <c r="B11" s="33">
        <f>'Agile AR Aging &lt;-INPUT'!C182</f>
        <v>0</v>
      </c>
      <c r="C11" s="33">
        <f>'Agile AR Aging &lt;-INPUT'!D182</f>
        <v>0</v>
      </c>
      <c r="D11" s="33">
        <f>'Agile AR Aging &lt;-INPUT'!E182</f>
        <v>0</v>
      </c>
      <c r="E11" s="33">
        <f>'Agile AR Aging &lt;-INPUT'!F182</f>
        <v>0</v>
      </c>
      <c r="F11" s="33">
        <f>'Agile AR Aging &lt;-INPUT'!G182</f>
        <v>0</v>
      </c>
      <c r="G11" s="33">
        <f>'Agile AR Aging &lt;-INPUT'!H182</f>
        <v>0</v>
      </c>
      <c r="H11" s="33">
        <f>'Agile AR Aging &lt;-INPUT'!I182</f>
        <v>0</v>
      </c>
      <c r="I11" s="33">
        <f>'Agile AR Aging &lt;-INPUT'!J182</f>
        <v>0</v>
      </c>
      <c r="J11" s="2">
        <f t="shared" si="0"/>
        <v>0</v>
      </c>
      <c r="L11" s="67"/>
      <c r="N11" s="68"/>
    </row>
    <row r="12" spans="1:15" x14ac:dyDescent="0.25">
      <c r="A12" s="1" t="s">
        <v>6</v>
      </c>
      <c r="B12" s="33">
        <f>'Agile AR Aging &lt;-INPUT'!C183+'Agile AR Aging &lt;-INPUT'!C184+'Agile AR Aging &lt;-INPUT'!C191+'Agile AR Aging &lt;-INPUT'!C197</f>
        <v>0</v>
      </c>
      <c r="C12" s="33">
        <f>'Agile AR Aging &lt;-INPUT'!D183+'Agile AR Aging &lt;-INPUT'!D184+'Agile AR Aging &lt;-INPUT'!D191+'Agile AR Aging &lt;-INPUT'!D197</f>
        <v>0</v>
      </c>
      <c r="D12" s="33">
        <f>'Agile AR Aging &lt;-INPUT'!E183+'Agile AR Aging &lt;-INPUT'!E184+'Agile AR Aging &lt;-INPUT'!E191+'Agile AR Aging &lt;-INPUT'!E197</f>
        <v>0</v>
      </c>
      <c r="E12" s="33">
        <f>'Agile AR Aging &lt;-INPUT'!F183+'Agile AR Aging &lt;-INPUT'!F184+'Agile AR Aging &lt;-INPUT'!F191+'Agile AR Aging &lt;-INPUT'!F197</f>
        <v>0</v>
      </c>
      <c r="F12" s="33">
        <f>'Agile AR Aging &lt;-INPUT'!G183+'Agile AR Aging &lt;-INPUT'!G184+'Agile AR Aging &lt;-INPUT'!G191+'Agile AR Aging &lt;-INPUT'!G197</f>
        <v>0</v>
      </c>
      <c r="G12" s="33">
        <f>'Agile AR Aging &lt;-INPUT'!H183+'Agile AR Aging &lt;-INPUT'!H184+'Agile AR Aging &lt;-INPUT'!H191+'Agile AR Aging &lt;-INPUT'!H197</f>
        <v>0</v>
      </c>
      <c r="H12" s="33">
        <f>'Agile AR Aging &lt;-INPUT'!I183+'Agile AR Aging &lt;-INPUT'!I184+'Agile AR Aging &lt;-INPUT'!I191+'Agile AR Aging &lt;-INPUT'!I197</f>
        <v>0</v>
      </c>
      <c r="I12" s="33">
        <f>'Agile AR Aging &lt;-INPUT'!J183+'Agile AR Aging &lt;-INPUT'!J184+'Agile AR Aging &lt;-INPUT'!J191+'Agile AR Aging &lt;-INPUT'!J197</f>
        <v>0</v>
      </c>
      <c r="J12" s="2">
        <f t="shared" si="0"/>
        <v>0</v>
      </c>
      <c r="L12" s="72"/>
      <c r="N12" s="68"/>
    </row>
    <row r="13" spans="1:15" x14ac:dyDescent="0.25">
      <c r="A13" s="1" t="s">
        <v>50</v>
      </c>
      <c r="B13" s="33">
        <f>'Agile AR Aging &lt;-INPUT'!C185</f>
        <v>0</v>
      </c>
      <c r="C13" s="33">
        <f>'Agile AR Aging &lt;-INPUT'!D185</f>
        <v>0</v>
      </c>
      <c r="D13" s="33">
        <f>'Agile AR Aging &lt;-INPUT'!E185</f>
        <v>0</v>
      </c>
      <c r="E13" s="33">
        <f>'Agile AR Aging &lt;-INPUT'!F185</f>
        <v>0</v>
      </c>
      <c r="F13" s="33">
        <f>'Agile AR Aging &lt;-INPUT'!G185</f>
        <v>0</v>
      </c>
      <c r="G13" s="33">
        <f>'Agile AR Aging &lt;-INPUT'!H185</f>
        <v>0</v>
      </c>
      <c r="H13" s="33">
        <f>'Agile AR Aging &lt;-INPUT'!I185</f>
        <v>0</v>
      </c>
      <c r="I13" s="33">
        <f>'Agile AR Aging &lt;-INPUT'!J185</f>
        <v>0</v>
      </c>
      <c r="J13" s="2">
        <f t="shared" si="0"/>
        <v>0</v>
      </c>
      <c r="L13" s="72"/>
      <c r="N13" s="68"/>
    </row>
    <row r="14" spans="1:15" x14ac:dyDescent="0.25">
      <c r="A14" s="1" t="s">
        <v>89</v>
      </c>
      <c r="B14" s="33">
        <f>'Agile AR Aging &lt;-INPUT'!C186</f>
        <v>0</v>
      </c>
      <c r="C14" s="33">
        <f>'Agile AR Aging &lt;-INPUT'!D186</f>
        <v>0</v>
      </c>
      <c r="D14" s="33">
        <f>'Agile AR Aging &lt;-INPUT'!E186</f>
        <v>0</v>
      </c>
      <c r="E14" s="33">
        <f>'Agile AR Aging &lt;-INPUT'!F186</f>
        <v>0</v>
      </c>
      <c r="F14" s="33">
        <f>'Agile AR Aging &lt;-INPUT'!G186</f>
        <v>0</v>
      </c>
      <c r="G14" s="33">
        <f>'Agile AR Aging &lt;-INPUT'!H186</f>
        <v>0</v>
      </c>
      <c r="H14" s="33">
        <f>'Agile AR Aging &lt;-INPUT'!I186</f>
        <v>0</v>
      </c>
      <c r="I14" s="33">
        <f>'Agile AR Aging &lt;-INPUT'!J186</f>
        <v>0</v>
      </c>
      <c r="J14" s="2">
        <f t="shared" si="0"/>
        <v>0</v>
      </c>
      <c r="L14" s="72"/>
      <c r="N14" s="68"/>
    </row>
    <row r="15" spans="1:15" x14ac:dyDescent="0.25">
      <c r="A15" s="1" t="s">
        <v>5</v>
      </c>
      <c r="B15" s="33">
        <f>'Agile AR Aging &lt;-INPUT'!C187</f>
        <v>0</v>
      </c>
      <c r="C15" s="33">
        <f>'Agile AR Aging &lt;-INPUT'!D187</f>
        <v>0</v>
      </c>
      <c r="D15" s="33">
        <f>'Agile AR Aging &lt;-INPUT'!E187</f>
        <v>0</v>
      </c>
      <c r="E15" s="33">
        <f>'Agile AR Aging &lt;-INPUT'!F187</f>
        <v>0</v>
      </c>
      <c r="F15" s="33">
        <f>'Agile AR Aging &lt;-INPUT'!G187</f>
        <v>0</v>
      </c>
      <c r="G15" s="33">
        <f>'Agile AR Aging &lt;-INPUT'!H187</f>
        <v>0</v>
      </c>
      <c r="H15" s="33">
        <f>'Agile AR Aging &lt;-INPUT'!I187</f>
        <v>0</v>
      </c>
      <c r="I15" s="33">
        <f>'Agile AR Aging &lt;-INPUT'!J187</f>
        <v>0</v>
      </c>
      <c r="J15" s="2">
        <f t="shared" si="0"/>
        <v>0</v>
      </c>
      <c r="L15" s="72"/>
      <c r="N15" s="68"/>
    </row>
    <row r="16" spans="1:15" x14ac:dyDescent="0.25">
      <c r="A16" s="1" t="s">
        <v>84</v>
      </c>
      <c r="B16" s="33">
        <f>'Agile AR Aging &lt;-INPUT'!C188</f>
        <v>0</v>
      </c>
      <c r="C16" s="33">
        <f>'Agile AR Aging &lt;-INPUT'!D188</f>
        <v>0</v>
      </c>
      <c r="D16" s="33">
        <f>'Agile AR Aging &lt;-INPUT'!E188</f>
        <v>0</v>
      </c>
      <c r="E16" s="33">
        <f>'Agile AR Aging &lt;-INPUT'!F188</f>
        <v>0</v>
      </c>
      <c r="F16" s="33">
        <f>'Agile AR Aging &lt;-INPUT'!G188</f>
        <v>0</v>
      </c>
      <c r="G16" s="33">
        <f>'Agile AR Aging &lt;-INPUT'!H188</f>
        <v>0</v>
      </c>
      <c r="H16" s="33">
        <f>'Agile AR Aging &lt;-INPUT'!I188</f>
        <v>0</v>
      </c>
      <c r="I16" s="33">
        <f>'Agile AR Aging &lt;-INPUT'!J188</f>
        <v>0</v>
      </c>
      <c r="J16" s="2">
        <f t="shared" si="0"/>
        <v>0</v>
      </c>
      <c r="L16" s="72"/>
      <c r="N16" s="68"/>
    </row>
    <row r="17" spans="1:17" x14ac:dyDescent="0.25">
      <c r="A17" s="1" t="s">
        <v>4</v>
      </c>
      <c r="B17" s="33">
        <f>'Agile AR Aging &lt;-INPUT'!C189</f>
        <v>0</v>
      </c>
      <c r="C17" s="33">
        <f>'Agile AR Aging &lt;-INPUT'!D189</f>
        <v>0</v>
      </c>
      <c r="D17" s="33">
        <f>'Agile AR Aging &lt;-INPUT'!E189</f>
        <v>0</v>
      </c>
      <c r="E17" s="33">
        <f>'Agile AR Aging &lt;-INPUT'!F189</f>
        <v>0</v>
      </c>
      <c r="F17" s="33">
        <f>'Agile AR Aging &lt;-INPUT'!G189</f>
        <v>0</v>
      </c>
      <c r="G17" s="33">
        <f>'Agile AR Aging &lt;-INPUT'!H189</f>
        <v>0</v>
      </c>
      <c r="H17" s="33">
        <f>'Agile AR Aging &lt;-INPUT'!I189</f>
        <v>0</v>
      </c>
      <c r="I17" s="33">
        <f>'Agile AR Aging &lt;-INPUT'!J189</f>
        <v>0</v>
      </c>
      <c r="J17" s="2">
        <f t="shared" si="0"/>
        <v>0</v>
      </c>
      <c r="L17" s="72"/>
      <c r="N17" s="68"/>
    </row>
    <row r="18" spans="1:17" x14ac:dyDescent="0.25">
      <c r="A18" s="1" t="s">
        <v>51</v>
      </c>
      <c r="B18" s="33">
        <f>'Agile AR Aging &lt;-INPUT'!C190</f>
        <v>0</v>
      </c>
      <c r="C18" s="33">
        <f>'Agile AR Aging &lt;-INPUT'!D190</f>
        <v>0</v>
      </c>
      <c r="D18" s="33">
        <f>'Agile AR Aging &lt;-INPUT'!E190</f>
        <v>0</v>
      </c>
      <c r="E18" s="33">
        <f>'Agile AR Aging &lt;-INPUT'!F190</f>
        <v>0</v>
      </c>
      <c r="F18" s="33">
        <f>'Agile AR Aging &lt;-INPUT'!G190</f>
        <v>0</v>
      </c>
      <c r="G18" s="33">
        <f>'Agile AR Aging &lt;-INPUT'!H190</f>
        <v>0</v>
      </c>
      <c r="H18" s="33">
        <f>'Agile AR Aging &lt;-INPUT'!I190</f>
        <v>0</v>
      </c>
      <c r="I18" s="33">
        <f>'Agile AR Aging &lt;-INPUT'!J190</f>
        <v>0</v>
      </c>
      <c r="J18" s="2">
        <f t="shared" si="0"/>
        <v>0</v>
      </c>
      <c r="L18" s="72"/>
      <c r="N18" s="68"/>
    </row>
    <row r="19" spans="1:17" x14ac:dyDescent="0.25">
      <c r="A19" s="1" t="s">
        <v>85</v>
      </c>
      <c r="B19" s="33">
        <f>'Agile AR Aging &lt;-INPUT'!C192</f>
        <v>0</v>
      </c>
      <c r="C19" s="33">
        <f>'Agile AR Aging &lt;-INPUT'!D192</f>
        <v>0</v>
      </c>
      <c r="D19" s="33">
        <f>'Agile AR Aging &lt;-INPUT'!E192</f>
        <v>0</v>
      </c>
      <c r="E19" s="33">
        <f>'Agile AR Aging &lt;-INPUT'!F192</f>
        <v>0</v>
      </c>
      <c r="F19" s="33">
        <f>'Agile AR Aging &lt;-INPUT'!G192</f>
        <v>0</v>
      </c>
      <c r="G19" s="33">
        <f>'Agile AR Aging &lt;-INPUT'!H192</f>
        <v>0</v>
      </c>
      <c r="H19" s="33">
        <f>'Agile AR Aging &lt;-INPUT'!I192</f>
        <v>0</v>
      </c>
      <c r="I19" s="33">
        <f>'Agile AR Aging &lt;-INPUT'!J192</f>
        <v>0</v>
      </c>
      <c r="J19" s="2">
        <f t="shared" si="0"/>
        <v>0</v>
      </c>
      <c r="L19" s="72"/>
      <c r="N19" s="68"/>
    </row>
    <row r="20" spans="1:17" x14ac:dyDescent="0.25">
      <c r="A20" s="1" t="s">
        <v>2</v>
      </c>
      <c r="B20" s="33">
        <f>'Agile AR Aging &lt;-INPUT'!C193</f>
        <v>0</v>
      </c>
      <c r="C20" s="33">
        <f>'Agile AR Aging &lt;-INPUT'!D193</f>
        <v>0</v>
      </c>
      <c r="D20" s="33">
        <f>'Agile AR Aging &lt;-INPUT'!E193</f>
        <v>0</v>
      </c>
      <c r="E20" s="33">
        <f>'Agile AR Aging &lt;-INPUT'!F193</f>
        <v>0</v>
      </c>
      <c r="F20" s="33">
        <f>'Agile AR Aging &lt;-INPUT'!G193</f>
        <v>0</v>
      </c>
      <c r="G20" s="33">
        <f>'Agile AR Aging &lt;-INPUT'!H193</f>
        <v>0</v>
      </c>
      <c r="H20" s="33">
        <f>'Agile AR Aging &lt;-INPUT'!I193</f>
        <v>0</v>
      </c>
      <c r="I20" s="33">
        <f>'Agile AR Aging &lt;-INPUT'!J193</f>
        <v>0</v>
      </c>
      <c r="J20" s="2">
        <f t="shared" si="0"/>
        <v>0</v>
      </c>
      <c r="L20" s="72"/>
      <c r="N20" s="68"/>
    </row>
    <row r="21" spans="1:17" x14ac:dyDescent="0.25">
      <c r="A21" s="1" t="s">
        <v>86</v>
      </c>
      <c r="B21" s="33">
        <f>'Agile AR Aging &lt;-INPUT'!C194</f>
        <v>0</v>
      </c>
      <c r="C21" s="33">
        <f>'Agile AR Aging &lt;-INPUT'!D194</f>
        <v>0</v>
      </c>
      <c r="D21" s="33">
        <f>'Agile AR Aging &lt;-INPUT'!E194</f>
        <v>0</v>
      </c>
      <c r="E21" s="33">
        <f>'Agile AR Aging &lt;-INPUT'!F194</f>
        <v>0</v>
      </c>
      <c r="F21" s="33">
        <f>'Agile AR Aging &lt;-INPUT'!G194</f>
        <v>0</v>
      </c>
      <c r="G21" s="33">
        <f>'Agile AR Aging &lt;-INPUT'!H194</f>
        <v>0</v>
      </c>
      <c r="H21" s="33">
        <f>'Agile AR Aging &lt;-INPUT'!I194</f>
        <v>0</v>
      </c>
      <c r="I21" s="33">
        <f>'Agile AR Aging &lt;-INPUT'!J194</f>
        <v>0</v>
      </c>
      <c r="J21" s="2">
        <f t="shared" si="0"/>
        <v>0</v>
      </c>
      <c r="L21" s="72"/>
      <c r="N21" s="68"/>
    </row>
    <row r="22" spans="1:17" x14ac:dyDescent="0.25">
      <c r="A22" s="1" t="s">
        <v>29</v>
      </c>
      <c r="B22" s="33">
        <f>'Agile AR Aging &lt;-INPUT'!C195</f>
        <v>0</v>
      </c>
      <c r="C22" s="33">
        <f>'Agile AR Aging &lt;-INPUT'!D195</f>
        <v>0</v>
      </c>
      <c r="D22" s="33">
        <f>'Agile AR Aging &lt;-INPUT'!E195</f>
        <v>0</v>
      </c>
      <c r="E22" s="33">
        <f>'Agile AR Aging &lt;-INPUT'!F195</f>
        <v>0</v>
      </c>
      <c r="F22" s="33">
        <f>'Agile AR Aging &lt;-INPUT'!G195</f>
        <v>0</v>
      </c>
      <c r="G22" s="33">
        <f>'Agile AR Aging &lt;-INPUT'!H195</f>
        <v>0</v>
      </c>
      <c r="H22" s="33">
        <f>'Agile AR Aging &lt;-INPUT'!I195</f>
        <v>0</v>
      </c>
      <c r="I22" s="33">
        <f>'Agile AR Aging &lt;-INPUT'!J195</f>
        <v>0</v>
      </c>
      <c r="J22" s="2">
        <f t="shared" si="0"/>
        <v>0</v>
      </c>
      <c r="L22" s="72"/>
      <c r="N22" s="68"/>
    </row>
    <row r="23" spans="1:17" x14ac:dyDescent="0.25">
      <c r="A23" s="1" t="s">
        <v>52</v>
      </c>
      <c r="B23" s="33">
        <f>'Agile AR Aging &lt;-INPUT'!C196</f>
        <v>0</v>
      </c>
      <c r="C23" s="33">
        <f>'Agile AR Aging &lt;-INPUT'!D196</f>
        <v>0</v>
      </c>
      <c r="D23" s="33">
        <f>'Agile AR Aging &lt;-INPUT'!E196</f>
        <v>0</v>
      </c>
      <c r="E23" s="33">
        <f>'Agile AR Aging &lt;-INPUT'!F196</f>
        <v>0</v>
      </c>
      <c r="F23" s="33">
        <f>'Agile AR Aging &lt;-INPUT'!G196</f>
        <v>0</v>
      </c>
      <c r="G23" s="33">
        <f>'Agile AR Aging &lt;-INPUT'!H196</f>
        <v>0</v>
      </c>
      <c r="H23" s="33">
        <f>'Agile AR Aging &lt;-INPUT'!I196</f>
        <v>0</v>
      </c>
      <c r="I23" s="33">
        <f>'Agile AR Aging &lt;-INPUT'!J196</f>
        <v>0</v>
      </c>
      <c r="J23" s="2">
        <f t="shared" si="0"/>
        <v>0</v>
      </c>
      <c r="L23" s="72"/>
      <c r="N23" s="68"/>
    </row>
    <row r="24" spans="1:17" x14ac:dyDescent="0.25">
      <c r="A24" s="1" t="s">
        <v>1</v>
      </c>
      <c r="B24" s="32">
        <f>'Agile AR Aging &lt;-INPUT'!C198</f>
        <v>0</v>
      </c>
      <c r="C24" s="32">
        <f>'Agile AR Aging &lt;-INPUT'!D198</f>
        <v>0</v>
      </c>
      <c r="D24" s="32">
        <f>'Agile AR Aging &lt;-INPUT'!E198</f>
        <v>0</v>
      </c>
      <c r="E24" s="32">
        <f>'Agile AR Aging &lt;-INPUT'!F198</f>
        <v>0</v>
      </c>
      <c r="F24" s="32">
        <f>'Agile AR Aging &lt;-INPUT'!G198</f>
        <v>0</v>
      </c>
      <c r="G24" s="32">
        <f>'Agile AR Aging &lt;-INPUT'!H198</f>
        <v>0</v>
      </c>
      <c r="H24" s="32">
        <f>'Agile AR Aging &lt;-INPUT'!I198</f>
        <v>0</v>
      </c>
      <c r="I24" s="32">
        <f>'Agile AR Aging &lt;-INPUT'!J198</f>
        <v>0</v>
      </c>
      <c r="J24" s="9">
        <f t="shared" si="0"/>
        <v>0</v>
      </c>
      <c r="L24" s="72"/>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53" t="s">
        <v>55</v>
      </c>
      <c r="B27" s="154"/>
      <c r="C27" s="154"/>
      <c r="D27" s="154"/>
      <c r="E27" s="154"/>
      <c r="F27" s="154"/>
      <c r="G27" s="154"/>
      <c r="H27" s="154"/>
      <c r="I27" s="154"/>
      <c r="J27" s="155"/>
      <c r="Q27" s="1"/>
    </row>
    <row r="28" spans="1:17" x14ac:dyDescent="0.25">
      <c r="A28" s="4" t="s">
        <v>16</v>
      </c>
      <c r="B28" s="5" t="s">
        <v>15</v>
      </c>
      <c r="C28" s="5" t="s">
        <v>14</v>
      </c>
      <c r="D28" s="5" t="s">
        <v>13</v>
      </c>
      <c r="E28" s="5" t="s">
        <v>12</v>
      </c>
      <c r="F28" s="5" t="s">
        <v>94</v>
      </c>
      <c r="G28" s="5" t="s">
        <v>95</v>
      </c>
      <c r="H28" s="5" t="s">
        <v>38</v>
      </c>
      <c r="I28" s="5" t="s">
        <v>9</v>
      </c>
      <c r="J28" s="5" t="s">
        <v>0</v>
      </c>
      <c r="Q28" s="1"/>
    </row>
    <row r="29" spans="1:17" x14ac:dyDescent="0.25">
      <c r="A29" s="1" t="s">
        <v>49</v>
      </c>
      <c r="B29" s="36">
        <f>'Reimbursement Rates &lt;-INPUT'!H9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&lt;-INPUT'!H10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&lt;-INPUT'!H11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&lt;-INPUT'!H12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&lt;-INPUT'!H13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&lt;-INPUT'!H15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&lt;-INPUT'!H16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&lt;-INPUT'!H17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&lt;-INPUT'!H18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&lt;-INPUT'!H19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&lt;-INPUT'!H20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&lt;-INPUT'!H22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&lt;-INPUT'!H23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&lt;-INPUT'!H24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&lt;-INPUT'!H25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&lt;-INPUT'!H26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&lt;-INPUT'!H28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50" t="s">
        <v>33</v>
      </c>
      <c r="B47" s="151"/>
      <c r="C47" s="151"/>
      <c r="D47" s="151"/>
      <c r="E47" s="151"/>
      <c r="F47" s="151"/>
      <c r="G47" s="151"/>
      <c r="H47" s="151"/>
      <c r="I47" s="151"/>
      <c r="J47" s="152"/>
      <c r="M47" s="7"/>
      <c r="Q47" s="1"/>
    </row>
    <row r="48" spans="1:17" x14ac:dyDescent="0.25">
      <c r="A48" s="4" t="s">
        <v>16</v>
      </c>
      <c r="B48" s="5" t="s">
        <v>15</v>
      </c>
      <c r="C48" s="5" t="s">
        <v>14</v>
      </c>
      <c r="D48" s="5" t="s">
        <v>13</v>
      </c>
      <c r="E48" s="5" t="s">
        <v>12</v>
      </c>
      <c r="F48" s="5" t="s">
        <v>94</v>
      </c>
      <c r="G48" s="5" t="s">
        <v>95</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68"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68"/>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68"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69"/>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95">
        <v>60000</v>
      </c>
      <c r="M66" s="7">
        <f>J66-L66</f>
        <v>-60000</v>
      </c>
    </row>
    <row r="67" spans="1:13" ht="15.75" thickBot="1" x14ac:dyDescent="0.3">
      <c r="A67" s="1"/>
      <c r="B67" s="9"/>
      <c r="C67" s="9"/>
      <c r="D67" s="9"/>
      <c r="E67" s="9"/>
      <c r="F67" s="9"/>
      <c r="G67" s="9"/>
      <c r="H67" s="9"/>
      <c r="I67" s="9"/>
      <c r="J67" s="9"/>
      <c r="M67" s="7"/>
    </row>
    <row r="68" spans="1:13" ht="15.75" thickBot="1" x14ac:dyDescent="0.3">
      <c r="A68" s="150" t="s">
        <v>64</v>
      </c>
      <c r="B68" s="151"/>
      <c r="C68" s="151"/>
      <c r="D68" s="151"/>
      <c r="E68" s="151"/>
      <c r="F68" s="151"/>
      <c r="G68" s="151"/>
      <c r="H68" s="151"/>
      <c r="I68" s="151"/>
      <c r="J68" s="152"/>
      <c r="M68" s="7"/>
    </row>
    <row r="69" spans="1:13" x14ac:dyDescent="0.25">
      <c r="A69" s="4" t="s">
        <v>16</v>
      </c>
      <c r="B69" s="5" t="s">
        <v>15</v>
      </c>
      <c r="C69" s="5" t="s">
        <v>14</v>
      </c>
      <c r="D69" s="5" t="s">
        <v>13</v>
      </c>
      <c r="E69" s="5" t="s">
        <v>12</v>
      </c>
      <c r="F69" s="5" t="s">
        <v>94</v>
      </c>
      <c r="G69" s="5" t="s">
        <v>95</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53" t="s">
        <v>59</v>
      </c>
      <c r="B89" s="154"/>
      <c r="C89" s="154"/>
      <c r="D89" s="154"/>
      <c r="E89" s="154"/>
      <c r="F89" s="154"/>
      <c r="G89" s="154"/>
      <c r="H89" s="154"/>
      <c r="I89" s="154"/>
      <c r="J89" s="155"/>
      <c r="M89" s="7"/>
    </row>
    <row r="90" spans="1:13" x14ac:dyDescent="0.25">
      <c r="A90" s="4" t="s">
        <v>16</v>
      </c>
      <c r="B90" s="5" t="s">
        <v>15</v>
      </c>
      <c r="C90" s="5" t="s">
        <v>14</v>
      </c>
      <c r="D90" s="5" t="s">
        <v>13</v>
      </c>
      <c r="E90" s="5" t="s">
        <v>12</v>
      </c>
      <c r="F90" s="5" t="s">
        <v>94</v>
      </c>
      <c r="G90" s="5" t="s">
        <v>95</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50" t="s">
        <v>60</v>
      </c>
      <c r="B109" s="151"/>
      <c r="C109" s="151"/>
      <c r="D109" s="151"/>
      <c r="E109" s="151"/>
      <c r="F109" s="151"/>
      <c r="G109" s="151"/>
      <c r="H109" s="151"/>
      <c r="I109" s="151"/>
      <c r="J109" s="152"/>
      <c r="M109" s="7"/>
    </row>
    <row r="110" spans="1:13" x14ac:dyDescent="0.25">
      <c r="A110" s="4" t="s">
        <v>16</v>
      </c>
      <c r="B110" s="5" t="s">
        <v>15</v>
      </c>
      <c r="C110" s="5" t="s">
        <v>14</v>
      </c>
      <c r="D110" s="5" t="s">
        <v>13</v>
      </c>
      <c r="E110" s="5" t="s">
        <v>12</v>
      </c>
      <c r="F110" s="5" t="s">
        <v>94</v>
      </c>
      <c r="G110" s="5" t="s">
        <v>95</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68"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68"/>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152</v>
      </c>
      <c r="M126" s="168"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69"/>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95">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50" t="s">
        <v>30</v>
      </c>
      <c r="B130" s="151"/>
      <c r="C130" s="151"/>
      <c r="D130" s="151"/>
      <c r="E130" s="151"/>
      <c r="F130" s="151"/>
      <c r="G130" s="151"/>
      <c r="H130" s="151"/>
      <c r="I130" s="151"/>
      <c r="J130" s="152"/>
      <c r="M130" s="7"/>
    </row>
    <row r="131" spans="1:13" x14ac:dyDescent="0.25">
      <c r="A131" s="4" t="s">
        <v>16</v>
      </c>
      <c r="B131" s="5" t="s">
        <v>15</v>
      </c>
      <c r="C131" s="5" t="s">
        <v>14</v>
      </c>
      <c r="D131" s="5" t="s">
        <v>13</v>
      </c>
      <c r="E131" s="5" t="s">
        <v>12</v>
      </c>
      <c r="F131" s="5" t="s">
        <v>94</v>
      </c>
      <c r="G131" s="5" t="s">
        <v>95</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09:J109"/>
    <mergeCell ref="M124:M125"/>
    <mergeCell ref="M126:M127"/>
    <mergeCell ref="A130:J130"/>
    <mergeCell ref="A27:J27"/>
    <mergeCell ref="A47:J47"/>
    <mergeCell ref="M62:M63"/>
    <mergeCell ref="M64:M65"/>
    <mergeCell ref="A68:J68"/>
    <mergeCell ref="A89:J89"/>
    <mergeCell ref="A1:M1"/>
    <mergeCell ref="A2:M2"/>
    <mergeCell ref="A3:M3"/>
    <mergeCell ref="A4:M4"/>
    <mergeCell ref="A6:J6"/>
    <mergeCell ref="L6:M6"/>
  </mergeCells>
  <pageMargins left="0.7" right="0.7" top="0.75" bottom="0.75" header="0.3" footer="0.3"/>
  <pageSetup scale="3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Q158"/>
  <sheetViews>
    <sheetView workbookViewId="0">
      <selection sqref="A1:M1"/>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62" t="s">
        <v>17</v>
      </c>
      <c r="B1" s="162"/>
      <c r="C1" s="162"/>
      <c r="D1" s="162"/>
      <c r="E1" s="162"/>
      <c r="F1" s="162"/>
      <c r="G1" s="162"/>
      <c r="H1" s="162"/>
      <c r="I1" s="162"/>
      <c r="J1" s="162"/>
      <c r="K1" s="162"/>
      <c r="L1" s="162"/>
      <c r="M1" s="162"/>
      <c r="O1" s="31"/>
    </row>
    <row r="2" spans="1:15" ht="15.75" x14ac:dyDescent="0.25">
      <c r="A2" s="163" t="s">
        <v>225</v>
      </c>
      <c r="B2" s="163"/>
      <c r="C2" s="163"/>
      <c r="D2" s="163"/>
      <c r="E2" s="163"/>
      <c r="F2" s="163"/>
      <c r="G2" s="163"/>
      <c r="H2" s="163"/>
      <c r="I2" s="163"/>
      <c r="J2" s="163"/>
      <c r="K2" s="163"/>
      <c r="L2" s="163"/>
      <c r="M2" s="163"/>
      <c r="O2" s="31"/>
    </row>
    <row r="3" spans="1:15" x14ac:dyDescent="0.25">
      <c r="A3" s="164" t="s">
        <v>31</v>
      </c>
      <c r="B3" s="164"/>
      <c r="C3" s="164"/>
      <c r="D3" s="164"/>
      <c r="E3" s="164"/>
      <c r="F3" s="164"/>
      <c r="G3" s="164"/>
      <c r="H3" s="164"/>
      <c r="I3" s="164"/>
      <c r="J3" s="164"/>
      <c r="K3" s="164"/>
      <c r="L3" s="164"/>
      <c r="M3" s="164"/>
    </row>
    <row r="4" spans="1:15" x14ac:dyDescent="0.25">
      <c r="A4" s="167">
        <f>'Company Summary'!A4:J4</f>
        <v>45199</v>
      </c>
      <c r="B4" s="167"/>
      <c r="C4" s="167"/>
      <c r="D4" s="167"/>
      <c r="E4" s="167"/>
      <c r="F4" s="167"/>
      <c r="G4" s="167"/>
      <c r="H4" s="167"/>
      <c r="I4" s="167"/>
      <c r="J4" s="167"/>
      <c r="K4" s="167"/>
      <c r="L4" s="167"/>
      <c r="M4" s="167"/>
    </row>
    <row r="5" spans="1:15" ht="15.75" thickBot="1" x14ac:dyDescent="0.3">
      <c r="A5" s="80"/>
      <c r="B5" s="80"/>
      <c r="C5" s="80"/>
      <c r="D5" s="80"/>
      <c r="E5" s="80"/>
      <c r="F5" s="80"/>
      <c r="G5" s="80"/>
      <c r="H5" s="80"/>
      <c r="I5" s="80"/>
      <c r="J5" s="80"/>
      <c r="K5" s="80"/>
      <c r="L5" s="80"/>
      <c r="M5" s="80"/>
    </row>
    <row r="6" spans="1:15" ht="15.75" thickBot="1" x14ac:dyDescent="0.3">
      <c r="A6" s="150" t="s">
        <v>54</v>
      </c>
      <c r="B6" s="151"/>
      <c r="C6" s="151"/>
      <c r="D6" s="151"/>
      <c r="E6" s="151"/>
      <c r="F6" s="151"/>
      <c r="G6" s="151"/>
      <c r="H6" s="151"/>
      <c r="I6" s="151"/>
      <c r="J6" s="152"/>
      <c r="L6" s="166"/>
      <c r="M6" s="166"/>
    </row>
    <row r="7" spans="1:15" x14ac:dyDescent="0.25">
      <c r="A7" s="4" t="s">
        <v>16</v>
      </c>
      <c r="B7" s="5" t="s">
        <v>15</v>
      </c>
      <c r="C7" s="5" t="s">
        <v>14</v>
      </c>
      <c r="D7" s="5" t="s">
        <v>13</v>
      </c>
      <c r="E7" s="5" t="s">
        <v>12</v>
      </c>
      <c r="F7" s="5" t="s">
        <v>94</v>
      </c>
      <c r="G7" s="5" t="s">
        <v>95</v>
      </c>
      <c r="H7" s="5" t="s">
        <v>38</v>
      </c>
      <c r="I7" s="5" t="s">
        <v>9</v>
      </c>
      <c r="J7" s="5" t="s">
        <v>0</v>
      </c>
      <c r="L7" s="4"/>
      <c r="M7" s="4"/>
    </row>
    <row r="8" spans="1:15" x14ac:dyDescent="0.25">
      <c r="A8" s="1" t="s">
        <v>49</v>
      </c>
      <c r="B8" s="33">
        <f>'Agile AR Aging &lt;-INPUT'!C205</f>
        <v>0</v>
      </c>
      <c r="C8" s="33">
        <f>'Agile AR Aging &lt;-INPUT'!D205</f>
        <v>0</v>
      </c>
      <c r="D8" s="33">
        <f>'Agile AR Aging &lt;-INPUT'!E205</f>
        <v>0</v>
      </c>
      <c r="E8" s="33">
        <f>'Agile AR Aging &lt;-INPUT'!F205</f>
        <v>0</v>
      </c>
      <c r="F8" s="33">
        <f>'Agile AR Aging &lt;-INPUT'!G205</f>
        <v>0</v>
      </c>
      <c r="G8" s="33">
        <f>'Agile AR Aging &lt;-INPUT'!H205</f>
        <v>0</v>
      </c>
      <c r="H8" s="33">
        <f>'Agile AR Aging &lt;-INPUT'!I205</f>
        <v>0</v>
      </c>
      <c r="I8" s="33">
        <f>'Agile AR Aging &lt;-INPUT'!J205</f>
        <v>0</v>
      </c>
      <c r="J8" s="2">
        <f t="shared" ref="J8:J24" si="0">SUM(B8:H8)</f>
        <v>0</v>
      </c>
      <c r="L8" s="67"/>
    </row>
    <row r="9" spans="1:15" x14ac:dyDescent="0.25">
      <c r="A9" s="1" t="s">
        <v>8</v>
      </c>
      <c r="B9" s="33">
        <f>'Agile AR Aging &lt;-INPUT'!C206</f>
        <v>0</v>
      </c>
      <c r="C9" s="33">
        <f>'Agile AR Aging &lt;-INPUT'!D206</f>
        <v>0</v>
      </c>
      <c r="D9" s="33">
        <f>'Agile AR Aging &lt;-INPUT'!E206</f>
        <v>0</v>
      </c>
      <c r="E9" s="33">
        <f>'Agile AR Aging &lt;-INPUT'!F206</f>
        <v>0</v>
      </c>
      <c r="F9" s="33">
        <f>'Agile AR Aging &lt;-INPUT'!G206</f>
        <v>0</v>
      </c>
      <c r="G9" s="33">
        <f>'Agile AR Aging &lt;-INPUT'!H206</f>
        <v>0</v>
      </c>
      <c r="H9" s="33">
        <f>'Agile AR Aging &lt;-INPUT'!I206</f>
        <v>0</v>
      </c>
      <c r="I9" s="33">
        <f>'Agile AR Aging &lt;-INPUT'!J206</f>
        <v>0</v>
      </c>
      <c r="J9" s="2">
        <f t="shared" si="0"/>
        <v>0</v>
      </c>
      <c r="L9" s="67"/>
      <c r="N9" s="68"/>
    </row>
    <row r="10" spans="1:15" x14ac:dyDescent="0.25">
      <c r="A10" s="1" t="s">
        <v>7</v>
      </c>
      <c r="B10" s="33">
        <f>'Agile AR Aging &lt;-INPUT'!C207</f>
        <v>0</v>
      </c>
      <c r="C10" s="33">
        <f>'Agile AR Aging &lt;-INPUT'!D207</f>
        <v>0</v>
      </c>
      <c r="D10" s="33">
        <f>'Agile AR Aging &lt;-INPUT'!E207</f>
        <v>0</v>
      </c>
      <c r="E10" s="33">
        <f>'Agile AR Aging &lt;-INPUT'!F207</f>
        <v>0</v>
      </c>
      <c r="F10" s="33">
        <f>'Agile AR Aging &lt;-INPUT'!G207</f>
        <v>0</v>
      </c>
      <c r="G10" s="33">
        <f>'Agile AR Aging &lt;-INPUT'!H207</f>
        <v>0</v>
      </c>
      <c r="H10" s="33">
        <f>'Agile AR Aging &lt;-INPUT'!I207</f>
        <v>0</v>
      </c>
      <c r="I10" s="33">
        <f>'Agile AR Aging &lt;-INPUT'!J207</f>
        <v>0</v>
      </c>
      <c r="J10" s="2">
        <f t="shared" si="0"/>
        <v>0</v>
      </c>
      <c r="L10" s="67"/>
      <c r="N10" s="68"/>
    </row>
    <row r="11" spans="1:15" x14ac:dyDescent="0.25">
      <c r="A11" s="1" t="s">
        <v>42</v>
      </c>
      <c r="B11" s="33">
        <f>'Agile AR Aging &lt;-INPUT'!C208</f>
        <v>0</v>
      </c>
      <c r="C11" s="33">
        <f>'Agile AR Aging &lt;-INPUT'!D208</f>
        <v>0</v>
      </c>
      <c r="D11" s="33">
        <f>'Agile AR Aging &lt;-INPUT'!E208</f>
        <v>0</v>
      </c>
      <c r="E11" s="33">
        <f>'Agile AR Aging &lt;-INPUT'!F208</f>
        <v>0</v>
      </c>
      <c r="F11" s="33">
        <f>'Agile AR Aging &lt;-INPUT'!G208</f>
        <v>0</v>
      </c>
      <c r="G11" s="33">
        <f>'Agile AR Aging &lt;-INPUT'!H208</f>
        <v>0</v>
      </c>
      <c r="H11" s="33">
        <f>'Agile AR Aging &lt;-INPUT'!I208</f>
        <v>0</v>
      </c>
      <c r="I11" s="33">
        <f>'Agile AR Aging &lt;-INPUT'!J208</f>
        <v>0</v>
      </c>
      <c r="J11" s="2">
        <f t="shared" si="0"/>
        <v>0</v>
      </c>
      <c r="L11" s="67"/>
      <c r="N11" s="68"/>
    </row>
    <row r="12" spans="1:15" x14ac:dyDescent="0.25">
      <c r="A12" s="1" t="s">
        <v>6</v>
      </c>
      <c r="B12" s="33">
        <f>'Agile AR Aging &lt;-INPUT'!C209+'Agile AR Aging &lt;-INPUT'!C210+'Agile AR Aging &lt;-INPUT'!C217+'Agile AR Aging &lt;-INPUT'!C223</f>
        <v>0</v>
      </c>
      <c r="C12" s="33">
        <f>'Agile AR Aging &lt;-INPUT'!D209+'Agile AR Aging &lt;-INPUT'!D210+'Agile AR Aging &lt;-INPUT'!D217+'Agile AR Aging &lt;-INPUT'!D223</f>
        <v>0</v>
      </c>
      <c r="D12" s="33">
        <f>'Agile AR Aging &lt;-INPUT'!E209+'Agile AR Aging &lt;-INPUT'!E210+'Agile AR Aging &lt;-INPUT'!E217+'Agile AR Aging &lt;-INPUT'!E223</f>
        <v>0</v>
      </c>
      <c r="E12" s="33">
        <f>'Agile AR Aging &lt;-INPUT'!F209+'Agile AR Aging &lt;-INPUT'!F210+'Agile AR Aging &lt;-INPUT'!F217+'Agile AR Aging &lt;-INPUT'!F223</f>
        <v>0</v>
      </c>
      <c r="F12" s="33">
        <f>'Agile AR Aging &lt;-INPUT'!G209+'Agile AR Aging &lt;-INPUT'!G210+'Agile AR Aging &lt;-INPUT'!G217+'Agile AR Aging &lt;-INPUT'!G223</f>
        <v>0</v>
      </c>
      <c r="G12" s="33">
        <f>'Agile AR Aging &lt;-INPUT'!H209+'Agile AR Aging &lt;-INPUT'!H210+'Agile AR Aging &lt;-INPUT'!H217+'Agile AR Aging &lt;-INPUT'!H223</f>
        <v>0</v>
      </c>
      <c r="H12" s="33">
        <f>'Agile AR Aging &lt;-INPUT'!I209+'Agile AR Aging &lt;-INPUT'!I210+'Agile AR Aging &lt;-INPUT'!I217+'Agile AR Aging &lt;-INPUT'!I223</f>
        <v>0</v>
      </c>
      <c r="I12" s="33">
        <f>'Agile AR Aging &lt;-INPUT'!J209+'Agile AR Aging &lt;-INPUT'!J210+'Agile AR Aging &lt;-INPUT'!J217+'Agile AR Aging &lt;-INPUT'!J223</f>
        <v>0</v>
      </c>
      <c r="J12" s="2">
        <f t="shared" si="0"/>
        <v>0</v>
      </c>
      <c r="L12" s="72"/>
      <c r="N12" s="68"/>
    </row>
    <row r="13" spans="1:15" x14ac:dyDescent="0.25">
      <c r="A13" s="1" t="s">
        <v>50</v>
      </c>
      <c r="B13" s="33">
        <f>'Agile AR Aging &lt;-INPUT'!C211</f>
        <v>0</v>
      </c>
      <c r="C13" s="33">
        <f>'Agile AR Aging &lt;-INPUT'!D211</f>
        <v>0</v>
      </c>
      <c r="D13" s="33">
        <f>'Agile AR Aging &lt;-INPUT'!E211</f>
        <v>0</v>
      </c>
      <c r="E13" s="33">
        <f>'Agile AR Aging &lt;-INPUT'!F211</f>
        <v>0</v>
      </c>
      <c r="F13" s="33">
        <f>'Agile AR Aging &lt;-INPUT'!G211</f>
        <v>0</v>
      </c>
      <c r="G13" s="33">
        <f>'Agile AR Aging &lt;-INPUT'!H211</f>
        <v>0</v>
      </c>
      <c r="H13" s="33">
        <f>'Agile AR Aging &lt;-INPUT'!I211</f>
        <v>0</v>
      </c>
      <c r="I13" s="33">
        <f>'Agile AR Aging &lt;-INPUT'!J211</f>
        <v>0</v>
      </c>
      <c r="J13" s="2">
        <f t="shared" si="0"/>
        <v>0</v>
      </c>
      <c r="L13" s="72"/>
      <c r="N13" s="68"/>
    </row>
    <row r="14" spans="1:15" x14ac:dyDescent="0.25">
      <c r="A14" s="1" t="s">
        <v>89</v>
      </c>
      <c r="B14" s="33">
        <f>'Agile AR Aging &lt;-INPUT'!C212</f>
        <v>0</v>
      </c>
      <c r="C14" s="33">
        <f>'Agile AR Aging &lt;-INPUT'!D212</f>
        <v>0</v>
      </c>
      <c r="D14" s="33">
        <f>'Agile AR Aging &lt;-INPUT'!E212</f>
        <v>0</v>
      </c>
      <c r="E14" s="33">
        <f>'Agile AR Aging &lt;-INPUT'!F212</f>
        <v>0</v>
      </c>
      <c r="F14" s="33">
        <f>'Agile AR Aging &lt;-INPUT'!G212</f>
        <v>0</v>
      </c>
      <c r="G14" s="33">
        <f>'Agile AR Aging &lt;-INPUT'!H212</f>
        <v>0</v>
      </c>
      <c r="H14" s="33">
        <f>'Agile AR Aging &lt;-INPUT'!I212</f>
        <v>0</v>
      </c>
      <c r="I14" s="33">
        <f>'Agile AR Aging &lt;-INPUT'!J212</f>
        <v>0</v>
      </c>
      <c r="J14" s="2">
        <f t="shared" si="0"/>
        <v>0</v>
      </c>
      <c r="L14" s="72"/>
      <c r="N14" s="68"/>
    </row>
    <row r="15" spans="1:15" x14ac:dyDescent="0.25">
      <c r="A15" s="1" t="s">
        <v>5</v>
      </c>
      <c r="B15" s="33">
        <f>'Agile AR Aging &lt;-INPUT'!C213</f>
        <v>0</v>
      </c>
      <c r="C15" s="33">
        <f>'Agile AR Aging &lt;-INPUT'!D213</f>
        <v>0</v>
      </c>
      <c r="D15" s="33">
        <f>'Agile AR Aging &lt;-INPUT'!E213</f>
        <v>0</v>
      </c>
      <c r="E15" s="33">
        <f>'Agile AR Aging &lt;-INPUT'!F213</f>
        <v>0</v>
      </c>
      <c r="F15" s="33">
        <f>'Agile AR Aging &lt;-INPUT'!G213</f>
        <v>0</v>
      </c>
      <c r="G15" s="33">
        <f>'Agile AR Aging &lt;-INPUT'!H213</f>
        <v>0</v>
      </c>
      <c r="H15" s="33">
        <f>'Agile AR Aging &lt;-INPUT'!I213</f>
        <v>0</v>
      </c>
      <c r="I15" s="33">
        <f>'Agile AR Aging &lt;-INPUT'!J213</f>
        <v>0</v>
      </c>
      <c r="J15" s="2">
        <f t="shared" si="0"/>
        <v>0</v>
      </c>
      <c r="L15" s="72"/>
      <c r="N15" s="68"/>
    </row>
    <row r="16" spans="1:15" x14ac:dyDescent="0.25">
      <c r="A16" s="1" t="s">
        <v>84</v>
      </c>
      <c r="B16" s="33">
        <f>'Agile AR Aging &lt;-INPUT'!C214</f>
        <v>0</v>
      </c>
      <c r="C16" s="33">
        <f>'Agile AR Aging &lt;-INPUT'!D214</f>
        <v>0</v>
      </c>
      <c r="D16" s="33">
        <f>'Agile AR Aging &lt;-INPUT'!E214</f>
        <v>0</v>
      </c>
      <c r="E16" s="33">
        <f>'Agile AR Aging &lt;-INPUT'!F214</f>
        <v>0</v>
      </c>
      <c r="F16" s="33">
        <f>'Agile AR Aging &lt;-INPUT'!G214</f>
        <v>0</v>
      </c>
      <c r="G16" s="33">
        <f>'Agile AR Aging &lt;-INPUT'!H214</f>
        <v>0</v>
      </c>
      <c r="H16" s="33">
        <f>'Agile AR Aging &lt;-INPUT'!I214</f>
        <v>0</v>
      </c>
      <c r="I16" s="33">
        <f>'Agile AR Aging &lt;-INPUT'!J214</f>
        <v>0</v>
      </c>
      <c r="J16" s="2">
        <f t="shared" si="0"/>
        <v>0</v>
      </c>
      <c r="L16" s="72"/>
      <c r="N16" s="68"/>
    </row>
    <row r="17" spans="1:17" x14ac:dyDescent="0.25">
      <c r="A17" s="1" t="s">
        <v>4</v>
      </c>
      <c r="B17" s="33">
        <f>'Agile AR Aging &lt;-INPUT'!C215</f>
        <v>0</v>
      </c>
      <c r="C17" s="33">
        <f>'Agile AR Aging &lt;-INPUT'!D215</f>
        <v>0</v>
      </c>
      <c r="D17" s="33">
        <f>'Agile AR Aging &lt;-INPUT'!E215</f>
        <v>0</v>
      </c>
      <c r="E17" s="33">
        <f>'Agile AR Aging &lt;-INPUT'!F215</f>
        <v>0</v>
      </c>
      <c r="F17" s="33">
        <f>'Agile AR Aging &lt;-INPUT'!G215</f>
        <v>0</v>
      </c>
      <c r="G17" s="33">
        <f>'Agile AR Aging &lt;-INPUT'!H215</f>
        <v>0</v>
      </c>
      <c r="H17" s="33">
        <f>'Agile AR Aging &lt;-INPUT'!I215</f>
        <v>0</v>
      </c>
      <c r="I17" s="33">
        <f>'Agile AR Aging &lt;-INPUT'!J215</f>
        <v>0</v>
      </c>
      <c r="J17" s="2">
        <f t="shared" si="0"/>
        <v>0</v>
      </c>
      <c r="L17" s="72"/>
      <c r="N17" s="68"/>
    </row>
    <row r="18" spans="1:17" x14ac:dyDescent="0.25">
      <c r="A18" s="1" t="s">
        <v>51</v>
      </c>
      <c r="B18" s="33">
        <f>'Agile AR Aging &lt;-INPUT'!C216</f>
        <v>0</v>
      </c>
      <c r="C18" s="33">
        <f>'Agile AR Aging &lt;-INPUT'!D216</f>
        <v>0</v>
      </c>
      <c r="D18" s="33">
        <f>'Agile AR Aging &lt;-INPUT'!E216</f>
        <v>0</v>
      </c>
      <c r="E18" s="33">
        <f>'Agile AR Aging &lt;-INPUT'!F216</f>
        <v>0</v>
      </c>
      <c r="F18" s="33">
        <f>'Agile AR Aging &lt;-INPUT'!G216</f>
        <v>0</v>
      </c>
      <c r="G18" s="33">
        <f>'Agile AR Aging &lt;-INPUT'!H216</f>
        <v>0</v>
      </c>
      <c r="H18" s="33">
        <f>'Agile AR Aging &lt;-INPUT'!I216</f>
        <v>0</v>
      </c>
      <c r="I18" s="33">
        <f>'Agile AR Aging &lt;-INPUT'!J216</f>
        <v>0</v>
      </c>
      <c r="J18" s="2">
        <f t="shared" si="0"/>
        <v>0</v>
      </c>
      <c r="L18" s="72"/>
      <c r="N18" s="68"/>
    </row>
    <row r="19" spans="1:17" x14ac:dyDescent="0.25">
      <c r="A19" s="1" t="s">
        <v>85</v>
      </c>
      <c r="B19" s="33">
        <f>'Agile AR Aging &lt;-INPUT'!C218</f>
        <v>0</v>
      </c>
      <c r="C19" s="33">
        <f>'Agile AR Aging &lt;-INPUT'!D218</f>
        <v>0</v>
      </c>
      <c r="D19" s="33">
        <f>'Agile AR Aging &lt;-INPUT'!E218</f>
        <v>0</v>
      </c>
      <c r="E19" s="33">
        <f>'Agile AR Aging &lt;-INPUT'!F218</f>
        <v>0</v>
      </c>
      <c r="F19" s="33">
        <f>'Agile AR Aging &lt;-INPUT'!G218</f>
        <v>0</v>
      </c>
      <c r="G19" s="33">
        <f>'Agile AR Aging &lt;-INPUT'!H218</f>
        <v>0</v>
      </c>
      <c r="H19" s="33">
        <f>'Agile AR Aging &lt;-INPUT'!I218</f>
        <v>0</v>
      </c>
      <c r="I19" s="33">
        <f>'Agile AR Aging &lt;-INPUT'!J218</f>
        <v>0</v>
      </c>
      <c r="J19" s="2">
        <f t="shared" si="0"/>
        <v>0</v>
      </c>
      <c r="L19" s="72"/>
      <c r="N19" s="68"/>
    </row>
    <row r="20" spans="1:17" x14ac:dyDescent="0.25">
      <c r="A20" s="1" t="s">
        <v>2</v>
      </c>
      <c r="B20" s="33">
        <f>'Agile AR Aging &lt;-INPUT'!C219</f>
        <v>0</v>
      </c>
      <c r="C20" s="33">
        <f>'Agile AR Aging &lt;-INPUT'!D219</f>
        <v>0</v>
      </c>
      <c r="D20" s="33">
        <f>'Agile AR Aging &lt;-INPUT'!E219</f>
        <v>0</v>
      </c>
      <c r="E20" s="33">
        <f>'Agile AR Aging &lt;-INPUT'!F219</f>
        <v>0</v>
      </c>
      <c r="F20" s="33">
        <f>'Agile AR Aging &lt;-INPUT'!G219</f>
        <v>0</v>
      </c>
      <c r="G20" s="33">
        <f>'Agile AR Aging &lt;-INPUT'!H219</f>
        <v>0</v>
      </c>
      <c r="H20" s="33">
        <f>'Agile AR Aging &lt;-INPUT'!I219</f>
        <v>0</v>
      </c>
      <c r="I20" s="33">
        <f>'Agile AR Aging &lt;-INPUT'!J219</f>
        <v>0</v>
      </c>
      <c r="J20" s="2">
        <f t="shared" si="0"/>
        <v>0</v>
      </c>
      <c r="L20" s="72"/>
      <c r="N20" s="68"/>
    </row>
    <row r="21" spans="1:17" x14ac:dyDescent="0.25">
      <c r="A21" s="1" t="s">
        <v>86</v>
      </c>
      <c r="B21" s="33">
        <f>'Agile AR Aging &lt;-INPUT'!C220</f>
        <v>0</v>
      </c>
      <c r="C21" s="33">
        <f>'Agile AR Aging &lt;-INPUT'!D220</f>
        <v>0</v>
      </c>
      <c r="D21" s="33">
        <f>'Agile AR Aging &lt;-INPUT'!E220</f>
        <v>0</v>
      </c>
      <c r="E21" s="33">
        <f>'Agile AR Aging &lt;-INPUT'!F220</f>
        <v>0</v>
      </c>
      <c r="F21" s="33">
        <f>'Agile AR Aging &lt;-INPUT'!G220</f>
        <v>0</v>
      </c>
      <c r="G21" s="33">
        <f>'Agile AR Aging &lt;-INPUT'!H220</f>
        <v>0</v>
      </c>
      <c r="H21" s="33">
        <f>'Agile AR Aging &lt;-INPUT'!I220</f>
        <v>0</v>
      </c>
      <c r="I21" s="33">
        <f>'Agile AR Aging &lt;-INPUT'!J220</f>
        <v>0</v>
      </c>
      <c r="J21" s="2">
        <f t="shared" si="0"/>
        <v>0</v>
      </c>
      <c r="L21" s="72"/>
      <c r="N21" s="68"/>
    </row>
    <row r="22" spans="1:17" x14ac:dyDescent="0.25">
      <c r="A22" s="1" t="s">
        <v>29</v>
      </c>
      <c r="B22" s="33">
        <f>'Agile AR Aging &lt;-INPUT'!C221</f>
        <v>0</v>
      </c>
      <c r="C22" s="33">
        <f>'Agile AR Aging &lt;-INPUT'!D221</f>
        <v>0</v>
      </c>
      <c r="D22" s="33">
        <f>'Agile AR Aging &lt;-INPUT'!E221</f>
        <v>0</v>
      </c>
      <c r="E22" s="33">
        <f>'Agile AR Aging &lt;-INPUT'!F221</f>
        <v>0</v>
      </c>
      <c r="F22" s="33">
        <f>'Agile AR Aging &lt;-INPUT'!G221</f>
        <v>0</v>
      </c>
      <c r="G22" s="33">
        <f>'Agile AR Aging &lt;-INPUT'!H221</f>
        <v>0</v>
      </c>
      <c r="H22" s="33">
        <f>'Agile AR Aging &lt;-INPUT'!I221</f>
        <v>0</v>
      </c>
      <c r="I22" s="33">
        <f>'Agile AR Aging &lt;-INPUT'!J221</f>
        <v>0</v>
      </c>
      <c r="J22" s="2">
        <f t="shared" si="0"/>
        <v>0</v>
      </c>
      <c r="L22" s="72"/>
      <c r="N22" s="68"/>
    </row>
    <row r="23" spans="1:17" x14ac:dyDescent="0.25">
      <c r="A23" s="1" t="s">
        <v>52</v>
      </c>
      <c r="B23" s="33">
        <f>'Agile AR Aging &lt;-INPUT'!C222</f>
        <v>0</v>
      </c>
      <c r="C23" s="33">
        <f>'Agile AR Aging &lt;-INPUT'!D222</f>
        <v>0</v>
      </c>
      <c r="D23" s="33">
        <f>'Agile AR Aging &lt;-INPUT'!E222</f>
        <v>0</v>
      </c>
      <c r="E23" s="33">
        <f>'Agile AR Aging &lt;-INPUT'!F222</f>
        <v>0</v>
      </c>
      <c r="F23" s="33">
        <f>'Agile AR Aging &lt;-INPUT'!G222</f>
        <v>0</v>
      </c>
      <c r="G23" s="33">
        <f>'Agile AR Aging &lt;-INPUT'!H222</f>
        <v>0</v>
      </c>
      <c r="H23" s="33">
        <f>'Agile AR Aging &lt;-INPUT'!I222</f>
        <v>0</v>
      </c>
      <c r="I23" s="33">
        <f>'Agile AR Aging &lt;-INPUT'!J222</f>
        <v>0</v>
      </c>
      <c r="J23" s="2">
        <f t="shared" si="0"/>
        <v>0</v>
      </c>
      <c r="L23" s="72"/>
      <c r="N23" s="68"/>
    </row>
    <row r="24" spans="1:17" x14ac:dyDescent="0.25">
      <c r="A24" s="1" t="s">
        <v>1</v>
      </c>
      <c r="B24" s="32">
        <f>'Agile AR Aging &lt;-INPUT'!C224</f>
        <v>0</v>
      </c>
      <c r="C24" s="32">
        <f>'Agile AR Aging &lt;-INPUT'!D224</f>
        <v>0</v>
      </c>
      <c r="D24" s="32">
        <f>'Agile AR Aging &lt;-INPUT'!E224</f>
        <v>0</v>
      </c>
      <c r="E24" s="32">
        <f>'Agile AR Aging &lt;-INPUT'!F224</f>
        <v>0</v>
      </c>
      <c r="F24" s="32">
        <f>'Agile AR Aging &lt;-INPUT'!G224</f>
        <v>0</v>
      </c>
      <c r="G24" s="32">
        <f>'Agile AR Aging &lt;-INPUT'!H224</f>
        <v>0</v>
      </c>
      <c r="H24" s="32">
        <f>'Agile AR Aging &lt;-INPUT'!I224</f>
        <v>0</v>
      </c>
      <c r="I24" s="32">
        <f>'Agile AR Aging &lt;-INPUT'!J224</f>
        <v>0</v>
      </c>
      <c r="J24" s="9">
        <f t="shared" si="0"/>
        <v>0</v>
      </c>
      <c r="L24" s="72"/>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53" t="s">
        <v>55</v>
      </c>
      <c r="B27" s="154"/>
      <c r="C27" s="154"/>
      <c r="D27" s="154"/>
      <c r="E27" s="154"/>
      <c r="F27" s="154"/>
      <c r="G27" s="154"/>
      <c r="H27" s="154"/>
      <c r="I27" s="154"/>
      <c r="J27" s="155"/>
      <c r="Q27" s="1"/>
    </row>
    <row r="28" spans="1:17" x14ac:dyDescent="0.25">
      <c r="A28" s="4" t="s">
        <v>16</v>
      </c>
      <c r="B28" s="5" t="s">
        <v>15</v>
      </c>
      <c r="C28" s="5" t="s">
        <v>14</v>
      </c>
      <c r="D28" s="5" t="s">
        <v>13</v>
      </c>
      <c r="E28" s="5" t="s">
        <v>12</v>
      </c>
      <c r="F28" s="5" t="s">
        <v>94</v>
      </c>
      <c r="G28" s="5" t="s">
        <v>95</v>
      </c>
      <c r="H28" s="5" t="s">
        <v>38</v>
      </c>
      <c r="I28" s="5" t="s">
        <v>9</v>
      </c>
      <c r="J28" s="5" t="s">
        <v>0</v>
      </c>
      <c r="Q28" s="1"/>
    </row>
    <row r="29" spans="1:17" x14ac:dyDescent="0.25">
      <c r="A29" s="1" t="s">
        <v>49</v>
      </c>
      <c r="B29" s="36">
        <f>'Reimbursement Rates &lt;-INPUT'!I9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&lt;-INPUT'!I10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&lt;-INPUT'!I11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&lt;-INPUT'!I12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&lt;-INPUT'!I13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&lt;-INPUT'!I15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&lt;-INPUT'!I16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&lt;-INPUT'!I17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&lt;-INPUT'!I18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&lt;-INPUT'!I19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&lt;-INPUT'!I20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&lt;-INPUT'!I22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&lt;-INPUT'!I23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&lt;-INPUT'!I24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&lt;-INPUT'!I25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&lt;-INPUT'!I26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&lt;-INPUT'!I28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50" t="s">
        <v>33</v>
      </c>
      <c r="B47" s="151"/>
      <c r="C47" s="151"/>
      <c r="D47" s="151"/>
      <c r="E47" s="151"/>
      <c r="F47" s="151"/>
      <c r="G47" s="151"/>
      <c r="H47" s="151"/>
      <c r="I47" s="151"/>
      <c r="J47" s="152"/>
      <c r="M47" s="7"/>
      <c r="Q47" s="1"/>
    </row>
    <row r="48" spans="1:17" x14ac:dyDescent="0.25">
      <c r="A48" s="4" t="s">
        <v>16</v>
      </c>
      <c r="B48" s="5" t="s">
        <v>15</v>
      </c>
      <c r="C48" s="5" t="s">
        <v>14</v>
      </c>
      <c r="D48" s="5" t="s">
        <v>13</v>
      </c>
      <c r="E48" s="5" t="s">
        <v>12</v>
      </c>
      <c r="F48" s="5" t="s">
        <v>94</v>
      </c>
      <c r="G48" s="5" t="s">
        <v>95</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68"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68"/>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68"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69"/>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95">
        <v>60000</v>
      </c>
      <c r="M66" s="7">
        <f>J66-L66</f>
        <v>-60000</v>
      </c>
    </row>
    <row r="67" spans="1:13" ht="15.75" thickBot="1" x14ac:dyDescent="0.3">
      <c r="A67" s="1"/>
      <c r="B67" s="9"/>
      <c r="C67" s="9"/>
      <c r="D67" s="9"/>
      <c r="E67" s="9"/>
      <c r="F67" s="9"/>
      <c r="G67" s="9"/>
      <c r="H67" s="9"/>
      <c r="I67" s="9"/>
      <c r="J67" s="9"/>
      <c r="M67" s="7"/>
    </row>
    <row r="68" spans="1:13" ht="15.75" thickBot="1" x14ac:dyDescent="0.3">
      <c r="A68" s="150" t="s">
        <v>64</v>
      </c>
      <c r="B68" s="151"/>
      <c r="C68" s="151"/>
      <c r="D68" s="151"/>
      <c r="E68" s="151"/>
      <c r="F68" s="151"/>
      <c r="G68" s="151"/>
      <c r="H68" s="151"/>
      <c r="I68" s="151"/>
      <c r="J68" s="152"/>
      <c r="M68" s="7"/>
    </row>
    <row r="69" spans="1:13" x14ac:dyDescent="0.25">
      <c r="A69" s="4" t="s">
        <v>16</v>
      </c>
      <c r="B69" s="5" t="s">
        <v>15</v>
      </c>
      <c r="C69" s="5" t="s">
        <v>14</v>
      </c>
      <c r="D69" s="5" t="s">
        <v>13</v>
      </c>
      <c r="E69" s="5" t="s">
        <v>12</v>
      </c>
      <c r="F69" s="5" t="s">
        <v>94</v>
      </c>
      <c r="G69" s="5" t="s">
        <v>95</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53" t="s">
        <v>59</v>
      </c>
      <c r="B89" s="154"/>
      <c r="C89" s="154"/>
      <c r="D89" s="154"/>
      <c r="E89" s="154"/>
      <c r="F89" s="154"/>
      <c r="G89" s="154"/>
      <c r="H89" s="154"/>
      <c r="I89" s="154"/>
      <c r="J89" s="155"/>
      <c r="M89" s="7"/>
    </row>
    <row r="90" spans="1:13" x14ac:dyDescent="0.25">
      <c r="A90" s="4" t="s">
        <v>16</v>
      </c>
      <c r="B90" s="5" t="s">
        <v>15</v>
      </c>
      <c r="C90" s="5" t="s">
        <v>14</v>
      </c>
      <c r="D90" s="5" t="s">
        <v>13</v>
      </c>
      <c r="E90" s="5" t="s">
        <v>12</v>
      </c>
      <c r="F90" s="5" t="s">
        <v>94</v>
      </c>
      <c r="G90" s="5" t="s">
        <v>95</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50" t="s">
        <v>60</v>
      </c>
      <c r="B109" s="151"/>
      <c r="C109" s="151"/>
      <c r="D109" s="151"/>
      <c r="E109" s="151"/>
      <c r="F109" s="151"/>
      <c r="G109" s="151"/>
      <c r="H109" s="151"/>
      <c r="I109" s="151"/>
      <c r="J109" s="152"/>
      <c r="M109" s="7"/>
    </row>
    <row r="110" spans="1:13" x14ac:dyDescent="0.25">
      <c r="A110" s="4" t="s">
        <v>16</v>
      </c>
      <c r="B110" s="5" t="s">
        <v>15</v>
      </c>
      <c r="C110" s="5" t="s">
        <v>14</v>
      </c>
      <c r="D110" s="5" t="s">
        <v>13</v>
      </c>
      <c r="E110" s="5" t="s">
        <v>12</v>
      </c>
      <c r="F110" s="5" t="s">
        <v>94</v>
      </c>
      <c r="G110" s="5" t="s">
        <v>95</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68"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68"/>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152</v>
      </c>
      <c r="M126" s="168"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69"/>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95">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50" t="s">
        <v>30</v>
      </c>
      <c r="B130" s="151"/>
      <c r="C130" s="151"/>
      <c r="D130" s="151"/>
      <c r="E130" s="151"/>
      <c r="F130" s="151"/>
      <c r="G130" s="151"/>
      <c r="H130" s="151"/>
      <c r="I130" s="151"/>
      <c r="J130" s="152"/>
      <c r="M130" s="7"/>
    </row>
    <row r="131" spans="1:13" x14ac:dyDescent="0.25">
      <c r="A131" s="4" t="s">
        <v>16</v>
      </c>
      <c r="B131" s="5" t="s">
        <v>15</v>
      </c>
      <c r="C131" s="5" t="s">
        <v>14</v>
      </c>
      <c r="D131" s="5" t="s">
        <v>13</v>
      </c>
      <c r="E131" s="5" t="s">
        <v>12</v>
      </c>
      <c r="F131" s="5" t="s">
        <v>94</v>
      </c>
      <c r="G131" s="5" t="s">
        <v>95</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09:J109"/>
    <mergeCell ref="M124:M125"/>
    <mergeCell ref="M126:M127"/>
    <mergeCell ref="A130:J130"/>
    <mergeCell ref="A27:J27"/>
    <mergeCell ref="A47:J47"/>
    <mergeCell ref="M62:M63"/>
    <mergeCell ref="M64:M65"/>
    <mergeCell ref="A68:J68"/>
    <mergeCell ref="A89:J89"/>
    <mergeCell ref="A1:M1"/>
    <mergeCell ref="A2:M2"/>
    <mergeCell ref="A3:M3"/>
    <mergeCell ref="A4:M4"/>
    <mergeCell ref="A6:J6"/>
    <mergeCell ref="L6:M6"/>
  </mergeCells>
  <pageMargins left="0.7" right="0.7" top="0.75" bottom="0.75" header="0.3" footer="0.3"/>
  <pageSetup scale="3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Q158"/>
  <sheetViews>
    <sheetView workbookViewId="0">
      <selection sqref="A1:M1"/>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62" t="s">
        <v>17</v>
      </c>
      <c r="B1" s="162"/>
      <c r="C1" s="162"/>
      <c r="D1" s="162"/>
      <c r="E1" s="162"/>
      <c r="F1" s="162"/>
      <c r="G1" s="162"/>
      <c r="H1" s="162"/>
      <c r="I1" s="162"/>
      <c r="J1" s="162"/>
      <c r="K1" s="162"/>
      <c r="L1" s="162"/>
      <c r="M1" s="162"/>
      <c r="O1" s="31"/>
    </row>
    <row r="2" spans="1:15" ht="15.75" x14ac:dyDescent="0.25">
      <c r="A2" s="163" t="s">
        <v>225</v>
      </c>
      <c r="B2" s="163"/>
      <c r="C2" s="163"/>
      <c r="D2" s="163"/>
      <c r="E2" s="163"/>
      <c r="F2" s="163"/>
      <c r="G2" s="163"/>
      <c r="H2" s="163"/>
      <c r="I2" s="163"/>
      <c r="J2" s="163"/>
      <c r="K2" s="163"/>
      <c r="L2" s="163"/>
      <c r="M2" s="163"/>
      <c r="O2" s="31"/>
    </row>
    <row r="3" spans="1:15" x14ac:dyDescent="0.25">
      <c r="A3" s="164" t="s">
        <v>31</v>
      </c>
      <c r="B3" s="164"/>
      <c r="C3" s="164"/>
      <c r="D3" s="164"/>
      <c r="E3" s="164"/>
      <c r="F3" s="164"/>
      <c r="G3" s="164"/>
      <c r="H3" s="164"/>
      <c r="I3" s="164"/>
      <c r="J3" s="164"/>
      <c r="K3" s="164"/>
      <c r="L3" s="164"/>
      <c r="M3" s="164"/>
    </row>
    <row r="4" spans="1:15" x14ac:dyDescent="0.25">
      <c r="A4" s="167">
        <f>'Company Summary'!A4:J4</f>
        <v>45199</v>
      </c>
      <c r="B4" s="167"/>
      <c r="C4" s="167"/>
      <c r="D4" s="167"/>
      <c r="E4" s="167"/>
      <c r="F4" s="167"/>
      <c r="G4" s="167"/>
      <c r="H4" s="167"/>
      <c r="I4" s="167"/>
      <c r="J4" s="167"/>
      <c r="K4" s="167"/>
      <c r="L4" s="167"/>
      <c r="M4" s="167"/>
    </row>
    <row r="5" spans="1:15" ht="15.75" thickBot="1" x14ac:dyDescent="0.3">
      <c r="A5" s="80"/>
      <c r="B5" s="80"/>
      <c r="C5" s="80"/>
      <c r="D5" s="80"/>
      <c r="E5" s="80"/>
      <c r="F5" s="80"/>
      <c r="G5" s="80"/>
      <c r="H5" s="80"/>
      <c r="I5" s="80"/>
      <c r="J5" s="80"/>
      <c r="K5" s="80"/>
      <c r="L5" s="80"/>
      <c r="M5" s="80"/>
    </row>
    <row r="6" spans="1:15" ht="15.75" thickBot="1" x14ac:dyDescent="0.3">
      <c r="A6" s="150" t="s">
        <v>54</v>
      </c>
      <c r="B6" s="151"/>
      <c r="C6" s="151"/>
      <c r="D6" s="151"/>
      <c r="E6" s="151"/>
      <c r="F6" s="151"/>
      <c r="G6" s="151"/>
      <c r="H6" s="151"/>
      <c r="I6" s="151"/>
      <c r="J6" s="152"/>
      <c r="L6" s="166"/>
      <c r="M6" s="166"/>
    </row>
    <row r="7" spans="1:15" x14ac:dyDescent="0.25">
      <c r="A7" s="4" t="s">
        <v>16</v>
      </c>
      <c r="B7" s="5" t="s">
        <v>15</v>
      </c>
      <c r="C7" s="5" t="s">
        <v>14</v>
      </c>
      <c r="D7" s="5" t="s">
        <v>13</v>
      </c>
      <c r="E7" s="5" t="s">
        <v>12</v>
      </c>
      <c r="F7" s="5" t="s">
        <v>94</v>
      </c>
      <c r="G7" s="5" t="s">
        <v>95</v>
      </c>
      <c r="H7" s="5" t="s">
        <v>38</v>
      </c>
      <c r="I7" s="5" t="s">
        <v>9</v>
      </c>
      <c r="J7" s="5" t="s">
        <v>0</v>
      </c>
      <c r="L7" s="4"/>
      <c r="M7" s="4"/>
    </row>
    <row r="8" spans="1:15" x14ac:dyDescent="0.25">
      <c r="A8" s="1" t="s">
        <v>49</v>
      </c>
      <c r="B8" s="33">
        <f>'Agile AR Aging &lt;-INPUT'!C231</f>
        <v>0</v>
      </c>
      <c r="C8" s="33">
        <f>'Agile AR Aging &lt;-INPUT'!D231</f>
        <v>0</v>
      </c>
      <c r="D8" s="33">
        <f>'Agile AR Aging &lt;-INPUT'!E231</f>
        <v>0</v>
      </c>
      <c r="E8" s="33">
        <f>'Agile AR Aging &lt;-INPUT'!F231</f>
        <v>0</v>
      </c>
      <c r="F8" s="33">
        <f>'Agile AR Aging &lt;-INPUT'!G231</f>
        <v>0</v>
      </c>
      <c r="G8" s="33">
        <f>'Agile AR Aging &lt;-INPUT'!H231</f>
        <v>0</v>
      </c>
      <c r="H8" s="33">
        <f>'Agile AR Aging &lt;-INPUT'!I231</f>
        <v>0</v>
      </c>
      <c r="I8" s="33">
        <f>'Agile AR Aging &lt;-INPUT'!J231</f>
        <v>0</v>
      </c>
      <c r="J8" s="2">
        <f t="shared" ref="J8:J24" si="0">SUM(B8:H8)</f>
        <v>0</v>
      </c>
      <c r="L8" s="67"/>
    </row>
    <row r="9" spans="1:15" x14ac:dyDescent="0.25">
      <c r="A9" s="1" t="s">
        <v>8</v>
      </c>
      <c r="B9" s="33">
        <f>'Agile AR Aging &lt;-INPUT'!C232</f>
        <v>0</v>
      </c>
      <c r="C9" s="33">
        <f>'Agile AR Aging &lt;-INPUT'!D232</f>
        <v>0</v>
      </c>
      <c r="D9" s="33">
        <f>'Agile AR Aging &lt;-INPUT'!E232</f>
        <v>0</v>
      </c>
      <c r="E9" s="33">
        <f>'Agile AR Aging &lt;-INPUT'!F232</f>
        <v>0</v>
      </c>
      <c r="F9" s="33">
        <f>'Agile AR Aging &lt;-INPUT'!G232</f>
        <v>0</v>
      </c>
      <c r="G9" s="33">
        <f>'Agile AR Aging &lt;-INPUT'!H232</f>
        <v>0</v>
      </c>
      <c r="H9" s="33">
        <f>'Agile AR Aging &lt;-INPUT'!I232</f>
        <v>0</v>
      </c>
      <c r="I9" s="33">
        <f>'Agile AR Aging &lt;-INPUT'!J232</f>
        <v>0</v>
      </c>
      <c r="J9" s="2">
        <f t="shared" si="0"/>
        <v>0</v>
      </c>
      <c r="L9" s="67"/>
      <c r="N9" s="68"/>
    </row>
    <row r="10" spans="1:15" x14ac:dyDescent="0.25">
      <c r="A10" s="1" t="s">
        <v>7</v>
      </c>
      <c r="B10" s="33">
        <f>'Agile AR Aging &lt;-INPUT'!C233</f>
        <v>0</v>
      </c>
      <c r="C10" s="33">
        <f>'Agile AR Aging &lt;-INPUT'!D233</f>
        <v>0</v>
      </c>
      <c r="D10" s="33">
        <f>'Agile AR Aging &lt;-INPUT'!E233</f>
        <v>0</v>
      </c>
      <c r="E10" s="33">
        <f>'Agile AR Aging &lt;-INPUT'!F233</f>
        <v>0</v>
      </c>
      <c r="F10" s="33">
        <f>'Agile AR Aging &lt;-INPUT'!G233</f>
        <v>0</v>
      </c>
      <c r="G10" s="33">
        <f>'Agile AR Aging &lt;-INPUT'!H233</f>
        <v>0</v>
      </c>
      <c r="H10" s="33">
        <f>'Agile AR Aging &lt;-INPUT'!I233</f>
        <v>0</v>
      </c>
      <c r="I10" s="33">
        <f>'Agile AR Aging &lt;-INPUT'!J233</f>
        <v>0</v>
      </c>
      <c r="J10" s="2">
        <f t="shared" si="0"/>
        <v>0</v>
      </c>
      <c r="L10" s="67"/>
      <c r="N10" s="68"/>
    </row>
    <row r="11" spans="1:15" x14ac:dyDescent="0.25">
      <c r="A11" s="1" t="s">
        <v>42</v>
      </c>
      <c r="B11" s="33">
        <f>'Agile AR Aging &lt;-INPUT'!C234</f>
        <v>0</v>
      </c>
      <c r="C11" s="33">
        <f>'Agile AR Aging &lt;-INPUT'!D234</f>
        <v>0</v>
      </c>
      <c r="D11" s="33">
        <f>'Agile AR Aging &lt;-INPUT'!E234</f>
        <v>0</v>
      </c>
      <c r="E11" s="33">
        <f>'Agile AR Aging &lt;-INPUT'!F234</f>
        <v>0</v>
      </c>
      <c r="F11" s="33">
        <f>'Agile AR Aging &lt;-INPUT'!G234</f>
        <v>0</v>
      </c>
      <c r="G11" s="33">
        <f>'Agile AR Aging &lt;-INPUT'!H234</f>
        <v>0</v>
      </c>
      <c r="H11" s="33">
        <f>'Agile AR Aging &lt;-INPUT'!I234</f>
        <v>0</v>
      </c>
      <c r="I11" s="33">
        <f>'Agile AR Aging &lt;-INPUT'!J234</f>
        <v>0</v>
      </c>
      <c r="J11" s="2">
        <f t="shared" si="0"/>
        <v>0</v>
      </c>
      <c r="L11" s="67"/>
      <c r="N11" s="68"/>
    </row>
    <row r="12" spans="1:15" x14ac:dyDescent="0.25">
      <c r="A12" s="1" t="s">
        <v>6</v>
      </c>
      <c r="B12" s="33">
        <f>'Agile AR Aging &lt;-INPUT'!C235+'Agile AR Aging &lt;-INPUT'!C236+'Agile AR Aging &lt;-INPUT'!C243+'Agile AR Aging &lt;-INPUT'!C249</f>
        <v>0</v>
      </c>
      <c r="C12" s="33">
        <f>'Agile AR Aging &lt;-INPUT'!D235+'Agile AR Aging &lt;-INPUT'!D236+'Agile AR Aging &lt;-INPUT'!D243+'Agile AR Aging &lt;-INPUT'!D249</f>
        <v>0</v>
      </c>
      <c r="D12" s="33">
        <f>'Agile AR Aging &lt;-INPUT'!E235+'Agile AR Aging &lt;-INPUT'!E236+'Agile AR Aging &lt;-INPUT'!E243+'Agile AR Aging &lt;-INPUT'!E249</f>
        <v>0</v>
      </c>
      <c r="E12" s="33">
        <f>'Agile AR Aging &lt;-INPUT'!F235+'Agile AR Aging &lt;-INPUT'!F236+'Agile AR Aging &lt;-INPUT'!F243+'Agile AR Aging &lt;-INPUT'!F249</f>
        <v>0</v>
      </c>
      <c r="F12" s="33">
        <f>'Agile AR Aging &lt;-INPUT'!G235+'Agile AR Aging &lt;-INPUT'!G236+'Agile AR Aging &lt;-INPUT'!G243+'Agile AR Aging &lt;-INPUT'!G249</f>
        <v>0</v>
      </c>
      <c r="G12" s="33">
        <f>'Agile AR Aging &lt;-INPUT'!H235+'Agile AR Aging &lt;-INPUT'!H236+'Agile AR Aging &lt;-INPUT'!H243+'Agile AR Aging &lt;-INPUT'!H249</f>
        <v>0</v>
      </c>
      <c r="H12" s="33">
        <f>'Agile AR Aging &lt;-INPUT'!I235+'Agile AR Aging &lt;-INPUT'!I236+'Agile AR Aging &lt;-INPUT'!I243+'Agile AR Aging &lt;-INPUT'!I249</f>
        <v>0</v>
      </c>
      <c r="I12" s="33">
        <f>'Agile AR Aging &lt;-INPUT'!J235+'Agile AR Aging &lt;-INPUT'!J236+'Agile AR Aging &lt;-INPUT'!J243+'Agile AR Aging &lt;-INPUT'!J249</f>
        <v>0</v>
      </c>
      <c r="J12" s="2">
        <f t="shared" si="0"/>
        <v>0</v>
      </c>
      <c r="L12" s="72"/>
      <c r="N12" s="68"/>
    </row>
    <row r="13" spans="1:15" x14ac:dyDescent="0.25">
      <c r="A13" s="1" t="s">
        <v>50</v>
      </c>
      <c r="B13" s="33">
        <f>'Agile AR Aging &lt;-INPUT'!C237</f>
        <v>0</v>
      </c>
      <c r="C13" s="33">
        <f>'Agile AR Aging &lt;-INPUT'!D237</f>
        <v>0</v>
      </c>
      <c r="D13" s="33">
        <f>'Agile AR Aging &lt;-INPUT'!E237</f>
        <v>0</v>
      </c>
      <c r="E13" s="33">
        <f>'Agile AR Aging &lt;-INPUT'!F237</f>
        <v>0</v>
      </c>
      <c r="F13" s="33">
        <f>'Agile AR Aging &lt;-INPUT'!G237</f>
        <v>0</v>
      </c>
      <c r="G13" s="33">
        <f>'Agile AR Aging &lt;-INPUT'!H237</f>
        <v>0</v>
      </c>
      <c r="H13" s="33">
        <f>'Agile AR Aging &lt;-INPUT'!I237</f>
        <v>0</v>
      </c>
      <c r="I13" s="33">
        <f>'Agile AR Aging &lt;-INPUT'!J237</f>
        <v>0</v>
      </c>
      <c r="J13" s="2">
        <f t="shared" si="0"/>
        <v>0</v>
      </c>
      <c r="L13" s="72"/>
      <c r="N13" s="68"/>
    </row>
    <row r="14" spans="1:15" x14ac:dyDescent="0.25">
      <c r="A14" s="1" t="s">
        <v>89</v>
      </c>
      <c r="B14" s="33">
        <f>'Agile AR Aging &lt;-INPUT'!C238</f>
        <v>0</v>
      </c>
      <c r="C14" s="33">
        <f>'Agile AR Aging &lt;-INPUT'!D238</f>
        <v>0</v>
      </c>
      <c r="D14" s="33">
        <f>'Agile AR Aging &lt;-INPUT'!E238</f>
        <v>0</v>
      </c>
      <c r="E14" s="33">
        <f>'Agile AR Aging &lt;-INPUT'!F238</f>
        <v>0</v>
      </c>
      <c r="F14" s="33">
        <f>'Agile AR Aging &lt;-INPUT'!G238</f>
        <v>0</v>
      </c>
      <c r="G14" s="33">
        <f>'Agile AR Aging &lt;-INPUT'!H238</f>
        <v>0</v>
      </c>
      <c r="H14" s="33">
        <f>'Agile AR Aging &lt;-INPUT'!I238</f>
        <v>0</v>
      </c>
      <c r="I14" s="33">
        <f>'Agile AR Aging &lt;-INPUT'!J238</f>
        <v>0</v>
      </c>
      <c r="J14" s="2">
        <f t="shared" si="0"/>
        <v>0</v>
      </c>
      <c r="L14" s="72"/>
      <c r="N14" s="68"/>
    </row>
    <row r="15" spans="1:15" x14ac:dyDescent="0.25">
      <c r="A15" s="1" t="s">
        <v>5</v>
      </c>
      <c r="B15" s="33">
        <f>'Agile AR Aging &lt;-INPUT'!C239</f>
        <v>0</v>
      </c>
      <c r="C15" s="33">
        <f>'Agile AR Aging &lt;-INPUT'!D239</f>
        <v>0</v>
      </c>
      <c r="D15" s="33">
        <f>'Agile AR Aging &lt;-INPUT'!E239</f>
        <v>0</v>
      </c>
      <c r="E15" s="33">
        <f>'Agile AR Aging &lt;-INPUT'!F239</f>
        <v>0</v>
      </c>
      <c r="F15" s="33">
        <f>'Agile AR Aging &lt;-INPUT'!G239</f>
        <v>0</v>
      </c>
      <c r="G15" s="33">
        <f>'Agile AR Aging &lt;-INPUT'!H239</f>
        <v>0</v>
      </c>
      <c r="H15" s="33">
        <f>'Agile AR Aging &lt;-INPUT'!I239</f>
        <v>0</v>
      </c>
      <c r="I15" s="33">
        <f>'Agile AR Aging &lt;-INPUT'!J239</f>
        <v>0</v>
      </c>
      <c r="J15" s="2">
        <f t="shared" si="0"/>
        <v>0</v>
      </c>
      <c r="L15" s="72"/>
      <c r="N15" s="68"/>
    </row>
    <row r="16" spans="1:15" x14ac:dyDescent="0.25">
      <c r="A16" s="1" t="s">
        <v>84</v>
      </c>
      <c r="B16" s="33">
        <f>'Agile AR Aging &lt;-INPUT'!C240</f>
        <v>0</v>
      </c>
      <c r="C16" s="33">
        <f>'Agile AR Aging &lt;-INPUT'!D240</f>
        <v>0</v>
      </c>
      <c r="D16" s="33">
        <f>'Agile AR Aging &lt;-INPUT'!E240</f>
        <v>0</v>
      </c>
      <c r="E16" s="33">
        <f>'Agile AR Aging &lt;-INPUT'!F240</f>
        <v>0</v>
      </c>
      <c r="F16" s="33">
        <f>'Agile AR Aging &lt;-INPUT'!G240</f>
        <v>0</v>
      </c>
      <c r="G16" s="33">
        <f>'Agile AR Aging &lt;-INPUT'!H240</f>
        <v>0</v>
      </c>
      <c r="H16" s="33">
        <f>'Agile AR Aging &lt;-INPUT'!I240</f>
        <v>0</v>
      </c>
      <c r="I16" s="33">
        <f>'Agile AR Aging &lt;-INPUT'!J240</f>
        <v>0</v>
      </c>
      <c r="J16" s="2">
        <f t="shared" si="0"/>
        <v>0</v>
      </c>
      <c r="L16" s="72"/>
      <c r="N16" s="68"/>
    </row>
    <row r="17" spans="1:17" x14ac:dyDescent="0.25">
      <c r="A17" s="1" t="s">
        <v>4</v>
      </c>
      <c r="B17" s="33">
        <f>'Agile AR Aging &lt;-INPUT'!C241</f>
        <v>0</v>
      </c>
      <c r="C17" s="33">
        <f>'Agile AR Aging &lt;-INPUT'!D241</f>
        <v>0</v>
      </c>
      <c r="D17" s="33">
        <f>'Agile AR Aging &lt;-INPUT'!E241</f>
        <v>0</v>
      </c>
      <c r="E17" s="33">
        <f>'Agile AR Aging &lt;-INPUT'!F241</f>
        <v>0</v>
      </c>
      <c r="F17" s="33">
        <f>'Agile AR Aging &lt;-INPUT'!G241</f>
        <v>0</v>
      </c>
      <c r="G17" s="33">
        <f>'Agile AR Aging &lt;-INPUT'!H241</f>
        <v>0</v>
      </c>
      <c r="H17" s="33">
        <f>'Agile AR Aging &lt;-INPUT'!I241</f>
        <v>0</v>
      </c>
      <c r="I17" s="33">
        <f>'Agile AR Aging &lt;-INPUT'!J241</f>
        <v>0</v>
      </c>
      <c r="J17" s="2">
        <f t="shared" si="0"/>
        <v>0</v>
      </c>
      <c r="L17" s="72"/>
      <c r="N17" s="68"/>
    </row>
    <row r="18" spans="1:17" x14ac:dyDescent="0.25">
      <c r="A18" s="1" t="s">
        <v>51</v>
      </c>
      <c r="B18" s="33">
        <f>'Agile AR Aging &lt;-INPUT'!C242</f>
        <v>0</v>
      </c>
      <c r="C18" s="33">
        <f>'Agile AR Aging &lt;-INPUT'!D242</f>
        <v>0</v>
      </c>
      <c r="D18" s="33">
        <f>'Agile AR Aging &lt;-INPUT'!E242</f>
        <v>0</v>
      </c>
      <c r="E18" s="33">
        <f>'Agile AR Aging &lt;-INPUT'!F242</f>
        <v>0</v>
      </c>
      <c r="F18" s="33">
        <f>'Agile AR Aging &lt;-INPUT'!G242</f>
        <v>0</v>
      </c>
      <c r="G18" s="33">
        <f>'Agile AR Aging &lt;-INPUT'!H242</f>
        <v>0</v>
      </c>
      <c r="H18" s="33">
        <f>'Agile AR Aging &lt;-INPUT'!I242</f>
        <v>0</v>
      </c>
      <c r="I18" s="33">
        <f>'Agile AR Aging &lt;-INPUT'!J242</f>
        <v>0</v>
      </c>
      <c r="J18" s="2">
        <f t="shared" si="0"/>
        <v>0</v>
      </c>
      <c r="L18" s="72"/>
      <c r="N18" s="68"/>
    </row>
    <row r="19" spans="1:17" x14ac:dyDescent="0.25">
      <c r="A19" s="1" t="s">
        <v>85</v>
      </c>
      <c r="B19" s="33">
        <f>'Agile AR Aging &lt;-INPUT'!C244</f>
        <v>0</v>
      </c>
      <c r="C19" s="33">
        <f>'Agile AR Aging &lt;-INPUT'!D244</f>
        <v>0</v>
      </c>
      <c r="D19" s="33">
        <f>'Agile AR Aging &lt;-INPUT'!E244</f>
        <v>0</v>
      </c>
      <c r="E19" s="33">
        <f>'Agile AR Aging &lt;-INPUT'!F244</f>
        <v>0</v>
      </c>
      <c r="F19" s="33">
        <f>'Agile AR Aging &lt;-INPUT'!G244</f>
        <v>0</v>
      </c>
      <c r="G19" s="33">
        <f>'Agile AR Aging &lt;-INPUT'!H244</f>
        <v>0</v>
      </c>
      <c r="H19" s="33">
        <f>'Agile AR Aging &lt;-INPUT'!I244</f>
        <v>0</v>
      </c>
      <c r="I19" s="33">
        <f>'Agile AR Aging &lt;-INPUT'!J244</f>
        <v>0</v>
      </c>
      <c r="J19" s="2">
        <f t="shared" si="0"/>
        <v>0</v>
      </c>
      <c r="L19" s="72"/>
      <c r="N19" s="68"/>
    </row>
    <row r="20" spans="1:17" x14ac:dyDescent="0.25">
      <c r="A20" s="1" t="s">
        <v>2</v>
      </c>
      <c r="B20" s="33">
        <f>'Agile AR Aging &lt;-INPUT'!C245</f>
        <v>0</v>
      </c>
      <c r="C20" s="33">
        <f>'Agile AR Aging &lt;-INPUT'!D245</f>
        <v>0</v>
      </c>
      <c r="D20" s="33">
        <f>'Agile AR Aging &lt;-INPUT'!E245</f>
        <v>0</v>
      </c>
      <c r="E20" s="33">
        <f>'Agile AR Aging &lt;-INPUT'!F245</f>
        <v>0</v>
      </c>
      <c r="F20" s="33">
        <f>'Agile AR Aging &lt;-INPUT'!G245</f>
        <v>0</v>
      </c>
      <c r="G20" s="33">
        <f>'Agile AR Aging &lt;-INPUT'!H245</f>
        <v>0</v>
      </c>
      <c r="H20" s="33">
        <f>'Agile AR Aging &lt;-INPUT'!I245</f>
        <v>0</v>
      </c>
      <c r="I20" s="33">
        <f>'Agile AR Aging &lt;-INPUT'!J245</f>
        <v>0</v>
      </c>
      <c r="J20" s="2">
        <f t="shared" si="0"/>
        <v>0</v>
      </c>
      <c r="L20" s="72"/>
      <c r="N20" s="68"/>
    </row>
    <row r="21" spans="1:17" x14ac:dyDescent="0.25">
      <c r="A21" s="1" t="s">
        <v>86</v>
      </c>
      <c r="B21" s="33">
        <f>'Agile AR Aging &lt;-INPUT'!C246</f>
        <v>0</v>
      </c>
      <c r="C21" s="33">
        <f>'Agile AR Aging &lt;-INPUT'!D246</f>
        <v>0</v>
      </c>
      <c r="D21" s="33">
        <f>'Agile AR Aging &lt;-INPUT'!E246</f>
        <v>0</v>
      </c>
      <c r="E21" s="33">
        <f>'Agile AR Aging &lt;-INPUT'!F246</f>
        <v>0</v>
      </c>
      <c r="F21" s="33">
        <f>'Agile AR Aging &lt;-INPUT'!G246</f>
        <v>0</v>
      </c>
      <c r="G21" s="33">
        <f>'Agile AR Aging &lt;-INPUT'!H246</f>
        <v>0</v>
      </c>
      <c r="H21" s="33">
        <f>'Agile AR Aging &lt;-INPUT'!I246</f>
        <v>0</v>
      </c>
      <c r="I21" s="33">
        <f>'Agile AR Aging &lt;-INPUT'!J246</f>
        <v>0</v>
      </c>
      <c r="J21" s="2">
        <f t="shared" si="0"/>
        <v>0</v>
      </c>
      <c r="L21" s="72"/>
      <c r="N21" s="68"/>
    </row>
    <row r="22" spans="1:17" x14ac:dyDescent="0.25">
      <c r="A22" s="1" t="s">
        <v>29</v>
      </c>
      <c r="B22" s="33">
        <f>'Agile AR Aging &lt;-INPUT'!C247</f>
        <v>0</v>
      </c>
      <c r="C22" s="33">
        <f>'Agile AR Aging &lt;-INPUT'!D247</f>
        <v>0</v>
      </c>
      <c r="D22" s="33">
        <f>'Agile AR Aging &lt;-INPUT'!E247</f>
        <v>0</v>
      </c>
      <c r="E22" s="33">
        <f>'Agile AR Aging &lt;-INPUT'!F247</f>
        <v>0</v>
      </c>
      <c r="F22" s="33">
        <f>'Agile AR Aging &lt;-INPUT'!G247</f>
        <v>0</v>
      </c>
      <c r="G22" s="33">
        <f>'Agile AR Aging &lt;-INPUT'!H247</f>
        <v>0</v>
      </c>
      <c r="H22" s="33">
        <f>'Agile AR Aging &lt;-INPUT'!I247</f>
        <v>0</v>
      </c>
      <c r="I22" s="33">
        <f>'Agile AR Aging &lt;-INPUT'!J247</f>
        <v>0</v>
      </c>
      <c r="J22" s="2">
        <f t="shared" si="0"/>
        <v>0</v>
      </c>
      <c r="L22" s="72"/>
      <c r="N22" s="68"/>
    </row>
    <row r="23" spans="1:17" x14ac:dyDescent="0.25">
      <c r="A23" s="1" t="s">
        <v>52</v>
      </c>
      <c r="B23" s="33">
        <f>'Agile AR Aging &lt;-INPUT'!C248</f>
        <v>0</v>
      </c>
      <c r="C23" s="33">
        <f>'Agile AR Aging &lt;-INPUT'!D248</f>
        <v>0</v>
      </c>
      <c r="D23" s="33">
        <f>'Agile AR Aging &lt;-INPUT'!E248</f>
        <v>0</v>
      </c>
      <c r="E23" s="33">
        <f>'Agile AR Aging &lt;-INPUT'!F248</f>
        <v>0</v>
      </c>
      <c r="F23" s="33">
        <f>'Agile AR Aging &lt;-INPUT'!G248</f>
        <v>0</v>
      </c>
      <c r="G23" s="33">
        <f>'Agile AR Aging &lt;-INPUT'!H248</f>
        <v>0</v>
      </c>
      <c r="H23" s="33">
        <f>'Agile AR Aging &lt;-INPUT'!I248</f>
        <v>0</v>
      </c>
      <c r="I23" s="33">
        <f>'Agile AR Aging &lt;-INPUT'!J248</f>
        <v>0</v>
      </c>
      <c r="J23" s="2">
        <f t="shared" si="0"/>
        <v>0</v>
      </c>
      <c r="L23" s="72"/>
      <c r="N23" s="68"/>
    </row>
    <row r="24" spans="1:17" x14ac:dyDescent="0.25">
      <c r="A24" s="1" t="s">
        <v>1</v>
      </c>
      <c r="B24" s="32">
        <f>'Agile AR Aging &lt;-INPUT'!C250</f>
        <v>0</v>
      </c>
      <c r="C24" s="32">
        <f>'Agile AR Aging &lt;-INPUT'!D250</f>
        <v>0</v>
      </c>
      <c r="D24" s="32">
        <f>'Agile AR Aging &lt;-INPUT'!E250</f>
        <v>0</v>
      </c>
      <c r="E24" s="32">
        <f>'Agile AR Aging &lt;-INPUT'!F250</f>
        <v>0</v>
      </c>
      <c r="F24" s="32">
        <f>'Agile AR Aging &lt;-INPUT'!G250</f>
        <v>0</v>
      </c>
      <c r="G24" s="32">
        <f>'Agile AR Aging &lt;-INPUT'!H250</f>
        <v>0</v>
      </c>
      <c r="H24" s="32">
        <f>'Agile AR Aging &lt;-INPUT'!I250</f>
        <v>0</v>
      </c>
      <c r="I24" s="32">
        <f>'Agile AR Aging &lt;-INPUT'!J250</f>
        <v>0</v>
      </c>
      <c r="J24" s="9">
        <f t="shared" si="0"/>
        <v>0</v>
      </c>
      <c r="L24" s="72"/>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53" t="s">
        <v>55</v>
      </c>
      <c r="B27" s="154"/>
      <c r="C27" s="154"/>
      <c r="D27" s="154"/>
      <c r="E27" s="154"/>
      <c r="F27" s="154"/>
      <c r="G27" s="154"/>
      <c r="H27" s="154"/>
      <c r="I27" s="154"/>
      <c r="J27" s="155"/>
      <c r="Q27" s="1"/>
    </row>
    <row r="28" spans="1:17" x14ac:dyDescent="0.25">
      <c r="A28" s="4" t="s">
        <v>16</v>
      </c>
      <c r="B28" s="5" t="s">
        <v>15</v>
      </c>
      <c r="C28" s="5" t="s">
        <v>14</v>
      </c>
      <c r="D28" s="5" t="s">
        <v>13</v>
      </c>
      <c r="E28" s="5" t="s">
        <v>12</v>
      </c>
      <c r="F28" s="5" t="s">
        <v>94</v>
      </c>
      <c r="G28" s="5" t="s">
        <v>95</v>
      </c>
      <c r="H28" s="5" t="s">
        <v>38</v>
      </c>
      <c r="I28" s="5" t="s">
        <v>9</v>
      </c>
      <c r="J28" s="5" t="s">
        <v>0</v>
      </c>
      <c r="Q28" s="1"/>
    </row>
    <row r="29" spans="1:17" x14ac:dyDescent="0.25">
      <c r="A29" s="1" t="s">
        <v>49</v>
      </c>
      <c r="B29" s="36">
        <f>'Reimbursement Rates &lt;-INPUT'!J9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&lt;-INPUT'!J10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&lt;-INPUT'!J11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&lt;-INPUT'!J12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&lt;-INPUT'!J13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&lt;-INPUT'!J15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&lt;-INPUT'!J16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&lt;-INPUT'!J17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&lt;-INPUT'!J18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&lt;-INPUT'!J19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&lt;-INPUT'!J20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&lt;-INPUT'!J22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&lt;-INPUT'!J23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&lt;-INPUT'!J24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&lt;-INPUT'!J25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&lt;-INPUT'!J26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&lt;-INPUT'!J28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50" t="s">
        <v>33</v>
      </c>
      <c r="B47" s="151"/>
      <c r="C47" s="151"/>
      <c r="D47" s="151"/>
      <c r="E47" s="151"/>
      <c r="F47" s="151"/>
      <c r="G47" s="151"/>
      <c r="H47" s="151"/>
      <c r="I47" s="151"/>
      <c r="J47" s="152"/>
      <c r="M47" s="7"/>
      <c r="Q47" s="1"/>
    </row>
    <row r="48" spans="1:17" x14ac:dyDescent="0.25">
      <c r="A48" s="4" t="s">
        <v>16</v>
      </c>
      <c r="B48" s="5" t="s">
        <v>15</v>
      </c>
      <c r="C48" s="5" t="s">
        <v>14</v>
      </c>
      <c r="D48" s="5" t="s">
        <v>13</v>
      </c>
      <c r="E48" s="5" t="s">
        <v>12</v>
      </c>
      <c r="F48" s="5" t="s">
        <v>94</v>
      </c>
      <c r="G48" s="5" t="s">
        <v>95</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68"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68"/>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68"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69"/>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95">
        <v>60000</v>
      </c>
      <c r="M66" s="7">
        <f>J66-L66</f>
        <v>-60000</v>
      </c>
    </row>
    <row r="67" spans="1:13" ht="15.75" thickBot="1" x14ac:dyDescent="0.3">
      <c r="A67" s="1"/>
      <c r="B67" s="9"/>
      <c r="C67" s="9"/>
      <c r="D67" s="9"/>
      <c r="E67" s="9"/>
      <c r="F67" s="9"/>
      <c r="G67" s="9"/>
      <c r="H67" s="9"/>
      <c r="I67" s="9"/>
      <c r="J67" s="9"/>
      <c r="M67" s="7"/>
    </row>
    <row r="68" spans="1:13" ht="15.75" thickBot="1" x14ac:dyDescent="0.3">
      <c r="A68" s="150" t="s">
        <v>64</v>
      </c>
      <c r="B68" s="151"/>
      <c r="C68" s="151"/>
      <c r="D68" s="151"/>
      <c r="E68" s="151"/>
      <c r="F68" s="151"/>
      <c r="G68" s="151"/>
      <c r="H68" s="151"/>
      <c r="I68" s="151"/>
      <c r="J68" s="152"/>
      <c r="M68" s="7"/>
    </row>
    <row r="69" spans="1:13" x14ac:dyDescent="0.25">
      <c r="A69" s="4" t="s">
        <v>16</v>
      </c>
      <c r="B69" s="5" t="s">
        <v>15</v>
      </c>
      <c r="C69" s="5" t="s">
        <v>14</v>
      </c>
      <c r="D69" s="5" t="s">
        <v>13</v>
      </c>
      <c r="E69" s="5" t="s">
        <v>12</v>
      </c>
      <c r="F69" s="5" t="s">
        <v>94</v>
      </c>
      <c r="G69" s="5" t="s">
        <v>95</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53" t="s">
        <v>59</v>
      </c>
      <c r="B89" s="154"/>
      <c r="C89" s="154"/>
      <c r="D89" s="154"/>
      <c r="E89" s="154"/>
      <c r="F89" s="154"/>
      <c r="G89" s="154"/>
      <c r="H89" s="154"/>
      <c r="I89" s="154"/>
      <c r="J89" s="155"/>
      <c r="M89" s="7"/>
    </row>
    <row r="90" spans="1:13" x14ac:dyDescent="0.25">
      <c r="A90" s="4" t="s">
        <v>16</v>
      </c>
      <c r="B90" s="5" t="s">
        <v>15</v>
      </c>
      <c r="C90" s="5" t="s">
        <v>14</v>
      </c>
      <c r="D90" s="5" t="s">
        <v>13</v>
      </c>
      <c r="E90" s="5" t="s">
        <v>12</v>
      </c>
      <c r="F90" s="5" t="s">
        <v>94</v>
      </c>
      <c r="G90" s="5" t="s">
        <v>95</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50" t="s">
        <v>60</v>
      </c>
      <c r="B109" s="151"/>
      <c r="C109" s="151"/>
      <c r="D109" s="151"/>
      <c r="E109" s="151"/>
      <c r="F109" s="151"/>
      <c r="G109" s="151"/>
      <c r="H109" s="151"/>
      <c r="I109" s="151"/>
      <c r="J109" s="152"/>
      <c r="M109" s="7"/>
    </row>
    <row r="110" spans="1:13" x14ac:dyDescent="0.25">
      <c r="A110" s="4" t="s">
        <v>16</v>
      </c>
      <c r="B110" s="5" t="s">
        <v>15</v>
      </c>
      <c r="C110" s="5" t="s">
        <v>14</v>
      </c>
      <c r="D110" s="5" t="s">
        <v>13</v>
      </c>
      <c r="E110" s="5" t="s">
        <v>12</v>
      </c>
      <c r="F110" s="5" t="s">
        <v>94</v>
      </c>
      <c r="G110" s="5" t="s">
        <v>95</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68"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68"/>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152</v>
      </c>
      <c r="M126" s="168"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69"/>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95">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50" t="s">
        <v>30</v>
      </c>
      <c r="B130" s="151"/>
      <c r="C130" s="151"/>
      <c r="D130" s="151"/>
      <c r="E130" s="151"/>
      <c r="F130" s="151"/>
      <c r="G130" s="151"/>
      <c r="H130" s="151"/>
      <c r="I130" s="151"/>
      <c r="J130" s="152"/>
      <c r="M130" s="7"/>
    </row>
    <row r="131" spans="1:13" x14ac:dyDescent="0.25">
      <c r="A131" s="4" t="s">
        <v>16</v>
      </c>
      <c r="B131" s="5" t="s">
        <v>15</v>
      </c>
      <c r="C131" s="5" t="s">
        <v>14</v>
      </c>
      <c r="D131" s="5" t="s">
        <v>13</v>
      </c>
      <c r="E131" s="5" t="s">
        <v>12</v>
      </c>
      <c r="F131" s="5" t="s">
        <v>94</v>
      </c>
      <c r="G131" s="5" t="s">
        <v>95</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09:J109"/>
    <mergeCell ref="M124:M125"/>
    <mergeCell ref="M126:M127"/>
    <mergeCell ref="A130:J130"/>
    <mergeCell ref="A27:J27"/>
    <mergeCell ref="A47:J47"/>
    <mergeCell ref="M62:M63"/>
    <mergeCell ref="M64:M65"/>
    <mergeCell ref="A68:J68"/>
    <mergeCell ref="A89:J89"/>
    <mergeCell ref="A1:M1"/>
    <mergeCell ref="A2:M2"/>
    <mergeCell ref="A3:M3"/>
    <mergeCell ref="A4:M4"/>
    <mergeCell ref="A6:J6"/>
    <mergeCell ref="L6:M6"/>
  </mergeCells>
  <pageMargins left="0.7" right="0.7" top="0.75" bottom="0.75" header="0.3" footer="0.3"/>
  <pageSetup scale="3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Q158"/>
  <sheetViews>
    <sheetView workbookViewId="0">
      <selection sqref="A1:M1"/>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62" t="s">
        <v>17</v>
      </c>
      <c r="B1" s="162"/>
      <c r="C1" s="162"/>
      <c r="D1" s="162"/>
      <c r="E1" s="162"/>
      <c r="F1" s="162"/>
      <c r="G1" s="162"/>
      <c r="H1" s="162"/>
      <c r="I1" s="162"/>
      <c r="J1" s="162"/>
      <c r="K1" s="162"/>
      <c r="L1" s="162"/>
      <c r="M1" s="162"/>
      <c r="O1" s="31"/>
    </row>
    <row r="2" spans="1:15" ht="15.75" x14ac:dyDescent="0.25">
      <c r="A2" s="163" t="s">
        <v>225</v>
      </c>
      <c r="B2" s="163"/>
      <c r="C2" s="163"/>
      <c r="D2" s="163"/>
      <c r="E2" s="163"/>
      <c r="F2" s="163"/>
      <c r="G2" s="163"/>
      <c r="H2" s="163"/>
      <c r="I2" s="163"/>
      <c r="J2" s="163"/>
      <c r="K2" s="163"/>
      <c r="L2" s="163"/>
      <c r="M2" s="163"/>
      <c r="O2" s="31"/>
    </row>
    <row r="3" spans="1:15" x14ac:dyDescent="0.25">
      <c r="A3" s="164" t="s">
        <v>31</v>
      </c>
      <c r="B3" s="164"/>
      <c r="C3" s="164"/>
      <c r="D3" s="164"/>
      <c r="E3" s="164"/>
      <c r="F3" s="164"/>
      <c r="G3" s="164"/>
      <c r="H3" s="164"/>
      <c r="I3" s="164"/>
      <c r="J3" s="164"/>
      <c r="K3" s="164"/>
      <c r="L3" s="164"/>
      <c r="M3" s="164"/>
    </row>
    <row r="4" spans="1:15" x14ac:dyDescent="0.25">
      <c r="A4" s="167">
        <f>'Company Summary'!A4:J4</f>
        <v>45199</v>
      </c>
      <c r="B4" s="167"/>
      <c r="C4" s="167"/>
      <c r="D4" s="167"/>
      <c r="E4" s="167"/>
      <c r="F4" s="167"/>
      <c r="G4" s="167"/>
      <c r="H4" s="167"/>
      <c r="I4" s="167"/>
      <c r="J4" s="167"/>
      <c r="K4" s="167"/>
      <c r="L4" s="167"/>
      <c r="M4" s="167"/>
    </row>
    <row r="5" spans="1:15" ht="15.75" thickBot="1" x14ac:dyDescent="0.3">
      <c r="A5" s="80"/>
      <c r="B5" s="80"/>
      <c r="C5" s="80"/>
      <c r="D5" s="80"/>
      <c r="E5" s="80"/>
      <c r="F5" s="80"/>
      <c r="G5" s="80"/>
      <c r="H5" s="80"/>
      <c r="I5" s="80"/>
      <c r="J5" s="80"/>
      <c r="K5" s="80"/>
      <c r="L5" s="80"/>
      <c r="M5" s="80"/>
    </row>
    <row r="6" spans="1:15" ht="15.75" thickBot="1" x14ac:dyDescent="0.3">
      <c r="A6" s="150" t="s">
        <v>54</v>
      </c>
      <c r="B6" s="151"/>
      <c r="C6" s="151"/>
      <c r="D6" s="151"/>
      <c r="E6" s="151"/>
      <c r="F6" s="151"/>
      <c r="G6" s="151"/>
      <c r="H6" s="151"/>
      <c r="I6" s="151"/>
      <c r="J6" s="152"/>
      <c r="L6" s="166"/>
      <c r="M6" s="166"/>
    </row>
    <row r="7" spans="1:15" x14ac:dyDescent="0.25">
      <c r="A7" s="4" t="s">
        <v>16</v>
      </c>
      <c r="B7" s="5" t="s">
        <v>15</v>
      </c>
      <c r="C7" s="5" t="s">
        <v>14</v>
      </c>
      <c r="D7" s="5" t="s">
        <v>13</v>
      </c>
      <c r="E7" s="5" t="s">
        <v>12</v>
      </c>
      <c r="F7" s="5" t="s">
        <v>94</v>
      </c>
      <c r="G7" s="5" t="s">
        <v>95</v>
      </c>
      <c r="H7" s="5" t="s">
        <v>38</v>
      </c>
      <c r="I7" s="5" t="s">
        <v>9</v>
      </c>
      <c r="J7" s="5" t="s">
        <v>0</v>
      </c>
      <c r="L7" s="4"/>
      <c r="M7" s="4"/>
    </row>
    <row r="8" spans="1:15" x14ac:dyDescent="0.25">
      <c r="A8" s="1" t="s">
        <v>49</v>
      </c>
      <c r="B8" s="33">
        <f>'Agile AR Aging &lt;-INPUT'!C257</f>
        <v>0</v>
      </c>
      <c r="C8" s="33">
        <f>'Agile AR Aging &lt;-INPUT'!D257</f>
        <v>0</v>
      </c>
      <c r="D8" s="33">
        <f>'Agile AR Aging &lt;-INPUT'!E257</f>
        <v>0</v>
      </c>
      <c r="E8" s="33">
        <f>'Agile AR Aging &lt;-INPUT'!F257</f>
        <v>0</v>
      </c>
      <c r="F8" s="33">
        <f>'Agile AR Aging &lt;-INPUT'!G257</f>
        <v>0</v>
      </c>
      <c r="G8" s="33">
        <f>'Agile AR Aging &lt;-INPUT'!H257</f>
        <v>0</v>
      </c>
      <c r="H8" s="33">
        <f>'Agile AR Aging &lt;-INPUT'!I257</f>
        <v>0</v>
      </c>
      <c r="I8" s="33">
        <f>'Agile AR Aging &lt;-INPUT'!J257</f>
        <v>0</v>
      </c>
      <c r="J8" s="2">
        <f t="shared" ref="J8:J24" si="0">SUM(B8:H8)</f>
        <v>0</v>
      </c>
      <c r="L8" s="67"/>
    </row>
    <row r="9" spans="1:15" x14ac:dyDescent="0.25">
      <c r="A9" s="1" t="s">
        <v>8</v>
      </c>
      <c r="B9" s="33">
        <f>'Agile AR Aging &lt;-INPUT'!C258</f>
        <v>0</v>
      </c>
      <c r="C9" s="33">
        <f>'Agile AR Aging &lt;-INPUT'!D258</f>
        <v>0</v>
      </c>
      <c r="D9" s="33">
        <f>'Agile AR Aging &lt;-INPUT'!E258</f>
        <v>0</v>
      </c>
      <c r="E9" s="33">
        <f>'Agile AR Aging &lt;-INPUT'!F258</f>
        <v>0</v>
      </c>
      <c r="F9" s="33">
        <f>'Agile AR Aging &lt;-INPUT'!G258</f>
        <v>0</v>
      </c>
      <c r="G9" s="33">
        <f>'Agile AR Aging &lt;-INPUT'!H258</f>
        <v>0</v>
      </c>
      <c r="H9" s="33">
        <f>'Agile AR Aging &lt;-INPUT'!I258</f>
        <v>0</v>
      </c>
      <c r="I9" s="33">
        <f>'Agile AR Aging &lt;-INPUT'!J258</f>
        <v>0</v>
      </c>
      <c r="J9" s="2">
        <f t="shared" si="0"/>
        <v>0</v>
      </c>
      <c r="L9" s="67"/>
      <c r="N9" s="68"/>
    </row>
    <row r="10" spans="1:15" x14ac:dyDescent="0.25">
      <c r="A10" s="1" t="s">
        <v>7</v>
      </c>
      <c r="B10" s="33">
        <f>'Agile AR Aging &lt;-INPUT'!C259</f>
        <v>0</v>
      </c>
      <c r="C10" s="33">
        <f>'Agile AR Aging &lt;-INPUT'!D259</f>
        <v>0</v>
      </c>
      <c r="D10" s="33">
        <f>'Agile AR Aging &lt;-INPUT'!E259</f>
        <v>0</v>
      </c>
      <c r="E10" s="33">
        <f>'Agile AR Aging &lt;-INPUT'!F259</f>
        <v>0</v>
      </c>
      <c r="F10" s="33">
        <f>'Agile AR Aging &lt;-INPUT'!G259</f>
        <v>0</v>
      </c>
      <c r="G10" s="33">
        <f>'Agile AR Aging &lt;-INPUT'!H259</f>
        <v>0</v>
      </c>
      <c r="H10" s="33">
        <f>'Agile AR Aging &lt;-INPUT'!I259</f>
        <v>0</v>
      </c>
      <c r="I10" s="33">
        <f>'Agile AR Aging &lt;-INPUT'!J259</f>
        <v>0</v>
      </c>
      <c r="J10" s="2">
        <f t="shared" si="0"/>
        <v>0</v>
      </c>
      <c r="L10" s="67"/>
      <c r="N10" s="68"/>
    </row>
    <row r="11" spans="1:15" x14ac:dyDescent="0.25">
      <c r="A11" s="1" t="s">
        <v>42</v>
      </c>
      <c r="B11" s="33">
        <f>'Agile AR Aging &lt;-INPUT'!C260</f>
        <v>0</v>
      </c>
      <c r="C11" s="33">
        <f>'Agile AR Aging &lt;-INPUT'!D260</f>
        <v>0</v>
      </c>
      <c r="D11" s="33">
        <f>'Agile AR Aging &lt;-INPUT'!E260</f>
        <v>0</v>
      </c>
      <c r="E11" s="33">
        <f>'Agile AR Aging &lt;-INPUT'!F260</f>
        <v>0</v>
      </c>
      <c r="F11" s="33">
        <f>'Agile AR Aging &lt;-INPUT'!G260</f>
        <v>0</v>
      </c>
      <c r="G11" s="33">
        <f>'Agile AR Aging &lt;-INPUT'!H260</f>
        <v>0</v>
      </c>
      <c r="H11" s="33">
        <f>'Agile AR Aging &lt;-INPUT'!I260</f>
        <v>0</v>
      </c>
      <c r="I11" s="33">
        <f>'Agile AR Aging &lt;-INPUT'!J260</f>
        <v>0</v>
      </c>
      <c r="J11" s="2">
        <f t="shared" si="0"/>
        <v>0</v>
      </c>
      <c r="L11" s="67"/>
      <c r="N11" s="68"/>
    </row>
    <row r="12" spans="1:15" x14ac:dyDescent="0.25">
      <c r="A12" s="1" t="s">
        <v>6</v>
      </c>
      <c r="B12" s="33">
        <f>'Agile AR Aging &lt;-INPUT'!C261+'Agile AR Aging &lt;-INPUT'!C262+'Agile AR Aging &lt;-INPUT'!C269+'Agile AR Aging &lt;-INPUT'!C275</f>
        <v>0</v>
      </c>
      <c r="C12" s="33">
        <f>'Agile AR Aging &lt;-INPUT'!D261+'Agile AR Aging &lt;-INPUT'!D262+'Agile AR Aging &lt;-INPUT'!D269+'Agile AR Aging &lt;-INPUT'!D275</f>
        <v>0</v>
      </c>
      <c r="D12" s="33">
        <f>'Agile AR Aging &lt;-INPUT'!E261+'Agile AR Aging &lt;-INPUT'!E262+'Agile AR Aging &lt;-INPUT'!E269+'Agile AR Aging &lt;-INPUT'!E275</f>
        <v>0</v>
      </c>
      <c r="E12" s="33">
        <f>'Agile AR Aging &lt;-INPUT'!F261+'Agile AR Aging &lt;-INPUT'!F262+'Agile AR Aging &lt;-INPUT'!F269+'Agile AR Aging &lt;-INPUT'!F275</f>
        <v>0</v>
      </c>
      <c r="F12" s="33">
        <f>'Agile AR Aging &lt;-INPUT'!G261+'Agile AR Aging &lt;-INPUT'!G262+'Agile AR Aging &lt;-INPUT'!G269+'Agile AR Aging &lt;-INPUT'!G275</f>
        <v>0</v>
      </c>
      <c r="G12" s="33">
        <f>'Agile AR Aging &lt;-INPUT'!H261+'Agile AR Aging &lt;-INPUT'!H262+'Agile AR Aging &lt;-INPUT'!H269+'Agile AR Aging &lt;-INPUT'!H275</f>
        <v>0</v>
      </c>
      <c r="H12" s="33">
        <f>'Agile AR Aging &lt;-INPUT'!I261+'Agile AR Aging &lt;-INPUT'!I262+'Agile AR Aging &lt;-INPUT'!I269+'Agile AR Aging &lt;-INPUT'!I275</f>
        <v>0</v>
      </c>
      <c r="I12" s="33">
        <f>'Agile AR Aging &lt;-INPUT'!J261+'Agile AR Aging &lt;-INPUT'!J262+'Agile AR Aging &lt;-INPUT'!J269+'Agile AR Aging &lt;-INPUT'!J275</f>
        <v>0</v>
      </c>
      <c r="J12" s="2">
        <f t="shared" si="0"/>
        <v>0</v>
      </c>
      <c r="L12" s="72"/>
      <c r="N12" s="68"/>
    </row>
    <row r="13" spans="1:15" x14ac:dyDescent="0.25">
      <c r="A13" s="1" t="s">
        <v>50</v>
      </c>
      <c r="B13" s="33">
        <f>'Agile AR Aging &lt;-INPUT'!C263</f>
        <v>0</v>
      </c>
      <c r="C13" s="33">
        <f>'Agile AR Aging &lt;-INPUT'!D263</f>
        <v>0</v>
      </c>
      <c r="D13" s="33">
        <f>'Agile AR Aging &lt;-INPUT'!E263</f>
        <v>0</v>
      </c>
      <c r="E13" s="33">
        <f>'Agile AR Aging &lt;-INPUT'!F263</f>
        <v>0</v>
      </c>
      <c r="F13" s="33">
        <f>'Agile AR Aging &lt;-INPUT'!G263</f>
        <v>0</v>
      </c>
      <c r="G13" s="33">
        <f>'Agile AR Aging &lt;-INPUT'!H263</f>
        <v>0</v>
      </c>
      <c r="H13" s="33">
        <f>'Agile AR Aging &lt;-INPUT'!I263</f>
        <v>0</v>
      </c>
      <c r="I13" s="33">
        <f>'Agile AR Aging &lt;-INPUT'!J263</f>
        <v>0</v>
      </c>
      <c r="J13" s="2">
        <f t="shared" si="0"/>
        <v>0</v>
      </c>
      <c r="L13" s="72"/>
      <c r="N13" s="68"/>
    </row>
    <row r="14" spans="1:15" x14ac:dyDescent="0.25">
      <c r="A14" s="1" t="s">
        <v>89</v>
      </c>
      <c r="B14" s="33">
        <f>'Agile AR Aging &lt;-INPUT'!C264</f>
        <v>0</v>
      </c>
      <c r="C14" s="33">
        <f>'Agile AR Aging &lt;-INPUT'!D264</f>
        <v>0</v>
      </c>
      <c r="D14" s="33">
        <f>'Agile AR Aging &lt;-INPUT'!E264</f>
        <v>0</v>
      </c>
      <c r="E14" s="33">
        <f>'Agile AR Aging &lt;-INPUT'!F264</f>
        <v>0</v>
      </c>
      <c r="F14" s="33">
        <f>'Agile AR Aging &lt;-INPUT'!G264</f>
        <v>0</v>
      </c>
      <c r="G14" s="33">
        <f>'Agile AR Aging &lt;-INPUT'!H264</f>
        <v>0</v>
      </c>
      <c r="H14" s="33">
        <f>'Agile AR Aging &lt;-INPUT'!I264</f>
        <v>0</v>
      </c>
      <c r="I14" s="33">
        <f>'Agile AR Aging &lt;-INPUT'!J264</f>
        <v>0</v>
      </c>
      <c r="J14" s="2">
        <f t="shared" si="0"/>
        <v>0</v>
      </c>
      <c r="L14" s="72"/>
      <c r="N14" s="68"/>
    </row>
    <row r="15" spans="1:15" x14ac:dyDescent="0.25">
      <c r="A15" s="1" t="s">
        <v>5</v>
      </c>
      <c r="B15" s="33">
        <f>'Agile AR Aging &lt;-INPUT'!C265</f>
        <v>0</v>
      </c>
      <c r="C15" s="33">
        <f>'Agile AR Aging &lt;-INPUT'!D265</f>
        <v>0</v>
      </c>
      <c r="D15" s="33">
        <f>'Agile AR Aging &lt;-INPUT'!E265</f>
        <v>0</v>
      </c>
      <c r="E15" s="33">
        <f>'Agile AR Aging &lt;-INPUT'!F265</f>
        <v>0</v>
      </c>
      <c r="F15" s="33">
        <f>'Agile AR Aging &lt;-INPUT'!G265</f>
        <v>0</v>
      </c>
      <c r="G15" s="33">
        <f>'Agile AR Aging &lt;-INPUT'!H265</f>
        <v>0</v>
      </c>
      <c r="H15" s="33">
        <f>'Agile AR Aging &lt;-INPUT'!I265</f>
        <v>0</v>
      </c>
      <c r="I15" s="33">
        <f>'Agile AR Aging &lt;-INPUT'!J265</f>
        <v>0</v>
      </c>
      <c r="J15" s="2">
        <f t="shared" si="0"/>
        <v>0</v>
      </c>
      <c r="L15" s="72"/>
      <c r="N15" s="68"/>
    </row>
    <row r="16" spans="1:15" x14ac:dyDescent="0.25">
      <c r="A16" s="1" t="s">
        <v>84</v>
      </c>
      <c r="B16" s="33">
        <f>'Agile AR Aging &lt;-INPUT'!C266</f>
        <v>0</v>
      </c>
      <c r="C16" s="33">
        <f>'Agile AR Aging &lt;-INPUT'!D266</f>
        <v>0</v>
      </c>
      <c r="D16" s="33">
        <f>'Agile AR Aging &lt;-INPUT'!E266</f>
        <v>0</v>
      </c>
      <c r="E16" s="33">
        <f>'Agile AR Aging &lt;-INPUT'!F266</f>
        <v>0</v>
      </c>
      <c r="F16" s="33">
        <f>'Agile AR Aging &lt;-INPUT'!G266</f>
        <v>0</v>
      </c>
      <c r="G16" s="33">
        <f>'Agile AR Aging &lt;-INPUT'!H266</f>
        <v>0</v>
      </c>
      <c r="H16" s="33">
        <f>'Agile AR Aging &lt;-INPUT'!I266</f>
        <v>0</v>
      </c>
      <c r="I16" s="33">
        <f>'Agile AR Aging &lt;-INPUT'!J266</f>
        <v>0</v>
      </c>
      <c r="J16" s="2">
        <f t="shared" si="0"/>
        <v>0</v>
      </c>
      <c r="L16" s="72"/>
      <c r="N16" s="68"/>
    </row>
    <row r="17" spans="1:17" x14ac:dyDescent="0.25">
      <c r="A17" s="1" t="s">
        <v>4</v>
      </c>
      <c r="B17" s="33">
        <f>'Agile AR Aging &lt;-INPUT'!C267</f>
        <v>0</v>
      </c>
      <c r="C17" s="33">
        <f>'Agile AR Aging &lt;-INPUT'!D267</f>
        <v>0</v>
      </c>
      <c r="D17" s="33">
        <f>'Agile AR Aging &lt;-INPUT'!E267</f>
        <v>0</v>
      </c>
      <c r="E17" s="33">
        <f>'Agile AR Aging &lt;-INPUT'!F267</f>
        <v>0</v>
      </c>
      <c r="F17" s="33">
        <f>'Agile AR Aging &lt;-INPUT'!G267</f>
        <v>0</v>
      </c>
      <c r="G17" s="33">
        <f>'Agile AR Aging &lt;-INPUT'!H267</f>
        <v>0</v>
      </c>
      <c r="H17" s="33">
        <f>'Agile AR Aging &lt;-INPUT'!I267</f>
        <v>0</v>
      </c>
      <c r="I17" s="33">
        <f>'Agile AR Aging &lt;-INPUT'!J267</f>
        <v>0</v>
      </c>
      <c r="J17" s="2">
        <f t="shared" si="0"/>
        <v>0</v>
      </c>
      <c r="L17" s="72"/>
      <c r="N17" s="68"/>
    </row>
    <row r="18" spans="1:17" x14ac:dyDescent="0.25">
      <c r="A18" s="1" t="s">
        <v>51</v>
      </c>
      <c r="B18" s="33">
        <f>'Agile AR Aging &lt;-INPUT'!C268</f>
        <v>0</v>
      </c>
      <c r="C18" s="33">
        <f>'Agile AR Aging &lt;-INPUT'!D268</f>
        <v>0</v>
      </c>
      <c r="D18" s="33">
        <f>'Agile AR Aging &lt;-INPUT'!E268</f>
        <v>0</v>
      </c>
      <c r="E18" s="33">
        <f>'Agile AR Aging &lt;-INPUT'!F268</f>
        <v>0</v>
      </c>
      <c r="F18" s="33">
        <f>'Agile AR Aging &lt;-INPUT'!G268</f>
        <v>0</v>
      </c>
      <c r="G18" s="33">
        <f>'Agile AR Aging &lt;-INPUT'!H268</f>
        <v>0</v>
      </c>
      <c r="H18" s="33">
        <f>'Agile AR Aging &lt;-INPUT'!I268</f>
        <v>0</v>
      </c>
      <c r="I18" s="33">
        <f>'Agile AR Aging &lt;-INPUT'!J268</f>
        <v>0</v>
      </c>
      <c r="J18" s="2">
        <f t="shared" si="0"/>
        <v>0</v>
      </c>
      <c r="L18" s="72"/>
      <c r="N18" s="68"/>
    </row>
    <row r="19" spans="1:17" x14ac:dyDescent="0.25">
      <c r="A19" s="1" t="s">
        <v>85</v>
      </c>
      <c r="B19" s="33">
        <f>'Agile AR Aging &lt;-INPUT'!C270</f>
        <v>0</v>
      </c>
      <c r="C19" s="33">
        <f>'Agile AR Aging &lt;-INPUT'!D270</f>
        <v>0</v>
      </c>
      <c r="D19" s="33">
        <f>'Agile AR Aging &lt;-INPUT'!E270</f>
        <v>0</v>
      </c>
      <c r="E19" s="33">
        <f>'Agile AR Aging &lt;-INPUT'!F270</f>
        <v>0</v>
      </c>
      <c r="F19" s="33">
        <f>'Agile AR Aging &lt;-INPUT'!G270</f>
        <v>0</v>
      </c>
      <c r="G19" s="33">
        <f>'Agile AR Aging &lt;-INPUT'!H270</f>
        <v>0</v>
      </c>
      <c r="H19" s="33">
        <f>'Agile AR Aging &lt;-INPUT'!I270</f>
        <v>0</v>
      </c>
      <c r="I19" s="33">
        <f>'Agile AR Aging &lt;-INPUT'!J270</f>
        <v>0</v>
      </c>
      <c r="J19" s="2">
        <f t="shared" si="0"/>
        <v>0</v>
      </c>
      <c r="L19" s="72"/>
      <c r="N19" s="68"/>
    </row>
    <row r="20" spans="1:17" x14ac:dyDescent="0.25">
      <c r="A20" s="1" t="s">
        <v>2</v>
      </c>
      <c r="B20" s="33">
        <f>'Agile AR Aging &lt;-INPUT'!C271</f>
        <v>0</v>
      </c>
      <c r="C20" s="33">
        <f>'Agile AR Aging &lt;-INPUT'!D271</f>
        <v>0</v>
      </c>
      <c r="D20" s="33">
        <f>'Agile AR Aging &lt;-INPUT'!E271</f>
        <v>0</v>
      </c>
      <c r="E20" s="33">
        <f>'Agile AR Aging &lt;-INPUT'!F271</f>
        <v>0</v>
      </c>
      <c r="F20" s="33">
        <f>'Agile AR Aging &lt;-INPUT'!G271</f>
        <v>0</v>
      </c>
      <c r="G20" s="33">
        <f>'Agile AR Aging &lt;-INPUT'!H271</f>
        <v>0</v>
      </c>
      <c r="H20" s="33">
        <f>'Agile AR Aging &lt;-INPUT'!I271</f>
        <v>0</v>
      </c>
      <c r="I20" s="33">
        <f>'Agile AR Aging &lt;-INPUT'!J271</f>
        <v>0</v>
      </c>
      <c r="J20" s="2">
        <f t="shared" si="0"/>
        <v>0</v>
      </c>
      <c r="L20" s="72"/>
      <c r="N20" s="68"/>
    </row>
    <row r="21" spans="1:17" x14ac:dyDescent="0.25">
      <c r="A21" s="1" t="s">
        <v>86</v>
      </c>
      <c r="B21" s="33">
        <f>'Agile AR Aging &lt;-INPUT'!C272</f>
        <v>0</v>
      </c>
      <c r="C21" s="33">
        <f>'Agile AR Aging &lt;-INPUT'!D272</f>
        <v>0</v>
      </c>
      <c r="D21" s="33">
        <f>'Agile AR Aging &lt;-INPUT'!E272</f>
        <v>0</v>
      </c>
      <c r="E21" s="33">
        <f>'Agile AR Aging &lt;-INPUT'!F272</f>
        <v>0</v>
      </c>
      <c r="F21" s="33">
        <f>'Agile AR Aging &lt;-INPUT'!G272</f>
        <v>0</v>
      </c>
      <c r="G21" s="33">
        <f>'Agile AR Aging &lt;-INPUT'!H272</f>
        <v>0</v>
      </c>
      <c r="H21" s="33">
        <f>'Agile AR Aging &lt;-INPUT'!I272</f>
        <v>0</v>
      </c>
      <c r="I21" s="33">
        <f>'Agile AR Aging &lt;-INPUT'!J272</f>
        <v>0</v>
      </c>
      <c r="J21" s="2">
        <f t="shared" si="0"/>
        <v>0</v>
      </c>
      <c r="L21" s="72"/>
      <c r="N21" s="68"/>
    </row>
    <row r="22" spans="1:17" x14ac:dyDescent="0.25">
      <c r="A22" s="1" t="s">
        <v>29</v>
      </c>
      <c r="B22" s="33">
        <f>'Agile AR Aging &lt;-INPUT'!C273</f>
        <v>0</v>
      </c>
      <c r="C22" s="33">
        <f>'Agile AR Aging &lt;-INPUT'!D273</f>
        <v>0</v>
      </c>
      <c r="D22" s="33">
        <f>'Agile AR Aging &lt;-INPUT'!E273</f>
        <v>0</v>
      </c>
      <c r="E22" s="33">
        <f>'Agile AR Aging &lt;-INPUT'!F273</f>
        <v>0</v>
      </c>
      <c r="F22" s="33">
        <f>'Agile AR Aging &lt;-INPUT'!G273</f>
        <v>0</v>
      </c>
      <c r="G22" s="33">
        <f>'Agile AR Aging &lt;-INPUT'!H273</f>
        <v>0</v>
      </c>
      <c r="H22" s="33">
        <f>'Agile AR Aging &lt;-INPUT'!I273</f>
        <v>0</v>
      </c>
      <c r="I22" s="33">
        <f>'Agile AR Aging &lt;-INPUT'!J273</f>
        <v>0</v>
      </c>
      <c r="J22" s="2">
        <f t="shared" si="0"/>
        <v>0</v>
      </c>
      <c r="L22" s="72"/>
      <c r="N22" s="68"/>
    </row>
    <row r="23" spans="1:17" x14ac:dyDescent="0.25">
      <c r="A23" s="1" t="s">
        <v>52</v>
      </c>
      <c r="B23" s="33">
        <f>'Agile AR Aging &lt;-INPUT'!C274</f>
        <v>0</v>
      </c>
      <c r="C23" s="33">
        <f>'Agile AR Aging &lt;-INPUT'!D274</f>
        <v>0</v>
      </c>
      <c r="D23" s="33">
        <f>'Agile AR Aging &lt;-INPUT'!E274</f>
        <v>0</v>
      </c>
      <c r="E23" s="33">
        <f>'Agile AR Aging &lt;-INPUT'!F274</f>
        <v>0</v>
      </c>
      <c r="F23" s="33">
        <f>'Agile AR Aging &lt;-INPUT'!G274</f>
        <v>0</v>
      </c>
      <c r="G23" s="33">
        <f>'Agile AR Aging &lt;-INPUT'!H274</f>
        <v>0</v>
      </c>
      <c r="H23" s="33">
        <f>'Agile AR Aging &lt;-INPUT'!I274</f>
        <v>0</v>
      </c>
      <c r="I23" s="33">
        <f>'Agile AR Aging &lt;-INPUT'!J274</f>
        <v>0</v>
      </c>
      <c r="J23" s="2">
        <f t="shared" si="0"/>
        <v>0</v>
      </c>
      <c r="L23" s="72"/>
      <c r="N23" s="68"/>
    </row>
    <row r="24" spans="1:17" x14ac:dyDescent="0.25">
      <c r="A24" s="1" t="s">
        <v>1</v>
      </c>
      <c r="B24" s="32">
        <f>'Agile AR Aging &lt;-INPUT'!C276</f>
        <v>0</v>
      </c>
      <c r="C24" s="32">
        <f>'Agile AR Aging &lt;-INPUT'!D276</f>
        <v>0</v>
      </c>
      <c r="D24" s="32">
        <f>'Agile AR Aging &lt;-INPUT'!E276</f>
        <v>0</v>
      </c>
      <c r="E24" s="32">
        <f>'Agile AR Aging &lt;-INPUT'!F276</f>
        <v>0</v>
      </c>
      <c r="F24" s="32">
        <f>'Agile AR Aging &lt;-INPUT'!G276</f>
        <v>0</v>
      </c>
      <c r="G24" s="32">
        <f>'Agile AR Aging &lt;-INPUT'!H276</f>
        <v>0</v>
      </c>
      <c r="H24" s="32">
        <f>'Agile AR Aging &lt;-INPUT'!I276</f>
        <v>0</v>
      </c>
      <c r="I24" s="32">
        <f>'Agile AR Aging &lt;-INPUT'!J276</f>
        <v>0</v>
      </c>
      <c r="J24" s="9">
        <f t="shared" si="0"/>
        <v>0</v>
      </c>
      <c r="L24" s="72"/>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53" t="s">
        <v>55</v>
      </c>
      <c r="B27" s="154"/>
      <c r="C27" s="154"/>
      <c r="D27" s="154"/>
      <c r="E27" s="154"/>
      <c r="F27" s="154"/>
      <c r="G27" s="154"/>
      <c r="H27" s="154"/>
      <c r="I27" s="154"/>
      <c r="J27" s="155"/>
      <c r="Q27" s="1"/>
    </row>
    <row r="28" spans="1:17" x14ac:dyDescent="0.25">
      <c r="A28" s="4" t="s">
        <v>16</v>
      </c>
      <c r="B28" s="5" t="s">
        <v>15</v>
      </c>
      <c r="C28" s="5" t="s">
        <v>14</v>
      </c>
      <c r="D28" s="5" t="s">
        <v>13</v>
      </c>
      <c r="E28" s="5" t="s">
        <v>12</v>
      </c>
      <c r="F28" s="5" t="s">
        <v>94</v>
      </c>
      <c r="G28" s="5" t="s">
        <v>95</v>
      </c>
      <c r="H28" s="5" t="s">
        <v>38</v>
      </c>
      <c r="I28" s="5" t="s">
        <v>9</v>
      </c>
      <c r="J28" s="5" t="s">
        <v>0</v>
      </c>
      <c r="Q28" s="1"/>
    </row>
    <row r="29" spans="1:17" x14ac:dyDescent="0.25">
      <c r="A29" s="1" t="s">
        <v>49</v>
      </c>
      <c r="B29" s="36">
        <f>'Reimbursement Rates &lt;-INPUT'!K9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&lt;-INPUT'!K10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&lt;-INPUT'!K11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&lt;-INPUT'!K12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&lt;-INPUT'!K13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&lt;-INPUT'!K15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&lt;-INPUT'!K16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&lt;-INPUT'!K17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&lt;-INPUT'!K18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&lt;-INPUT'!K19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&lt;-INPUT'!K20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&lt;-INPUT'!K22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&lt;-INPUT'!K23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&lt;-INPUT'!K24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&lt;-INPUT'!K25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&lt;-INPUT'!K26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&lt;-INPUT'!K28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50" t="s">
        <v>33</v>
      </c>
      <c r="B47" s="151"/>
      <c r="C47" s="151"/>
      <c r="D47" s="151"/>
      <c r="E47" s="151"/>
      <c r="F47" s="151"/>
      <c r="G47" s="151"/>
      <c r="H47" s="151"/>
      <c r="I47" s="151"/>
      <c r="J47" s="152"/>
      <c r="M47" s="7"/>
      <c r="Q47" s="1"/>
    </row>
    <row r="48" spans="1:17" x14ac:dyDescent="0.25">
      <c r="A48" s="4" t="s">
        <v>16</v>
      </c>
      <c r="B48" s="5" t="s">
        <v>15</v>
      </c>
      <c r="C48" s="5" t="s">
        <v>14</v>
      </c>
      <c r="D48" s="5" t="s">
        <v>13</v>
      </c>
      <c r="E48" s="5" t="s">
        <v>12</v>
      </c>
      <c r="F48" s="5" t="s">
        <v>94</v>
      </c>
      <c r="G48" s="5" t="s">
        <v>95</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68"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68"/>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68"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69"/>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95">
        <v>60000</v>
      </c>
      <c r="M66" s="7">
        <f>J66-L66</f>
        <v>-60000</v>
      </c>
    </row>
    <row r="67" spans="1:13" ht="15.75" thickBot="1" x14ac:dyDescent="0.3">
      <c r="A67" s="1"/>
      <c r="B67" s="9"/>
      <c r="C67" s="9"/>
      <c r="D67" s="9"/>
      <c r="E67" s="9"/>
      <c r="F67" s="9"/>
      <c r="G67" s="9"/>
      <c r="H67" s="9"/>
      <c r="I67" s="9"/>
      <c r="J67" s="9"/>
      <c r="M67" s="7"/>
    </row>
    <row r="68" spans="1:13" ht="15.75" thickBot="1" x14ac:dyDescent="0.3">
      <c r="A68" s="150" t="s">
        <v>64</v>
      </c>
      <c r="B68" s="151"/>
      <c r="C68" s="151"/>
      <c r="D68" s="151"/>
      <c r="E68" s="151"/>
      <c r="F68" s="151"/>
      <c r="G68" s="151"/>
      <c r="H68" s="151"/>
      <c r="I68" s="151"/>
      <c r="J68" s="152"/>
      <c r="M68" s="7"/>
    </row>
    <row r="69" spans="1:13" x14ac:dyDescent="0.25">
      <c r="A69" s="4" t="s">
        <v>16</v>
      </c>
      <c r="B69" s="5" t="s">
        <v>15</v>
      </c>
      <c r="C69" s="5" t="s">
        <v>14</v>
      </c>
      <c r="D69" s="5" t="s">
        <v>13</v>
      </c>
      <c r="E69" s="5" t="s">
        <v>12</v>
      </c>
      <c r="F69" s="5" t="s">
        <v>94</v>
      </c>
      <c r="G69" s="5" t="s">
        <v>95</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53" t="s">
        <v>59</v>
      </c>
      <c r="B89" s="154"/>
      <c r="C89" s="154"/>
      <c r="D89" s="154"/>
      <c r="E89" s="154"/>
      <c r="F89" s="154"/>
      <c r="G89" s="154"/>
      <c r="H89" s="154"/>
      <c r="I89" s="154"/>
      <c r="J89" s="155"/>
      <c r="M89" s="7"/>
    </row>
    <row r="90" spans="1:13" x14ac:dyDescent="0.25">
      <c r="A90" s="4" t="s">
        <v>16</v>
      </c>
      <c r="B90" s="5" t="s">
        <v>15</v>
      </c>
      <c r="C90" s="5" t="s">
        <v>14</v>
      </c>
      <c r="D90" s="5" t="s">
        <v>13</v>
      </c>
      <c r="E90" s="5" t="s">
        <v>12</v>
      </c>
      <c r="F90" s="5" t="s">
        <v>94</v>
      </c>
      <c r="G90" s="5" t="s">
        <v>95</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50" t="s">
        <v>60</v>
      </c>
      <c r="B109" s="151"/>
      <c r="C109" s="151"/>
      <c r="D109" s="151"/>
      <c r="E109" s="151"/>
      <c r="F109" s="151"/>
      <c r="G109" s="151"/>
      <c r="H109" s="151"/>
      <c r="I109" s="151"/>
      <c r="J109" s="152"/>
      <c r="M109" s="7"/>
    </row>
    <row r="110" spans="1:13" x14ac:dyDescent="0.25">
      <c r="A110" s="4" t="s">
        <v>16</v>
      </c>
      <c r="B110" s="5" t="s">
        <v>15</v>
      </c>
      <c r="C110" s="5" t="s">
        <v>14</v>
      </c>
      <c r="D110" s="5" t="s">
        <v>13</v>
      </c>
      <c r="E110" s="5" t="s">
        <v>12</v>
      </c>
      <c r="F110" s="5" t="s">
        <v>94</v>
      </c>
      <c r="G110" s="5" t="s">
        <v>95</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68"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68"/>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152</v>
      </c>
      <c r="M126" s="168"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69"/>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95">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50" t="s">
        <v>30</v>
      </c>
      <c r="B130" s="151"/>
      <c r="C130" s="151"/>
      <c r="D130" s="151"/>
      <c r="E130" s="151"/>
      <c r="F130" s="151"/>
      <c r="G130" s="151"/>
      <c r="H130" s="151"/>
      <c r="I130" s="151"/>
      <c r="J130" s="152"/>
      <c r="M130" s="7"/>
    </row>
    <row r="131" spans="1:13" x14ac:dyDescent="0.25">
      <c r="A131" s="4" t="s">
        <v>16</v>
      </c>
      <c r="B131" s="5" t="s">
        <v>15</v>
      </c>
      <c r="C131" s="5" t="s">
        <v>14</v>
      </c>
      <c r="D131" s="5" t="s">
        <v>13</v>
      </c>
      <c r="E131" s="5" t="s">
        <v>12</v>
      </c>
      <c r="F131" s="5" t="s">
        <v>94</v>
      </c>
      <c r="G131" s="5" t="s">
        <v>95</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09:J109"/>
    <mergeCell ref="M124:M125"/>
    <mergeCell ref="M126:M127"/>
    <mergeCell ref="A130:J130"/>
    <mergeCell ref="A27:J27"/>
    <mergeCell ref="A47:J47"/>
    <mergeCell ref="M62:M63"/>
    <mergeCell ref="M64:M65"/>
    <mergeCell ref="A68:J68"/>
    <mergeCell ref="A89:J89"/>
    <mergeCell ref="A1:M1"/>
    <mergeCell ref="A2:M2"/>
    <mergeCell ref="A3:M3"/>
    <mergeCell ref="A4:M4"/>
    <mergeCell ref="A6:J6"/>
    <mergeCell ref="L6:M6"/>
  </mergeCells>
  <pageMargins left="0.7" right="0.7" top="0.75" bottom="0.75" header="0.3" footer="0.3"/>
  <pageSetup scale="3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Q158"/>
  <sheetViews>
    <sheetView workbookViewId="0">
      <selection sqref="A1:M1"/>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62" t="s">
        <v>17</v>
      </c>
      <c r="B1" s="162"/>
      <c r="C1" s="162"/>
      <c r="D1" s="162"/>
      <c r="E1" s="162"/>
      <c r="F1" s="162"/>
      <c r="G1" s="162"/>
      <c r="H1" s="162"/>
      <c r="I1" s="162"/>
      <c r="J1" s="162"/>
      <c r="K1" s="162"/>
      <c r="L1" s="162"/>
      <c r="M1" s="162"/>
      <c r="O1" s="31"/>
    </row>
    <row r="2" spans="1:15" ht="15.75" x14ac:dyDescent="0.25">
      <c r="A2" s="163" t="s">
        <v>225</v>
      </c>
      <c r="B2" s="163"/>
      <c r="C2" s="163"/>
      <c r="D2" s="163"/>
      <c r="E2" s="163"/>
      <c r="F2" s="163"/>
      <c r="G2" s="163"/>
      <c r="H2" s="163"/>
      <c r="I2" s="163"/>
      <c r="J2" s="163"/>
      <c r="K2" s="163"/>
      <c r="L2" s="163"/>
      <c r="M2" s="163"/>
      <c r="O2" s="31"/>
    </row>
    <row r="3" spans="1:15" x14ac:dyDescent="0.25">
      <c r="A3" s="164" t="s">
        <v>31</v>
      </c>
      <c r="B3" s="164"/>
      <c r="C3" s="164"/>
      <c r="D3" s="164"/>
      <c r="E3" s="164"/>
      <c r="F3" s="164"/>
      <c r="G3" s="164"/>
      <c r="H3" s="164"/>
      <c r="I3" s="164"/>
      <c r="J3" s="164"/>
      <c r="K3" s="164"/>
      <c r="L3" s="164"/>
      <c r="M3" s="164"/>
    </row>
    <row r="4" spans="1:15" x14ac:dyDescent="0.25">
      <c r="A4" s="167">
        <f>'Company Summary'!A4:J4</f>
        <v>45199</v>
      </c>
      <c r="B4" s="167"/>
      <c r="C4" s="167"/>
      <c r="D4" s="167"/>
      <c r="E4" s="167"/>
      <c r="F4" s="167"/>
      <c r="G4" s="167"/>
      <c r="H4" s="167"/>
      <c r="I4" s="167"/>
      <c r="J4" s="167"/>
      <c r="K4" s="167"/>
      <c r="L4" s="167"/>
      <c r="M4" s="167"/>
    </row>
    <row r="5" spans="1:15" ht="15.75" thickBot="1" x14ac:dyDescent="0.3">
      <c r="A5" s="80"/>
      <c r="B5" s="80"/>
      <c r="C5" s="80"/>
      <c r="D5" s="80"/>
      <c r="E5" s="80"/>
      <c r="F5" s="80"/>
      <c r="G5" s="80"/>
      <c r="H5" s="80"/>
      <c r="I5" s="80"/>
      <c r="J5" s="80"/>
      <c r="K5" s="80"/>
      <c r="L5" s="80"/>
      <c r="M5" s="80"/>
    </row>
    <row r="6" spans="1:15" ht="15.75" thickBot="1" x14ac:dyDescent="0.3">
      <c r="A6" s="150" t="s">
        <v>54</v>
      </c>
      <c r="B6" s="151"/>
      <c r="C6" s="151"/>
      <c r="D6" s="151"/>
      <c r="E6" s="151"/>
      <c r="F6" s="151"/>
      <c r="G6" s="151"/>
      <c r="H6" s="151"/>
      <c r="I6" s="151"/>
      <c r="J6" s="152"/>
      <c r="L6" s="166"/>
      <c r="M6" s="166"/>
    </row>
    <row r="7" spans="1:15" x14ac:dyDescent="0.25">
      <c r="A7" s="4" t="s">
        <v>16</v>
      </c>
      <c r="B7" s="5" t="s">
        <v>15</v>
      </c>
      <c r="C7" s="5" t="s">
        <v>14</v>
      </c>
      <c r="D7" s="5" t="s">
        <v>13</v>
      </c>
      <c r="E7" s="5" t="s">
        <v>12</v>
      </c>
      <c r="F7" s="5" t="s">
        <v>94</v>
      </c>
      <c r="G7" s="5" t="s">
        <v>95</v>
      </c>
      <c r="H7" s="5" t="s">
        <v>38</v>
      </c>
      <c r="I7" s="5" t="s">
        <v>9</v>
      </c>
      <c r="J7" s="5" t="s">
        <v>0</v>
      </c>
      <c r="L7" s="4"/>
      <c r="M7" s="4"/>
    </row>
    <row r="8" spans="1:15" x14ac:dyDescent="0.25">
      <c r="A8" s="1" t="s">
        <v>49</v>
      </c>
      <c r="B8" s="33">
        <f>'Agile AR Aging &lt;-INPUT'!C283</f>
        <v>0</v>
      </c>
      <c r="C8" s="33">
        <f>'Agile AR Aging &lt;-INPUT'!D283</f>
        <v>0</v>
      </c>
      <c r="D8" s="33">
        <f>'Agile AR Aging &lt;-INPUT'!E283</f>
        <v>0</v>
      </c>
      <c r="E8" s="33">
        <f>'Agile AR Aging &lt;-INPUT'!F283</f>
        <v>0</v>
      </c>
      <c r="F8" s="33">
        <f>'Agile AR Aging &lt;-INPUT'!G283</f>
        <v>0</v>
      </c>
      <c r="G8" s="33">
        <f>'Agile AR Aging &lt;-INPUT'!H283</f>
        <v>0</v>
      </c>
      <c r="H8" s="33">
        <f>'Agile AR Aging &lt;-INPUT'!I283</f>
        <v>0</v>
      </c>
      <c r="I8" s="33">
        <f>'Agile AR Aging &lt;-INPUT'!J283</f>
        <v>0</v>
      </c>
      <c r="J8" s="2">
        <f t="shared" ref="J8:J24" si="0">SUM(B8:H8)</f>
        <v>0</v>
      </c>
      <c r="L8" s="67"/>
    </row>
    <row r="9" spans="1:15" x14ac:dyDescent="0.25">
      <c r="A9" s="1" t="s">
        <v>8</v>
      </c>
      <c r="B9" s="33">
        <f>'Agile AR Aging &lt;-INPUT'!C284</f>
        <v>0</v>
      </c>
      <c r="C9" s="33">
        <f>'Agile AR Aging &lt;-INPUT'!D284</f>
        <v>0</v>
      </c>
      <c r="D9" s="33">
        <f>'Agile AR Aging &lt;-INPUT'!E284</f>
        <v>0</v>
      </c>
      <c r="E9" s="33">
        <f>'Agile AR Aging &lt;-INPUT'!F284</f>
        <v>0</v>
      </c>
      <c r="F9" s="33">
        <f>'Agile AR Aging &lt;-INPUT'!G284</f>
        <v>0</v>
      </c>
      <c r="G9" s="33">
        <f>'Agile AR Aging &lt;-INPUT'!H284</f>
        <v>0</v>
      </c>
      <c r="H9" s="33">
        <f>'Agile AR Aging &lt;-INPUT'!I284</f>
        <v>0</v>
      </c>
      <c r="I9" s="33">
        <f>'Agile AR Aging &lt;-INPUT'!J284</f>
        <v>0</v>
      </c>
      <c r="J9" s="2">
        <f t="shared" si="0"/>
        <v>0</v>
      </c>
      <c r="L9" s="67"/>
      <c r="N9" s="68"/>
    </row>
    <row r="10" spans="1:15" x14ac:dyDescent="0.25">
      <c r="A10" s="1" t="s">
        <v>7</v>
      </c>
      <c r="B10" s="33">
        <f>'Agile AR Aging &lt;-INPUT'!C285</f>
        <v>0</v>
      </c>
      <c r="C10" s="33">
        <f>'Agile AR Aging &lt;-INPUT'!D285</f>
        <v>0</v>
      </c>
      <c r="D10" s="33">
        <f>'Agile AR Aging &lt;-INPUT'!E285</f>
        <v>0</v>
      </c>
      <c r="E10" s="33">
        <f>'Agile AR Aging &lt;-INPUT'!F285</f>
        <v>0</v>
      </c>
      <c r="F10" s="33">
        <f>'Agile AR Aging &lt;-INPUT'!G285</f>
        <v>0</v>
      </c>
      <c r="G10" s="33">
        <f>'Agile AR Aging &lt;-INPUT'!H285</f>
        <v>0</v>
      </c>
      <c r="H10" s="33">
        <f>'Agile AR Aging &lt;-INPUT'!I285</f>
        <v>0</v>
      </c>
      <c r="I10" s="33">
        <f>'Agile AR Aging &lt;-INPUT'!J285</f>
        <v>0</v>
      </c>
      <c r="J10" s="2">
        <f t="shared" si="0"/>
        <v>0</v>
      </c>
      <c r="L10" s="67"/>
      <c r="N10" s="68"/>
    </row>
    <row r="11" spans="1:15" x14ac:dyDescent="0.25">
      <c r="A11" s="1" t="s">
        <v>42</v>
      </c>
      <c r="B11" s="33">
        <f>'Agile AR Aging &lt;-INPUT'!C286</f>
        <v>0</v>
      </c>
      <c r="C11" s="33">
        <f>'Agile AR Aging &lt;-INPUT'!D286</f>
        <v>0</v>
      </c>
      <c r="D11" s="33">
        <f>'Agile AR Aging &lt;-INPUT'!E286</f>
        <v>0</v>
      </c>
      <c r="E11" s="33">
        <f>'Agile AR Aging &lt;-INPUT'!F286</f>
        <v>0</v>
      </c>
      <c r="F11" s="33">
        <f>'Agile AR Aging &lt;-INPUT'!G286</f>
        <v>0</v>
      </c>
      <c r="G11" s="33">
        <f>'Agile AR Aging &lt;-INPUT'!H286</f>
        <v>0</v>
      </c>
      <c r="H11" s="33">
        <f>'Agile AR Aging &lt;-INPUT'!I286</f>
        <v>0</v>
      </c>
      <c r="I11" s="33">
        <f>'Agile AR Aging &lt;-INPUT'!J286</f>
        <v>0</v>
      </c>
      <c r="J11" s="2">
        <f t="shared" si="0"/>
        <v>0</v>
      </c>
      <c r="L11" s="67"/>
      <c r="N11" s="68"/>
    </row>
    <row r="12" spans="1:15" x14ac:dyDescent="0.25">
      <c r="A12" s="1" t="s">
        <v>6</v>
      </c>
      <c r="B12" s="33">
        <f>'Agile AR Aging &lt;-INPUT'!C287+'Agile AR Aging &lt;-INPUT'!C288+'Agile AR Aging &lt;-INPUT'!C295+'Agile AR Aging &lt;-INPUT'!C301</f>
        <v>0</v>
      </c>
      <c r="C12" s="33">
        <f>'Agile AR Aging &lt;-INPUT'!D287+'Agile AR Aging &lt;-INPUT'!D288+'Agile AR Aging &lt;-INPUT'!D295+'Agile AR Aging &lt;-INPUT'!D301</f>
        <v>0</v>
      </c>
      <c r="D12" s="33">
        <f>'Agile AR Aging &lt;-INPUT'!E287+'Agile AR Aging &lt;-INPUT'!E288+'Agile AR Aging &lt;-INPUT'!E295+'Agile AR Aging &lt;-INPUT'!E301</f>
        <v>0</v>
      </c>
      <c r="E12" s="33">
        <f>'Agile AR Aging &lt;-INPUT'!F287+'Agile AR Aging &lt;-INPUT'!F288+'Agile AR Aging &lt;-INPUT'!F295+'Agile AR Aging &lt;-INPUT'!F301</f>
        <v>0</v>
      </c>
      <c r="F12" s="33">
        <f>'Agile AR Aging &lt;-INPUT'!G287+'Agile AR Aging &lt;-INPUT'!G288+'Agile AR Aging &lt;-INPUT'!G295+'Agile AR Aging &lt;-INPUT'!G301</f>
        <v>0</v>
      </c>
      <c r="G12" s="33">
        <f>'Agile AR Aging &lt;-INPUT'!H287+'Agile AR Aging &lt;-INPUT'!H288+'Agile AR Aging &lt;-INPUT'!H295+'Agile AR Aging &lt;-INPUT'!H301</f>
        <v>0</v>
      </c>
      <c r="H12" s="33">
        <f>'Agile AR Aging &lt;-INPUT'!I287+'Agile AR Aging &lt;-INPUT'!I288+'Agile AR Aging &lt;-INPUT'!I295+'Agile AR Aging &lt;-INPUT'!I301</f>
        <v>0</v>
      </c>
      <c r="I12" s="33">
        <f>'Agile AR Aging &lt;-INPUT'!J287+'Agile AR Aging &lt;-INPUT'!J288+'Agile AR Aging &lt;-INPUT'!J295+'Agile AR Aging &lt;-INPUT'!J301</f>
        <v>0</v>
      </c>
      <c r="J12" s="2">
        <f t="shared" si="0"/>
        <v>0</v>
      </c>
      <c r="L12" s="72"/>
      <c r="N12" s="68"/>
    </row>
    <row r="13" spans="1:15" x14ac:dyDescent="0.25">
      <c r="A13" s="1" t="s">
        <v>50</v>
      </c>
      <c r="B13" s="33">
        <f>'Agile AR Aging &lt;-INPUT'!C289</f>
        <v>0</v>
      </c>
      <c r="C13" s="33">
        <f>'Agile AR Aging &lt;-INPUT'!D289</f>
        <v>0</v>
      </c>
      <c r="D13" s="33">
        <f>'Agile AR Aging &lt;-INPUT'!E289</f>
        <v>0</v>
      </c>
      <c r="E13" s="33">
        <f>'Agile AR Aging &lt;-INPUT'!F289</f>
        <v>0</v>
      </c>
      <c r="F13" s="33">
        <f>'Agile AR Aging &lt;-INPUT'!G289</f>
        <v>0</v>
      </c>
      <c r="G13" s="33">
        <f>'Agile AR Aging &lt;-INPUT'!H289</f>
        <v>0</v>
      </c>
      <c r="H13" s="33">
        <f>'Agile AR Aging &lt;-INPUT'!I289</f>
        <v>0</v>
      </c>
      <c r="I13" s="33">
        <f>'Agile AR Aging &lt;-INPUT'!J289</f>
        <v>0</v>
      </c>
      <c r="J13" s="2">
        <f t="shared" si="0"/>
        <v>0</v>
      </c>
      <c r="L13" s="72"/>
      <c r="N13" s="68"/>
    </row>
    <row r="14" spans="1:15" x14ac:dyDescent="0.25">
      <c r="A14" s="1" t="s">
        <v>89</v>
      </c>
      <c r="B14" s="33">
        <f>'Agile AR Aging &lt;-INPUT'!C290</f>
        <v>0</v>
      </c>
      <c r="C14" s="33">
        <f>'Agile AR Aging &lt;-INPUT'!D290</f>
        <v>0</v>
      </c>
      <c r="D14" s="33">
        <f>'Agile AR Aging &lt;-INPUT'!E290</f>
        <v>0</v>
      </c>
      <c r="E14" s="33">
        <f>'Agile AR Aging &lt;-INPUT'!F290</f>
        <v>0</v>
      </c>
      <c r="F14" s="33">
        <f>'Agile AR Aging &lt;-INPUT'!G290</f>
        <v>0</v>
      </c>
      <c r="G14" s="33">
        <f>'Agile AR Aging &lt;-INPUT'!H290</f>
        <v>0</v>
      </c>
      <c r="H14" s="33">
        <f>'Agile AR Aging &lt;-INPUT'!I290</f>
        <v>0</v>
      </c>
      <c r="I14" s="33">
        <f>'Agile AR Aging &lt;-INPUT'!J290</f>
        <v>0</v>
      </c>
      <c r="J14" s="2">
        <f t="shared" si="0"/>
        <v>0</v>
      </c>
      <c r="L14" s="72"/>
      <c r="N14" s="68"/>
    </row>
    <row r="15" spans="1:15" x14ac:dyDescent="0.25">
      <c r="A15" s="1" t="s">
        <v>5</v>
      </c>
      <c r="B15" s="33">
        <f>'Agile AR Aging &lt;-INPUT'!C291</f>
        <v>0</v>
      </c>
      <c r="C15" s="33">
        <f>'Agile AR Aging &lt;-INPUT'!D291</f>
        <v>0</v>
      </c>
      <c r="D15" s="33">
        <f>'Agile AR Aging &lt;-INPUT'!E291</f>
        <v>0</v>
      </c>
      <c r="E15" s="33">
        <f>'Agile AR Aging &lt;-INPUT'!F291</f>
        <v>0</v>
      </c>
      <c r="F15" s="33">
        <f>'Agile AR Aging &lt;-INPUT'!G291</f>
        <v>0</v>
      </c>
      <c r="G15" s="33">
        <f>'Agile AR Aging &lt;-INPUT'!H291</f>
        <v>0</v>
      </c>
      <c r="H15" s="33">
        <f>'Agile AR Aging &lt;-INPUT'!I291</f>
        <v>0</v>
      </c>
      <c r="I15" s="33">
        <f>'Agile AR Aging &lt;-INPUT'!J291</f>
        <v>0</v>
      </c>
      <c r="J15" s="2">
        <f t="shared" si="0"/>
        <v>0</v>
      </c>
      <c r="L15" s="72"/>
      <c r="N15" s="68"/>
    </row>
    <row r="16" spans="1:15" x14ac:dyDescent="0.25">
      <c r="A16" s="1" t="s">
        <v>84</v>
      </c>
      <c r="B16" s="33">
        <f>'Agile AR Aging &lt;-INPUT'!C292</f>
        <v>0</v>
      </c>
      <c r="C16" s="33">
        <f>'Agile AR Aging &lt;-INPUT'!D292</f>
        <v>0</v>
      </c>
      <c r="D16" s="33">
        <f>'Agile AR Aging &lt;-INPUT'!E292</f>
        <v>0</v>
      </c>
      <c r="E16" s="33">
        <f>'Agile AR Aging &lt;-INPUT'!F292</f>
        <v>0</v>
      </c>
      <c r="F16" s="33">
        <f>'Agile AR Aging &lt;-INPUT'!G292</f>
        <v>0</v>
      </c>
      <c r="G16" s="33">
        <f>'Agile AR Aging &lt;-INPUT'!H292</f>
        <v>0</v>
      </c>
      <c r="H16" s="33">
        <f>'Agile AR Aging &lt;-INPUT'!I292</f>
        <v>0</v>
      </c>
      <c r="I16" s="33">
        <f>'Agile AR Aging &lt;-INPUT'!J292</f>
        <v>0</v>
      </c>
      <c r="J16" s="2">
        <f t="shared" si="0"/>
        <v>0</v>
      </c>
      <c r="L16" s="72"/>
      <c r="N16" s="68"/>
    </row>
    <row r="17" spans="1:17" x14ac:dyDescent="0.25">
      <c r="A17" s="1" t="s">
        <v>4</v>
      </c>
      <c r="B17" s="33">
        <f>'Agile AR Aging &lt;-INPUT'!C293</f>
        <v>0</v>
      </c>
      <c r="C17" s="33">
        <f>'Agile AR Aging &lt;-INPUT'!D293</f>
        <v>0</v>
      </c>
      <c r="D17" s="33">
        <f>'Agile AR Aging &lt;-INPUT'!E293</f>
        <v>0</v>
      </c>
      <c r="E17" s="33">
        <f>'Agile AR Aging &lt;-INPUT'!F293</f>
        <v>0</v>
      </c>
      <c r="F17" s="33">
        <f>'Agile AR Aging &lt;-INPUT'!G293</f>
        <v>0</v>
      </c>
      <c r="G17" s="33">
        <f>'Agile AR Aging &lt;-INPUT'!H293</f>
        <v>0</v>
      </c>
      <c r="H17" s="33">
        <f>'Agile AR Aging &lt;-INPUT'!I293</f>
        <v>0</v>
      </c>
      <c r="I17" s="33">
        <f>'Agile AR Aging &lt;-INPUT'!J293</f>
        <v>0</v>
      </c>
      <c r="J17" s="2">
        <f t="shared" si="0"/>
        <v>0</v>
      </c>
      <c r="L17" s="72"/>
      <c r="N17" s="68"/>
    </row>
    <row r="18" spans="1:17" x14ac:dyDescent="0.25">
      <c r="A18" s="1" t="s">
        <v>51</v>
      </c>
      <c r="B18" s="33">
        <f>'Agile AR Aging &lt;-INPUT'!C294</f>
        <v>0</v>
      </c>
      <c r="C18" s="33">
        <f>'Agile AR Aging &lt;-INPUT'!D294</f>
        <v>0</v>
      </c>
      <c r="D18" s="33">
        <f>'Agile AR Aging &lt;-INPUT'!E294</f>
        <v>0</v>
      </c>
      <c r="E18" s="33">
        <f>'Agile AR Aging &lt;-INPUT'!F294</f>
        <v>0</v>
      </c>
      <c r="F18" s="33">
        <f>'Agile AR Aging &lt;-INPUT'!G294</f>
        <v>0</v>
      </c>
      <c r="G18" s="33">
        <f>'Agile AR Aging &lt;-INPUT'!H294</f>
        <v>0</v>
      </c>
      <c r="H18" s="33">
        <f>'Agile AR Aging &lt;-INPUT'!I294</f>
        <v>0</v>
      </c>
      <c r="I18" s="33">
        <f>'Agile AR Aging &lt;-INPUT'!J294</f>
        <v>0</v>
      </c>
      <c r="J18" s="2">
        <f t="shared" si="0"/>
        <v>0</v>
      </c>
      <c r="L18" s="72"/>
      <c r="N18" s="68"/>
    </row>
    <row r="19" spans="1:17" x14ac:dyDescent="0.25">
      <c r="A19" s="1" t="s">
        <v>85</v>
      </c>
      <c r="B19" s="33">
        <f>'Agile AR Aging &lt;-INPUT'!C296</f>
        <v>0</v>
      </c>
      <c r="C19" s="33">
        <f>'Agile AR Aging &lt;-INPUT'!D296</f>
        <v>0</v>
      </c>
      <c r="D19" s="33">
        <f>'Agile AR Aging &lt;-INPUT'!E296</f>
        <v>0</v>
      </c>
      <c r="E19" s="33">
        <f>'Agile AR Aging &lt;-INPUT'!F296</f>
        <v>0</v>
      </c>
      <c r="F19" s="33">
        <f>'Agile AR Aging &lt;-INPUT'!G296</f>
        <v>0</v>
      </c>
      <c r="G19" s="33">
        <f>'Agile AR Aging &lt;-INPUT'!H296</f>
        <v>0</v>
      </c>
      <c r="H19" s="33">
        <f>'Agile AR Aging &lt;-INPUT'!I296</f>
        <v>0</v>
      </c>
      <c r="I19" s="33">
        <f>'Agile AR Aging &lt;-INPUT'!J296</f>
        <v>0</v>
      </c>
      <c r="J19" s="2">
        <f t="shared" si="0"/>
        <v>0</v>
      </c>
      <c r="L19" s="72"/>
      <c r="N19" s="68"/>
    </row>
    <row r="20" spans="1:17" x14ac:dyDescent="0.25">
      <c r="A20" s="1" t="s">
        <v>2</v>
      </c>
      <c r="B20" s="33">
        <f>'Agile AR Aging &lt;-INPUT'!C297</f>
        <v>0</v>
      </c>
      <c r="C20" s="33">
        <f>'Agile AR Aging &lt;-INPUT'!D297</f>
        <v>0</v>
      </c>
      <c r="D20" s="33">
        <f>'Agile AR Aging &lt;-INPUT'!E297</f>
        <v>0</v>
      </c>
      <c r="E20" s="33">
        <f>'Agile AR Aging &lt;-INPUT'!F297</f>
        <v>0</v>
      </c>
      <c r="F20" s="33">
        <f>'Agile AR Aging &lt;-INPUT'!G297</f>
        <v>0</v>
      </c>
      <c r="G20" s="33">
        <f>'Agile AR Aging &lt;-INPUT'!H297</f>
        <v>0</v>
      </c>
      <c r="H20" s="33">
        <f>'Agile AR Aging &lt;-INPUT'!I297</f>
        <v>0</v>
      </c>
      <c r="I20" s="33">
        <f>'Agile AR Aging &lt;-INPUT'!J297</f>
        <v>0</v>
      </c>
      <c r="J20" s="2">
        <f t="shared" si="0"/>
        <v>0</v>
      </c>
      <c r="L20" s="72"/>
      <c r="N20" s="68"/>
    </row>
    <row r="21" spans="1:17" x14ac:dyDescent="0.25">
      <c r="A21" s="1" t="s">
        <v>86</v>
      </c>
      <c r="B21" s="33">
        <f>'Agile AR Aging &lt;-INPUT'!C298</f>
        <v>0</v>
      </c>
      <c r="C21" s="33">
        <f>'Agile AR Aging &lt;-INPUT'!D298</f>
        <v>0</v>
      </c>
      <c r="D21" s="33">
        <f>'Agile AR Aging &lt;-INPUT'!E298</f>
        <v>0</v>
      </c>
      <c r="E21" s="33">
        <f>'Agile AR Aging &lt;-INPUT'!F298</f>
        <v>0</v>
      </c>
      <c r="F21" s="33">
        <f>'Agile AR Aging &lt;-INPUT'!G298</f>
        <v>0</v>
      </c>
      <c r="G21" s="33">
        <f>'Agile AR Aging &lt;-INPUT'!H298</f>
        <v>0</v>
      </c>
      <c r="H21" s="33">
        <f>'Agile AR Aging &lt;-INPUT'!I298</f>
        <v>0</v>
      </c>
      <c r="I21" s="33">
        <f>'Agile AR Aging &lt;-INPUT'!J298</f>
        <v>0</v>
      </c>
      <c r="J21" s="2">
        <f t="shared" si="0"/>
        <v>0</v>
      </c>
      <c r="L21" s="72"/>
      <c r="N21" s="68"/>
    </row>
    <row r="22" spans="1:17" x14ac:dyDescent="0.25">
      <c r="A22" s="1" t="s">
        <v>29</v>
      </c>
      <c r="B22" s="33">
        <f>'Agile AR Aging &lt;-INPUT'!C299</f>
        <v>0</v>
      </c>
      <c r="C22" s="33">
        <f>'Agile AR Aging &lt;-INPUT'!D299</f>
        <v>0</v>
      </c>
      <c r="D22" s="33">
        <f>'Agile AR Aging &lt;-INPUT'!E299</f>
        <v>0</v>
      </c>
      <c r="E22" s="33">
        <f>'Agile AR Aging &lt;-INPUT'!F299</f>
        <v>0</v>
      </c>
      <c r="F22" s="33">
        <f>'Agile AR Aging &lt;-INPUT'!G299</f>
        <v>0</v>
      </c>
      <c r="G22" s="33">
        <f>'Agile AR Aging &lt;-INPUT'!H299</f>
        <v>0</v>
      </c>
      <c r="H22" s="33">
        <f>'Agile AR Aging &lt;-INPUT'!I299</f>
        <v>0</v>
      </c>
      <c r="I22" s="33">
        <f>'Agile AR Aging &lt;-INPUT'!J299</f>
        <v>0</v>
      </c>
      <c r="J22" s="2">
        <f t="shared" si="0"/>
        <v>0</v>
      </c>
      <c r="L22" s="72"/>
      <c r="N22" s="68"/>
    </row>
    <row r="23" spans="1:17" x14ac:dyDescent="0.25">
      <c r="A23" s="1" t="s">
        <v>52</v>
      </c>
      <c r="B23" s="33">
        <f>'Agile AR Aging &lt;-INPUT'!C300</f>
        <v>0</v>
      </c>
      <c r="C23" s="33">
        <f>'Agile AR Aging &lt;-INPUT'!D300</f>
        <v>0</v>
      </c>
      <c r="D23" s="33">
        <f>'Agile AR Aging &lt;-INPUT'!E300</f>
        <v>0</v>
      </c>
      <c r="E23" s="33">
        <f>'Agile AR Aging &lt;-INPUT'!F300</f>
        <v>0</v>
      </c>
      <c r="F23" s="33">
        <f>'Agile AR Aging &lt;-INPUT'!G300</f>
        <v>0</v>
      </c>
      <c r="G23" s="33">
        <f>'Agile AR Aging &lt;-INPUT'!H300</f>
        <v>0</v>
      </c>
      <c r="H23" s="33">
        <f>'Agile AR Aging &lt;-INPUT'!I300</f>
        <v>0</v>
      </c>
      <c r="I23" s="33">
        <f>'Agile AR Aging &lt;-INPUT'!J300</f>
        <v>0</v>
      </c>
      <c r="J23" s="2">
        <f t="shared" si="0"/>
        <v>0</v>
      </c>
      <c r="L23" s="72"/>
      <c r="N23" s="68"/>
    </row>
    <row r="24" spans="1:17" x14ac:dyDescent="0.25">
      <c r="A24" s="1" t="s">
        <v>1</v>
      </c>
      <c r="B24" s="32">
        <f>'Agile AR Aging &lt;-INPUT'!C302</f>
        <v>0</v>
      </c>
      <c r="C24" s="32">
        <f>'Agile AR Aging &lt;-INPUT'!D302</f>
        <v>0</v>
      </c>
      <c r="D24" s="32">
        <f>'Agile AR Aging &lt;-INPUT'!E302</f>
        <v>0</v>
      </c>
      <c r="E24" s="32">
        <f>'Agile AR Aging &lt;-INPUT'!F302</f>
        <v>0</v>
      </c>
      <c r="F24" s="32">
        <f>'Agile AR Aging &lt;-INPUT'!G302</f>
        <v>0</v>
      </c>
      <c r="G24" s="32">
        <f>'Agile AR Aging &lt;-INPUT'!H302</f>
        <v>0</v>
      </c>
      <c r="H24" s="32">
        <f>'Agile AR Aging &lt;-INPUT'!I302</f>
        <v>0</v>
      </c>
      <c r="I24" s="32">
        <f>'Agile AR Aging &lt;-INPUT'!J302</f>
        <v>0</v>
      </c>
      <c r="J24" s="9">
        <f t="shared" si="0"/>
        <v>0</v>
      </c>
      <c r="L24" s="72"/>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53" t="s">
        <v>55</v>
      </c>
      <c r="B27" s="154"/>
      <c r="C27" s="154"/>
      <c r="D27" s="154"/>
      <c r="E27" s="154"/>
      <c r="F27" s="154"/>
      <c r="G27" s="154"/>
      <c r="H27" s="154"/>
      <c r="I27" s="154"/>
      <c r="J27" s="155"/>
      <c r="Q27" s="1"/>
    </row>
    <row r="28" spans="1:17" x14ac:dyDescent="0.25">
      <c r="A28" s="4" t="s">
        <v>16</v>
      </c>
      <c r="B28" s="5" t="s">
        <v>15</v>
      </c>
      <c r="C28" s="5" t="s">
        <v>14</v>
      </c>
      <c r="D28" s="5" t="s">
        <v>13</v>
      </c>
      <c r="E28" s="5" t="s">
        <v>12</v>
      </c>
      <c r="F28" s="5" t="s">
        <v>94</v>
      </c>
      <c r="G28" s="5" t="s">
        <v>95</v>
      </c>
      <c r="H28" s="5" t="s">
        <v>38</v>
      </c>
      <c r="I28" s="5" t="s">
        <v>9</v>
      </c>
      <c r="J28" s="5" t="s">
        <v>0</v>
      </c>
      <c r="Q28" s="1"/>
    </row>
    <row r="29" spans="1:17" x14ac:dyDescent="0.25">
      <c r="A29" s="1" t="s">
        <v>49</v>
      </c>
      <c r="B29" s="36">
        <f>'Reimbursement Rates &lt;-INPUT'!L9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&lt;-INPUT'!L10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&lt;-INPUT'!L11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&lt;-INPUT'!L12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&lt;-INPUT'!L13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&lt;-INPUT'!L15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&lt;-INPUT'!L16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&lt;-INPUT'!L17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&lt;-INPUT'!L18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&lt;-INPUT'!L19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&lt;-INPUT'!L20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&lt;-INPUT'!L22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&lt;-INPUT'!L23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&lt;-INPUT'!L24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&lt;-INPUT'!L25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&lt;-INPUT'!L26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&lt;-INPUT'!L28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50" t="s">
        <v>33</v>
      </c>
      <c r="B47" s="151"/>
      <c r="C47" s="151"/>
      <c r="D47" s="151"/>
      <c r="E47" s="151"/>
      <c r="F47" s="151"/>
      <c r="G47" s="151"/>
      <c r="H47" s="151"/>
      <c r="I47" s="151"/>
      <c r="J47" s="152"/>
      <c r="M47" s="7"/>
      <c r="Q47" s="1"/>
    </row>
    <row r="48" spans="1:17" x14ac:dyDescent="0.25">
      <c r="A48" s="4" t="s">
        <v>16</v>
      </c>
      <c r="B48" s="5" t="s">
        <v>15</v>
      </c>
      <c r="C48" s="5" t="s">
        <v>14</v>
      </c>
      <c r="D48" s="5" t="s">
        <v>13</v>
      </c>
      <c r="E48" s="5" t="s">
        <v>12</v>
      </c>
      <c r="F48" s="5" t="s">
        <v>94</v>
      </c>
      <c r="G48" s="5" t="s">
        <v>95</v>
      </c>
      <c r="H48" s="5" t="s">
        <v>38</v>
      </c>
      <c r="I48" s="5" t="s">
        <v>9</v>
      </c>
      <c r="J48" s="5" t="s">
        <v>0</v>
      </c>
      <c r="M48" s="7"/>
    </row>
    <row r="49" spans="1:17" x14ac:dyDescent="0.25">
      <c r="A49" s="1" t="s">
        <v>49</v>
      </c>
      <c r="B49" s="37">
        <f t="shared" ref="B49:H51" si="4">IF(B8&gt;0,B8*(1-B29),0)</f>
        <v>0</v>
      </c>
      <c r="C49" s="37">
        <f t="shared" si="4"/>
        <v>0</v>
      </c>
      <c r="D49" s="37">
        <f t="shared" si="4"/>
        <v>0</v>
      </c>
      <c r="E49" s="37">
        <f t="shared" si="4"/>
        <v>0</v>
      </c>
      <c r="F49" s="37">
        <f t="shared" si="4"/>
        <v>0</v>
      </c>
      <c r="G49" s="37">
        <f t="shared" si="4"/>
        <v>0</v>
      </c>
      <c r="H49" s="37">
        <f t="shared" si="4"/>
        <v>0</v>
      </c>
      <c r="I49" s="37">
        <f t="shared" ref="I49" si="5">IF(I8&gt;0,I8*(1-I29),0)</f>
        <v>0</v>
      </c>
      <c r="J49" s="37">
        <f>SUM(B49:H49)</f>
        <v>0</v>
      </c>
      <c r="M49" s="7"/>
      <c r="Q49" s="1"/>
    </row>
    <row r="50" spans="1:17" x14ac:dyDescent="0.25">
      <c r="A50" s="1" t="s">
        <v>8</v>
      </c>
      <c r="B50" s="37">
        <f t="shared" si="4"/>
        <v>0</v>
      </c>
      <c r="C50" s="37">
        <f t="shared" si="4"/>
        <v>0</v>
      </c>
      <c r="D50" s="37">
        <f t="shared" si="4"/>
        <v>0</v>
      </c>
      <c r="E50" s="37">
        <f t="shared" si="4"/>
        <v>0</v>
      </c>
      <c r="F50" s="37">
        <f t="shared" si="4"/>
        <v>0</v>
      </c>
      <c r="G50" s="37">
        <f t="shared" si="4"/>
        <v>0</v>
      </c>
      <c r="H50" s="37">
        <f t="shared" si="4"/>
        <v>0</v>
      </c>
      <c r="I50" s="37">
        <f t="shared" ref="I50" si="6">IF(I9&gt;0,I9*(1-I30),0)</f>
        <v>0</v>
      </c>
      <c r="J50" s="37">
        <f t="shared" ref="J50:J65" si="7">SUM(B50:H50)</f>
        <v>0</v>
      </c>
      <c r="M50" s="7"/>
      <c r="Q50" s="7"/>
    </row>
    <row r="51" spans="1:17" x14ac:dyDescent="0.25">
      <c r="A51" s="1" t="s">
        <v>7</v>
      </c>
      <c r="B51" s="37">
        <f>IF(B10&gt;0,B10*(1-B31),0)</f>
        <v>0</v>
      </c>
      <c r="C51" s="37">
        <f t="shared" si="4"/>
        <v>0</v>
      </c>
      <c r="D51" s="37">
        <f t="shared" si="4"/>
        <v>0</v>
      </c>
      <c r="E51" s="37">
        <f t="shared" si="4"/>
        <v>0</v>
      </c>
      <c r="F51" s="37">
        <f t="shared" si="4"/>
        <v>0</v>
      </c>
      <c r="G51" s="37">
        <f t="shared" si="4"/>
        <v>0</v>
      </c>
      <c r="H51" s="37">
        <f t="shared" si="4"/>
        <v>0</v>
      </c>
      <c r="I51" s="37">
        <f t="shared" ref="I51" si="8">IF(I10&gt;0,I10*(1-I31),0)</f>
        <v>0</v>
      </c>
      <c r="J51" s="37">
        <f t="shared" si="7"/>
        <v>0</v>
      </c>
      <c r="M51" s="7"/>
    </row>
    <row r="52" spans="1:17" x14ac:dyDescent="0.25">
      <c r="A52" s="1" t="s">
        <v>42</v>
      </c>
      <c r="B52" s="37">
        <f t="shared" ref="B52:H65" si="9">IF(B11&gt;0,B11*(1-B32),0)</f>
        <v>0</v>
      </c>
      <c r="C52" s="37">
        <f t="shared" si="9"/>
        <v>0</v>
      </c>
      <c r="D52" s="37">
        <f t="shared" si="9"/>
        <v>0</v>
      </c>
      <c r="E52" s="37">
        <f t="shared" si="9"/>
        <v>0</v>
      </c>
      <c r="F52" s="37">
        <f t="shared" si="9"/>
        <v>0</v>
      </c>
      <c r="G52" s="37">
        <f t="shared" si="9"/>
        <v>0</v>
      </c>
      <c r="H52" s="37">
        <f t="shared" si="9"/>
        <v>0</v>
      </c>
      <c r="I52" s="37">
        <f t="shared" ref="I52" si="10">IF(I11&gt;0,I11*(1-I32),0)</f>
        <v>0</v>
      </c>
      <c r="J52" s="37">
        <f t="shared" si="7"/>
        <v>0</v>
      </c>
      <c r="M52" s="7"/>
    </row>
    <row r="53" spans="1:17" x14ac:dyDescent="0.25">
      <c r="A53" s="1" t="s">
        <v>6</v>
      </c>
      <c r="B53" s="37">
        <f t="shared" si="9"/>
        <v>0</v>
      </c>
      <c r="C53" s="37">
        <f t="shared" si="9"/>
        <v>0</v>
      </c>
      <c r="D53" s="37">
        <f t="shared" si="9"/>
        <v>0</v>
      </c>
      <c r="E53" s="37">
        <f t="shared" si="9"/>
        <v>0</v>
      </c>
      <c r="F53" s="37">
        <f t="shared" si="9"/>
        <v>0</v>
      </c>
      <c r="G53" s="37">
        <f t="shared" si="9"/>
        <v>0</v>
      </c>
      <c r="H53" s="37">
        <f t="shared" si="9"/>
        <v>0</v>
      </c>
      <c r="I53" s="37">
        <f t="shared" ref="I53" si="11">IF(I12&gt;0,I12*(1-I33),0)</f>
        <v>0</v>
      </c>
      <c r="J53" s="37">
        <f t="shared" si="7"/>
        <v>0</v>
      </c>
      <c r="M53" s="7"/>
    </row>
    <row r="54" spans="1:17" x14ac:dyDescent="0.25">
      <c r="A54" s="1" t="s">
        <v>50</v>
      </c>
      <c r="B54" s="37">
        <f t="shared" si="9"/>
        <v>0</v>
      </c>
      <c r="C54" s="37">
        <f t="shared" si="9"/>
        <v>0</v>
      </c>
      <c r="D54" s="37">
        <f t="shared" si="9"/>
        <v>0</v>
      </c>
      <c r="E54" s="37">
        <f t="shared" si="9"/>
        <v>0</v>
      </c>
      <c r="F54" s="37">
        <f t="shared" si="9"/>
        <v>0</v>
      </c>
      <c r="G54" s="37">
        <f t="shared" si="9"/>
        <v>0</v>
      </c>
      <c r="H54" s="37">
        <f t="shared" si="9"/>
        <v>0</v>
      </c>
      <c r="I54" s="37">
        <f t="shared" ref="I54" si="12">IF(I13&gt;0,I13*(1-I34),0)</f>
        <v>0</v>
      </c>
      <c r="J54" s="37">
        <f t="shared" si="7"/>
        <v>0</v>
      </c>
      <c r="M54" s="7"/>
    </row>
    <row r="55" spans="1:17" x14ac:dyDescent="0.25">
      <c r="A55" s="1" t="s">
        <v>89</v>
      </c>
      <c r="B55" s="37">
        <f t="shared" si="9"/>
        <v>0</v>
      </c>
      <c r="C55" s="37">
        <f t="shared" si="9"/>
        <v>0</v>
      </c>
      <c r="D55" s="37">
        <f t="shared" si="9"/>
        <v>0</v>
      </c>
      <c r="E55" s="37">
        <f t="shared" si="9"/>
        <v>0</v>
      </c>
      <c r="F55" s="37">
        <f t="shared" si="9"/>
        <v>0</v>
      </c>
      <c r="G55" s="37">
        <f t="shared" si="9"/>
        <v>0</v>
      </c>
      <c r="H55" s="37">
        <f t="shared" si="9"/>
        <v>0</v>
      </c>
      <c r="I55" s="37">
        <f t="shared" ref="I55" si="13">IF(I14&gt;0,I14*(1-I35),0)</f>
        <v>0</v>
      </c>
      <c r="J55" s="37">
        <f t="shared" si="7"/>
        <v>0</v>
      </c>
      <c r="M55" s="7"/>
    </row>
    <row r="56" spans="1:17" x14ac:dyDescent="0.25">
      <c r="A56" s="1" t="s">
        <v>5</v>
      </c>
      <c r="B56" s="37">
        <f t="shared" si="9"/>
        <v>0</v>
      </c>
      <c r="C56" s="37">
        <f t="shared" si="9"/>
        <v>0</v>
      </c>
      <c r="D56" s="37">
        <f t="shared" si="9"/>
        <v>0</v>
      </c>
      <c r="E56" s="37">
        <f t="shared" si="9"/>
        <v>0</v>
      </c>
      <c r="F56" s="37">
        <f t="shared" si="9"/>
        <v>0</v>
      </c>
      <c r="G56" s="37">
        <f t="shared" si="9"/>
        <v>0</v>
      </c>
      <c r="H56" s="37">
        <f t="shared" si="9"/>
        <v>0</v>
      </c>
      <c r="I56" s="37">
        <f t="shared" ref="I56" si="14">IF(I15&gt;0,I15*(1-I36),0)</f>
        <v>0</v>
      </c>
      <c r="J56" s="37">
        <f t="shared" si="7"/>
        <v>0</v>
      </c>
      <c r="M56" s="7"/>
    </row>
    <row r="57" spans="1:17" x14ac:dyDescent="0.25">
      <c r="A57" s="1" t="s">
        <v>84</v>
      </c>
      <c r="B57" s="37">
        <f t="shared" si="9"/>
        <v>0</v>
      </c>
      <c r="C57" s="37">
        <f t="shared" si="9"/>
        <v>0</v>
      </c>
      <c r="D57" s="37">
        <f t="shared" si="9"/>
        <v>0</v>
      </c>
      <c r="E57" s="37">
        <f t="shared" si="9"/>
        <v>0</v>
      </c>
      <c r="F57" s="37">
        <f t="shared" si="9"/>
        <v>0</v>
      </c>
      <c r="G57" s="37">
        <f t="shared" si="9"/>
        <v>0</v>
      </c>
      <c r="H57" s="37">
        <f t="shared" si="9"/>
        <v>0</v>
      </c>
      <c r="I57" s="37">
        <f t="shared" ref="I57" si="15">IF(I16&gt;0,I16*(1-I37),0)</f>
        <v>0</v>
      </c>
      <c r="J57" s="37">
        <f t="shared" si="7"/>
        <v>0</v>
      </c>
      <c r="M57" s="7"/>
    </row>
    <row r="58" spans="1:17" x14ac:dyDescent="0.25">
      <c r="A58" s="1" t="s">
        <v>4</v>
      </c>
      <c r="B58" s="37">
        <f t="shared" si="9"/>
        <v>0</v>
      </c>
      <c r="C58" s="37">
        <f t="shared" si="9"/>
        <v>0</v>
      </c>
      <c r="D58" s="37">
        <f t="shared" si="9"/>
        <v>0</v>
      </c>
      <c r="E58" s="37">
        <f t="shared" si="9"/>
        <v>0</v>
      </c>
      <c r="F58" s="37">
        <f t="shared" si="9"/>
        <v>0</v>
      </c>
      <c r="G58" s="37">
        <f t="shared" si="9"/>
        <v>0</v>
      </c>
      <c r="H58" s="37">
        <f t="shared" si="9"/>
        <v>0</v>
      </c>
      <c r="I58" s="37">
        <f t="shared" ref="I58" si="16">IF(I17&gt;0,I17*(1-I38),0)</f>
        <v>0</v>
      </c>
      <c r="J58" s="37">
        <f t="shared" si="7"/>
        <v>0</v>
      </c>
      <c r="M58" s="7"/>
    </row>
    <row r="59" spans="1:17" x14ac:dyDescent="0.25">
      <c r="A59" s="1" t="s">
        <v>51</v>
      </c>
      <c r="B59" s="37">
        <f t="shared" si="9"/>
        <v>0</v>
      </c>
      <c r="C59" s="37">
        <f t="shared" si="9"/>
        <v>0</v>
      </c>
      <c r="D59" s="37">
        <f t="shared" si="9"/>
        <v>0</v>
      </c>
      <c r="E59" s="37">
        <f t="shared" si="9"/>
        <v>0</v>
      </c>
      <c r="F59" s="37">
        <f t="shared" si="9"/>
        <v>0</v>
      </c>
      <c r="G59" s="37">
        <f t="shared" si="9"/>
        <v>0</v>
      </c>
      <c r="H59" s="37">
        <f t="shared" si="9"/>
        <v>0</v>
      </c>
      <c r="I59" s="37">
        <f t="shared" ref="I59" si="17">IF(I18&gt;0,I18*(1-I39),0)</f>
        <v>0</v>
      </c>
      <c r="J59" s="37">
        <f t="shared" si="7"/>
        <v>0</v>
      </c>
      <c r="M59" s="7"/>
    </row>
    <row r="60" spans="1:17" x14ac:dyDescent="0.25">
      <c r="A60" s="1" t="s">
        <v>85</v>
      </c>
      <c r="B60" s="37">
        <f t="shared" si="9"/>
        <v>0</v>
      </c>
      <c r="C60" s="37">
        <f t="shared" si="9"/>
        <v>0</v>
      </c>
      <c r="D60" s="37">
        <f t="shared" si="9"/>
        <v>0</v>
      </c>
      <c r="E60" s="37">
        <f t="shared" si="9"/>
        <v>0</v>
      </c>
      <c r="F60" s="37">
        <f t="shared" si="9"/>
        <v>0</v>
      </c>
      <c r="G60" s="37">
        <f t="shared" si="9"/>
        <v>0</v>
      </c>
      <c r="H60" s="37">
        <f t="shared" si="9"/>
        <v>0</v>
      </c>
      <c r="I60" s="37">
        <f t="shared" ref="I60" si="18">IF(I19&gt;0,I19*(1-I40),0)</f>
        <v>0</v>
      </c>
      <c r="J60" s="37">
        <f t="shared" si="7"/>
        <v>0</v>
      </c>
      <c r="M60" s="7"/>
    </row>
    <row r="61" spans="1:17" x14ac:dyDescent="0.25">
      <c r="A61" s="1" t="s">
        <v>2</v>
      </c>
      <c r="B61" s="37">
        <f t="shared" si="9"/>
        <v>0</v>
      </c>
      <c r="C61" s="37">
        <f t="shared" si="9"/>
        <v>0</v>
      </c>
      <c r="D61" s="37">
        <f t="shared" si="9"/>
        <v>0</v>
      </c>
      <c r="E61" s="37">
        <f t="shared" si="9"/>
        <v>0</v>
      </c>
      <c r="F61" s="37">
        <f t="shared" si="9"/>
        <v>0</v>
      </c>
      <c r="G61" s="37">
        <f t="shared" si="9"/>
        <v>0</v>
      </c>
      <c r="H61" s="37">
        <f t="shared" si="9"/>
        <v>0</v>
      </c>
      <c r="I61" s="37">
        <f t="shared" ref="I61" si="19">IF(I20&gt;0,I20*(1-I41),0)</f>
        <v>0</v>
      </c>
      <c r="J61" s="37">
        <f t="shared" si="7"/>
        <v>0</v>
      </c>
      <c r="M61" s="7"/>
    </row>
    <row r="62" spans="1:17" x14ac:dyDescent="0.25">
      <c r="A62" s="1" t="s">
        <v>86</v>
      </c>
      <c r="B62" s="37">
        <f t="shared" si="9"/>
        <v>0</v>
      </c>
      <c r="C62" s="37">
        <f t="shared" si="9"/>
        <v>0</v>
      </c>
      <c r="D62" s="37">
        <f t="shared" si="9"/>
        <v>0</v>
      </c>
      <c r="E62" s="37">
        <f t="shared" si="9"/>
        <v>0</v>
      </c>
      <c r="F62" s="37">
        <f t="shared" si="9"/>
        <v>0</v>
      </c>
      <c r="G62" s="37">
        <f t="shared" si="9"/>
        <v>0</v>
      </c>
      <c r="H62" s="37">
        <f t="shared" si="9"/>
        <v>0</v>
      </c>
      <c r="I62" s="37">
        <f t="shared" ref="I62" si="20">IF(I21&gt;0,I21*(1-I42),0)</f>
        <v>0</v>
      </c>
      <c r="J62" s="37">
        <f t="shared" si="7"/>
        <v>0</v>
      </c>
      <c r="M62" s="168" t="s">
        <v>62</v>
      </c>
    </row>
    <row r="63" spans="1:17" x14ac:dyDescent="0.25">
      <c r="A63" s="1" t="s">
        <v>29</v>
      </c>
      <c r="B63" s="37">
        <f t="shared" si="9"/>
        <v>0</v>
      </c>
      <c r="C63" s="37">
        <f t="shared" si="9"/>
        <v>0</v>
      </c>
      <c r="D63" s="37">
        <f t="shared" si="9"/>
        <v>0</v>
      </c>
      <c r="E63" s="37">
        <f t="shared" si="9"/>
        <v>0</v>
      </c>
      <c r="F63" s="37">
        <f t="shared" si="9"/>
        <v>0</v>
      </c>
      <c r="G63" s="37">
        <f t="shared" si="9"/>
        <v>0</v>
      </c>
      <c r="H63" s="37">
        <f t="shared" si="9"/>
        <v>0</v>
      </c>
      <c r="I63" s="37">
        <f t="shared" ref="I63" si="21">IF(I22&gt;0,I22*(1-I43),0)</f>
        <v>0</v>
      </c>
      <c r="J63" s="37">
        <f t="shared" si="7"/>
        <v>0</v>
      </c>
      <c r="M63" s="168"/>
    </row>
    <row r="64" spans="1:17" x14ac:dyDescent="0.25">
      <c r="A64" s="1" t="s">
        <v>52</v>
      </c>
      <c r="B64" s="37">
        <f t="shared" si="9"/>
        <v>0</v>
      </c>
      <c r="C64" s="37">
        <f t="shared" si="9"/>
        <v>0</v>
      </c>
      <c r="D64" s="37">
        <f t="shared" si="9"/>
        <v>0</v>
      </c>
      <c r="E64" s="37">
        <f t="shared" si="9"/>
        <v>0</v>
      </c>
      <c r="F64" s="37">
        <f t="shared" si="9"/>
        <v>0</v>
      </c>
      <c r="G64" s="37">
        <f t="shared" si="9"/>
        <v>0</v>
      </c>
      <c r="H64" s="37">
        <f t="shared" si="9"/>
        <v>0</v>
      </c>
      <c r="I64" s="37">
        <f t="shared" ref="I64" si="22">IF(I23&gt;0,I23*(1-I44),0)</f>
        <v>0</v>
      </c>
      <c r="J64" s="37">
        <f t="shared" si="7"/>
        <v>0</v>
      </c>
      <c r="L64" s="35" t="s">
        <v>41</v>
      </c>
      <c r="M64" s="168" t="s">
        <v>63</v>
      </c>
    </row>
    <row r="65" spans="1:13" x14ac:dyDescent="0.25">
      <c r="A65" s="1" t="s">
        <v>1</v>
      </c>
      <c r="B65" s="38">
        <f t="shared" si="9"/>
        <v>0</v>
      </c>
      <c r="C65" s="38">
        <f t="shared" si="9"/>
        <v>0</v>
      </c>
      <c r="D65" s="38">
        <f t="shared" si="9"/>
        <v>0</v>
      </c>
      <c r="E65" s="38">
        <f t="shared" si="9"/>
        <v>0</v>
      </c>
      <c r="F65" s="38">
        <f t="shared" si="9"/>
        <v>0</v>
      </c>
      <c r="G65" s="38">
        <f t="shared" si="9"/>
        <v>0</v>
      </c>
      <c r="H65" s="38">
        <f t="shared" si="9"/>
        <v>0</v>
      </c>
      <c r="I65" s="38">
        <f t="shared" ref="I65" si="23">IF(I24&gt;0,I24*(1-I45),0)</f>
        <v>0</v>
      </c>
      <c r="J65" s="38">
        <f t="shared" si="7"/>
        <v>0</v>
      </c>
      <c r="L65" s="42" t="s">
        <v>61</v>
      </c>
      <c r="M65" s="169"/>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95">
        <v>60000</v>
      </c>
      <c r="M66" s="7">
        <f>J66-L66</f>
        <v>-60000</v>
      </c>
    </row>
    <row r="67" spans="1:13" ht="15.75" thickBot="1" x14ac:dyDescent="0.3">
      <c r="A67" s="1"/>
      <c r="B67" s="9"/>
      <c r="C67" s="9"/>
      <c r="D67" s="9"/>
      <c r="E67" s="9"/>
      <c r="F67" s="9"/>
      <c r="G67" s="9"/>
      <c r="H67" s="9"/>
      <c r="I67" s="9"/>
      <c r="J67" s="9"/>
      <c r="M67" s="7"/>
    </row>
    <row r="68" spans="1:13" ht="15.75" thickBot="1" x14ac:dyDescent="0.3">
      <c r="A68" s="150" t="s">
        <v>64</v>
      </c>
      <c r="B68" s="151"/>
      <c r="C68" s="151"/>
      <c r="D68" s="151"/>
      <c r="E68" s="151"/>
      <c r="F68" s="151"/>
      <c r="G68" s="151"/>
      <c r="H68" s="151"/>
      <c r="I68" s="151"/>
      <c r="J68" s="152"/>
      <c r="M68" s="7"/>
    </row>
    <row r="69" spans="1:13" x14ac:dyDescent="0.25">
      <c r="A69" s="4" t="s">
        <v>16</v>
      </c>
      <c r="B69" s="5" t="s">
        <v>15</v>
      </c>
      <c r="C69" s="5" t="s">
        <v>14</v>
      </c>
      <c r="D69" s="5" t="s">
        <v>13</v>
      </c>
      <c r="E69" s="5" t="s">
        <v>12</v>
      </c>
      <c r="F69" s="5" t="s">
        <v>94</v>
      </c>
      <c r="G69" s="5" t="s">
        <v>95</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53" t="s">
        <v>59</v>
      </c>
      <c r="B89" s="154"/>
      <c r="C89" s="154"/>
      <c r="D89" s="154"/>
      <c r="E89" s="154"/>
      <c r="F89" s="154"/>
      <c r="G89" s="154"/>
      <c r="H89" s="154"/>
      <c r="I89" s="154"/>
      <c r="J89" s="155"/>
      <c r="M89" s="7"/>
    </row>
    <row r="90" spans="1:13" x14ac:dyDescent="0.25">
      <c r="A90" s="4" t="s">
        <v>16</v>
      </c>
      <c r="B90" s="5" t="s">
        <v>15</v>
      </c>
      <c r="C90" s="5" t="s">
        <v>14</v>
      </c>
      <c r="D90" s="5" t="s">
        <v>13</v>
      </c>
      <c r="E90" s="5" t="s">
        <v>12</v>
      </c>
      <c r="F90" s="5" t="s">
        <v>94</v>
      </c>
      <c r="G90" s="5" t="s">
        <v>95</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50" t="s">
        <v>60</v>
      </c>
      <c r="B109" s="151"/>
      <c r="C109" s="151"/>
      <c r="D109" s="151"/>
      <c r="E109" s="151"/>
      <c r="F109" s="151"/>
      <c r="G109" s="151"/>
      <c r="H109" s="151"/>
      <c r="I109" s="151"/>
      <c r="J109" s="152"/>
      <c r="M109" s="7"/>
    </row>
    <row r="110" spans="1:13" x14ac:dyDescent="0.25">
      <c r="A110" s="4" t="s">
        <v>16</v>
      </c>
      <c r="B110" s="5" t="s">
        <v>15</v>
      </c>
      <c r="C110" s="5" t="s">
        <v>14</v>
      </c>
      <c r="D110" s="5" t="s">
        <v>13</v>
      </c>
      <c r="E110" s="5" t="s">
        <v>12</v>
      </c>
      <c r="F110" s="5" t="s">
        <v>94</v>
      </c>
      <c r="G110" s="5" t="s">
        <v>95</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68"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68"/>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152</v>
      </c>
      <c r="M126" s="168"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69"/>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95">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50" t="s">
        <v>30</v>
      </c>
      <c r="B130" s="151"/>
      <c r="C130" s="151"/>
      <c r="D130" s="151"/>
      <c r="E130" s="151"/>
      <c r="F130" s="151"/>
      <c r="G130" s="151"/>
      <c r="H130" s="151"/>
      <c r="I130" s="151"/>
      <c r="J130" s="152"/>
      <c r="M130" s="7"/>
    </row>
    <row r="131" spans="1:13" x14ac:dyDescent="0.25">
      <c r="A131" s="4" t="s">
        <v>16</v>
      </c>
      <c r="B131" s="5" t="s">
        <v>15</v>
      </c>
      <c r="C131" s="5" t="s">
        <v>14</v>
      </c>
      <c r="D131" s="5" t="s">
        <v>13</v>
      </c>
      <c r="E131" s="5" t="s">
        <v>12</v>
      </c>
      <c r="F131" s="5" t="s">
        <v>94</v>
      </c>
      <c r="G131" s="5" t="s">
        <v>95</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09:J109"/>
    <mergeCell ref="M124:M125"/>
    <mergeCell ref="M126:M127"/>
    <mergeCell ref="A130:J130"/>
    <mergeCell ref="A27:J27"/>
    <mergeCell ref="A47:J47"/>
    <mergeCell ref="M62:M63"/>
    <mergeCell ref="M64:M65"/>
    <mergeCell ref="A68:J68"/>
    <mergeCell ref="A89:J89"/>
    <mergeCell ref="A1:M1"/>
    <mergeCell ref="A2:M2"/>
    <mergeCell ref="A3:M3"/>
    <mergeCell ref="A4:M4"/>
    <mergeCell ref="A6:J6"/>
    <mergeCell ref="L6:M6"/>
  </mergeCells>
  <pageMargins left="0.7" right="0.7" top="0.75" bottom="0.75" header="0.3" footer="0.3"/>
  <pageSetup scale="3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Q158"/>
  <sheetViews>
    <sheetView workbookViewId="0">
      <selection sqref="A1:M1"/>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62" t="s">
        <v>17</v>
      </c>
      <c r="B1" s="162"/>
      <c r="C1" s="162"/>
      <c r="D1" s="162"/>
      <c r="E1" s="162"/>
      <c r="F1" s="162"/>
      <c r="G1" s="162"/>
      <c r="H1" s="162"/>
      <c r="I1" s="162"/>
      <c r="J1" s="162"/>
      <c r="K1" s="162"/>
      <c r="L1" s="162"/>
      <c r="M1" s="162"/>
      <c r="O1" s="31"/>
    </row>
    <row r="2" spans="1:15" ht="15.75" x14ac:dyDescent="0.25">
      <c r="A2" s="163" t="s">
        <v>225</v>
      </c>
      <c r="B2" s="163"/>
      <c r="C2" s="163"/>
      <c r="D2" s="163"/>
      <c r="E2" s="163"/>
      <c r="F2" s="163"/>
      <c r="G2" s="163"/>
      <c r="H2" s="163"/>
      <c r="I2" s="163"/>
      <c r="J2" s="163"/>
      <c r="K2" s="163"/>
      <c r="L2" s="163"/>
      <c r="M2" s="163"/>
      <c r="O2" s="31"/>
    </row>
    <row r="3" spans="1:15" x14ac:dyDescent="0.25">
      <c r="A3" s="164" t="s">
        <v>31</v>
      </c>
      <c r="B3" s="164"/>
      <c r="C3" s="164"/>
      <c r="D3" s="164"/>
      <c r="E3" s="164"/>
      <c r="F3" s="164"/>
      <c r="G3" s="164"/>
      <c r="H3" s="164"/>
      <c r="I3" s="164"/>
      <c r="J3" s="164"/>
      <c r="K3" s="164"/>
      <c r="L3" s="164"/>
      <c r="M3" s="164"/>
    </row>
    <row r="4" spans="1:15" x14ac:dyDescent="0.25">
      <c r="A4" s="167">
        <f>'Company Summary'!A4:J4</f>
        <v>45199</v>
      </c>
      <c r="B4" s="167"/>
      <c r="C4" s="167"/>
      <c r="D4" s="167"/>
      <c r="E4" s="167"/>
      <c r="F4" s="167"/>
      <c r="G4" s="167"/>
      <c r="H4" s="167"/>
      <c r="I4" s="167"/>
      <c r="J4" s="167"/>
      <c r="K4" s="167"/>
      <c r="L4" s="167"/>
      <c r="M4" s="167"/>
    </row>
    <row r="5" spans="1:15" ht="15.75" thickBot="1" x14ac:dyDescent="0.3">
      <c r="A5" s="80"/>
      <c r="B5" s="80"/>
      <c r="C5" s="80"/>
      <c r="D5" s="80"/>
      <c r="E5" s="80"/>
      <c r="F5" s="80"/>
      <c r="G5" s="80"/>
      <c r="H5" s="80"/>
      <c r="I5" s="80"/>
      <c r="J5" s="80"/>
      <c r="K5" s="80"/>
      <c r="L5" s="80"/>
      <c r="M5" s="80"/>
    </row>
    <row r="6" spans="1:15" ht="15.75" thickBot="1" x14ac:dyDescent="0.3">
      <c r="A6" s="150" t="s">
        <v>54</v>
      </c>
      <c r="B6" s="151"/>
      <c r="C6" s="151"/>
      <c r="D6" s="151"/>
      <c r="E6" s="151"/>
      <c r="F6" s="151"/>
      <c r="G6" s="151"/>
      <c r="H6" s="151"/>
      <c r="I6" s="151"/>
      <c r="J6" s="152"/>
      <c r="L6" s="166"/>
      <c r="M6" s="166"/>
    </row>
    <row r="7" spans="1:15" x14ac:dyDescent="0.25">
      <c r="A7" s="4" t="s">
        <v>16</v>
      </c>
      <c r="B7" s="5" t="s">
        <v>15</v>
      </c>
      <c r="C7" s="5" t="s">
        <v>14</v>
      </c>
      <c r="D7" s="5" t="s">
        <v>13</v>
      </c>
      <c r="E7" s="5" t="s">
        <v>12</v>
      </c>
      <c r="F7" s="5" t="s">
        <v>94</v>
      </c>
      <c r="G7" s="5" t="s">
        <v>95</v>
      </c>
      <c r="H7" s="5" t="s">
        <v>38</v>
      </c>
      <c r="I7" s="5" t="s">
        <v>9</v>
      </c>
      <c r="J7" s="5" t="s">
        <v>0</v>
      </c>
      <c r="L7" s="4"/>
      <c r="M7" s="4"/>
    </row>
    <row r="8" spans="1:15" x14ac:dyDescent="0.25">
      <c r="A8" s="1" t="s">
        <v>49</v>
      </c>
      <c r="B8" s="33">
        <f>'Agile AR Aging &lt;-INPUT'!C309</f>
        <v>0</v>
      </c>
      <c r="C8" s="33">
        <f>'Agile AR Aging &lt;-INPUT'!D309</f>
        <v>0</v>
      </c>
      <c r="D8" s="33">
        <f>'Agile AR Aging &lt;-INPUT'!E309</f>
        <v>0</v>
      </c>
      <c r="E8" s="33">
        <f>'Agile AR Aging &lt;-INPUT'!F309</f>
        <v>0</v>
      </c>
      <c r="F8" s="33">
        <f>'Agile AR Aging &lt;-INPUT'!G309</f>
        <v>0</v>
      </c>
      <c r="G8" s="33">
        <f>'Agile AR Aging &lt;-INPUT'!H309</f>
        <v>0</v>
      </c>
      <c r="H8" s="33">
        <f>'Agile AR Aging &lt;-INPUT'!I309</f>
        <v>0</v>
      </c>
      <c r="I8" s="33">
        <f>'Agile AR Aging &lt;-INPUT'!J309</f>
        <v>0</v>
      </c>
      <c r="J8" s="2">
        <f t="shared" ref="J8:J24" si="0">SUM(B8:H8)</f>
        <v>0</v>
      </c>
      <c r="L8" s="67"/>
    </row>
    <row r="9" spans="1:15" x14ac:dyDescent="0.25">
      <c r="A9" s="1" t="s">
        <v>8</v>
      </c>
      <c r="B9" s="33">
        <f>'Agile AR Aging &lt;-INPUT'!C310</f>
        <v>0</v>
      </c>
      <c r="C9" s="33">
        <f>'Agile AR Aging &lt;-INPUT'!D310</f>
        <v>0</v>
      </c>
      <c r="D9" s="33">
        <f>'Agile AR Aging &lt;-INPUT'!E310</f>
        <v>0</v>
      </c>
      <c r="E9" s="33">
        <f>'Agile AR Aging &lt;-INPUT'!F310</f>
        <v>0</v>
      </c>
      <c r="F9" s="33">
        <f>'Agile AR Aging &lt;-INPUT'!G310</f>
        <v>0</v>
      </c>
      <c r="G9" s="33">
        <f>'Agile AR Aging &lt;-INPUT'!H310</f>
        <v>0</v>
      </c>
      <c r="H9" s="33">
        <f>'Agile AR Aging &lt;-INPUT'!I310</f>
        <v>0</v>
      </c>
      <c r="I9" s="33">
        <f>'Agile AR Aging &lt;-INPUT'!J310</f>
        <v>0</v>
      </c>
      <c r="J9" s="2">
        <f t="shared" si="0"/>
        <v>0</v>
      </c>
      <c r="L9" s="67"/>
      <c r="N9" s="68"/>
    </row>
    <row r="10" spans="1:15" x14ac:dyDescent="0.25">
      <c r="A10" s="1" t="s">
        <v>7</v>
      </c>
      <c r="B10" s="33">
        <f>'Agile AR Aging &lt;-INPUT'!C311</f>
        <v>0</v>
      </c>
      <c r="C10" s="33">
        <f>'Agile AR Aging &lt;-INPUT'!D311</f>
        <v>0</v>
      </c>
      <c r="D10" s="33">
        <f>'Agile AR Aging &lt;-INPUT'!E311</f>
        <v>0</v>
      </c>
      <c r="E10" s="33">
        <f>'Agile AR Aging &lt;-INPUT'!F311</f>
        <v>0</v>
      </c>
      <c r="F10" s="33">
        <f>'Agile AR Aging &lt;-INPUT'!G311</f>
        <v>0</v>
      </c>
      <c r="G10" s="33">
        <f>'Agile AR Aging &lt;-INPUT'!H311</f>
        <v>0</v>
      </c>
      <c r="H10" s="33">
        <f>'Agile AR Aging &lt;-INPUT'!I311</f>
        <v>0</v>
      </c>
      <c r="I10" s="33">
        <f>'Agile AR Aging &lt;-INPUT'!J311</f>
        <v>0</v>
      </c>
      <c r="J10" s="2">
        <f t="shared" si="0"/>
        <v>0</v>
      </c>
      <c r="L10" s="67"/>
      <c r="N10" s="68"/>
    </row>
    <row r="11" spans="1:15" x14ac:dyDescent="0.25">
      <c r="A11" s="1" t="s">
        <v>42</v>
      </c>
      <c r="B11" s="33">
        <f>'Agile AR Aging &lt;-INPUT'!C312</f>
        <v>0</v>
      </c>
      <c r="C11" s="33">
        <f>'Agile AR Aging &lt;-INPUT'!D312</f>
        <v>0</v>
      </c>
      <c r="D11" s="33">
        <f>'Agile AR Aging &lt;-INPUT'!E312</f>
        <v>0</v>
      </c>
      <c r="E11" s="33">
        <f>'Agile AR Aging &lt;-INPUT'!F312</f>
        <v>0</v>
      </c>
      <c r="F11" s="33">
        <f>'Agile AR Aging &lt;-INPUT'!G312</f>
        <v>0</v>
      </c>
      <c r="G11" s="33">
        <f>'Agile AR Aging &lt;-INPUT'!H312</f>
        <v>0</v>
      </c>
      <c r="H11" s="33">
        <f>'Agile AR Aging &lt;-INPUT'!I312</f>
        <v>0</v>
      </c>
      <c r="I11" s="33">
        <f>'Agile AR Aging &lt;-INPUT'!J312</f>
        <v>0</v>
      </c>
      <c r="J11" s="2">
        <f t="shared" si="0"/>
        <v>0</v>
      </c>
      <c r="L11" s="67"/>
      <c r="N11" s="68"/>
    </row>
    <row r="12" spans="1:15" x14ac:dyDescent="0.25">
      <c r="A12" s="1" t="s">
        <v>6</v>
      </c>
      <c r="B12" s="33">
        <f>'Agile AR Aging &lt;-INPUT'!C313+'Agile AR Aging &lt;-INPUT'!C314+'Agile AR Aging &lt;-INPUT'!C321+'Agile AR Aging &lt;-INPUT'!C327</f>
        <v>0</v>
      </c>
      <c r="C12" s="33">
        <f>'Agile AR Aging &lt;-INPUT'!D313+'Agile AR Aging &lt;-INPUT'!D314+'Agile AR Aging &lt;-INPUT'!D321+'Agile AR Aging &lt;-INPUT'!D327</f>
        <v>0</v>
      </c>
      <c r="D12" s="33">
        <f>'Agile AR Aging &lt;-INPUT'!E313+'Agile AR Aging &lt;-INPUT'!E314+'Agile AR Aging &lt;-INPUT'!E321+'Agile AR Aging &lt;-INPUT'!E327</f>
        <v>0</v>
      </c>
      <c r="E12" s="33">
        <f>'Agile AR Aging &lt;-INPUT'!F313+'Agile AR Aging &lt;-INPUT'!F314+'Agile AR Aging &lt;-INPUT'!F321+'Agile AR Aging &lt;-INPUT'!F327</f>
        <v>0</v>
      </c>
      <c r="F12" s="33">
        <f>'Agile AR Aging &lt;-INPUT'!G313+'Agile AR Aging &lt;-INPUT'!G314+'Agile AR Aging &lt;-INPUT'!G321+'Agile AR Aging &lt;-INPUT'!G327</f>
        <v>0</v>
      </c>
      <c r="G12" s="33">
        <f>'Agile AR Aging &lt;-INPUT'!H313+'Agile AR Aging &lt;-INPUT'!H314+'Agile AR Aging &lt;-INPUT'!H321+'Agile AR Aging &lt;-INPUT'!H327</f>
        <v>0</v>
      </c>
      <c r="H12" s="33">
        <f>'Agile AR Aging &lt;-INPUT'!I313+'Agile AR Aging &lt;-INPUT'!I314+'Agile AR Aging &lt;-INPUT'!I321+'Agile AR Aging &lt;-INPUT'!I327</f>
        <v>0</v>
      </c>
      <c r="I12" s="33">
        <f>'Agile AR Aging &lt;-INPUT'!J313+'Agile AR Aging &lt;-INPUT'!J314+'Agile AR Aging &lt;-INPUT'!J321+'Agile AR Aging &lt;-INPUT'!J327</f>
        <v>0</v>
      </c>
      <c r="J12" s="2">
        <f t="shared" si="0"/>
        <v>0</v>
      </c>
      <c r="L12" s="72"/>
      <c r="N12" s="68"/>
    </row>
    <row r="13" spans="1:15" x14ac:dyDescent="0.25">
      <c r="A13" s="1" t="s">
        <v>50</v>
      </c>
      <c r="B13" s="33">
        <f>'Agile AR Aging &lt;-INPUT'!C315</f>
        <v>0</v>
      </c>
      <c r="C13" s="33">
        <f>'Agile AR Aging &lt;-INPUT'!D315</f>
        <v>0</v>
      </c>
      <c r="D13" s="33">
        <f>'Agile AR Aging &lt;-INPUT'!E315</f>
        <v>0</v>
      </c>
      <c r="E13" s="33">
        <f>'Agile AR Aging &lt;-INPUT'!F315</f>
        <v>0</v>
      </c>
      <c r="F13" s="33">
        <f>'Agile AR Aging &lt;-INPUT'!G315</f>
        <v>0</v>
      </c>
      <c r="G13" s="33">
        <f>'Agile AR Aging &lt;-INPUT'!H315</f>
        <v>0</v>
      </c>
      <c r="H13" s="33">
        <f>'Agile AR Aging &lt;-INPUT'!I315</f>
        <v>0</v>
      </c>
      <c r="I13" s="33">
        <f>'Agile AR Aging &lt;-INPUT'!J315</f>
        <v>0</v>
      </c>
      <c r="J13" s="2">
        <f t="shared" si="0"/>
        <v>0</v>
      </c>
      <c r="L13" s="72"/>
      <c r="N13" s="68"/>
    </row>
    <row r="14" spans="1:15" x14ac:dyDescent="0.25">
      <c r="A14" s="1" t="s">
        <v>89</v>
      </c>
      <c r="B14" s="33">
        <f>'Agile AR Aging &lt;-INPUT'!C316</f>
        <v>0</v>
      </c>
      <c r="C14" s="33">
        <f>'Agile AR Aging &lt;-INPUT'!D316</f>
        <v>0</v>
      </c>
      <c r="D14" s="33">
        <f>'Agile AR Aging &lt;-INPUT'!E316</f>
        <v>0</v>
      </c>
      <c r="E14" s="33">
        <f>'Agile AR Aging &lt;-INPUT'!F316</f>
        <v>0</v>
      </c>
      <c r="F14" s="33">
        <f>'Agile AR Aging &lt;-INPUT'!G316</f>
        <v>0</v>
      </c>
      <c r="G14" s="33">
        <f>'Agile AR Aging &lt;-INPUT'!H316</f>
        <v>0</v>
      </c>
      <c r="H14" s="33">
        <f>'Agile AR Aging &lt;-INPUT'!I316</f>
        <v>0</v>
      </c>
      <c r="I14" s="33">
        <f>'Agile AR Aging &lt;-INPUT'!J316</f>
        <v>0</v>
      </c>
      <c r="J14" s="2">
        <f t="shared" si="0"/>
        <v>0</v>
      </c>
      <c r="L14" s="72"/>
      <c r="N14" s="68"/>
    </row>
    <row r="15" spans="1:15" x14ac:dyDescent="0.25">
      <c r="A15" s="1" t="s">
        <v>5</v>
      </c>
      <c r="B15" s="33">
        <f>'Agile AR Aging &lt;-INPUT'!C317</f>
        <v>0</v>
      </c>
      <c r="C15" s="33">
        <f>'Agile AR Aging &lt;-INPUT'!D317</f>
        <v>0</v>
      </c>
      <c r="D15" s="33">
        <f>'Agile AR Aging &lt;-INPUT'!E317</f>
        <v>0</v>
      </c>
      <c r="E15" s="33">
        <f>'Agile AR Aging &lt;-INPUT'!F317</f>
        <v>0</v>
      </c>
      <c r="F15" s="33">
        <f>'Agile AR Aging &lt;-INPUT'!G317</f>
        <v>0</v>
      </c>
      <c r="G15" s="33">
        <f>'Agile AR Aging &lt;-INPUT'!H317</f>
        <v>0</v>
      </c>
      <c r="H15" s="33">
        <f>'Agile AR Aging &lt;-INPUT'!I317</f>
        <v>0</v>
      </c>
      <c r="I15" s="33">
        <f>'Agile AR Aging &lt;-INPUT'!J317</f>
        <v>0</v>
      </c>
      <c r="J15" s="2">
        <f t="shared" si="0"/>
        <v>0</v>
      </c>
      <c r="L15" s="72"/>
      <c r="N15" s="68"/>
    </row>
    <row r="16" spans="1:15" x14ac:dyDescent="0.25">
      <c r="A16" s="1" t="s">
        <v>84</v>
      </c>
      <c r="B16" s="33">
        <f>'Agile AR Aging &lt;-INPUT'!C318</f>
        <v>0</v>
      </c>
      <c r="C16" s="33">
        <f>'Agile AR Aging &lt;-INPUT'!D318</f>
        <v>0</v>
      </c>
      <c r="D16" s="33">
        <f>'Agile AR Aging &lt;-INPUT'!E318</f>
        <v>0</v>
      </c>
      <c r="E16" s="33">
        <f>'Agile AR Aging &lt;-INPUT'!F318</f>
        <v>0</v>
      </c>
      <c r="F16" s="33">
        <f>'Agile AR Aging &lt;-INPUT'!G318</f>
        <v>0</v>
      </c>
      <c r="G16" s="33">
        <f>'Agile AR Aging &lt;-INPUT'!H318</f>
        <v>0</v>
      </c>
      <c r="H16" s="33">
        <f>'Agile AR Aging &lt;-INPUT'!I318</f>
        <v>0</v>
      </c>
      <c r="I16" s="33">
        <f>'Agile AR Aging &lt;-INPUT'!J318</f>
        <v>0</v>
      </c>
      <c r="J16" s="2">
        <f t="shared" si="0"/>
        <v>0</v>
      </c>
      <c r="L16" s="72"/>
      <c r="N16" s="68"/>
    </row>
    <row r="17" spans="1:17" x14ac:dyDescent="0.25">
      <c r="A17" s="1" t="s">
        <v>4</v>
      </c>
      <c r="B17" s="33">
        <f>'Agile AR Aging &lt;-INPUT'!C319</f>
        <v>0</v>
      </c>
      <c r="C17" s="33">
        <f>'Agile AR Aging &lt;-INPUT'!D319</f>
        <v>0</v>
      </c>
      <c r="D17" s="33">
        <f>'Agile AR Aging &lt;-INPUT'!E319</f>
        <v>0</v>
      </c>
      <c r="E17" s="33">
        <f>'Agile AR Aging &lt;-INPUT'!F319</f>
        <v>0</v>
      </c>
      <c r="F17" s="33">
        <f>'Agile AR Aging &lt;-INPUT'!G319</f>
        <v>0</v>
      </c>
      <c r="G17" s="33">
        <f>'Agile AR Aging &lt;-INPUT'!H319</f>
        <v>0</v>
      </c>
      <c r="H17" s="33">
        <f>'Agile AR Aging &lt;-INPUT'!I319</f>
        <v>0</v>
      </c>
      <c r="I17" s="33">
        <f>'Agile AR Aging &lt;-INPUT'!J319</f>
        <v>0</v>
      </c>
      <c r="J17" s="2">
        <f t="shared" si="0"/>
        <v>0</v>
      </c>
      <c r="L17" s="72"/>
      <c r="N17" s="68"/>
    </row>
    <row r="18" spans="1:17" x14ac:dyDescent="0.25">
      <c r="A18" s="1" t="s">
        <v>51</v>
      </c>
      <c r="B18" s="33">
        <f>'Agile AR Aging &lt;-INPUT'!C320</f>
        <v>0</v>
      </c>
      <c r="C18" s="33">
        <f>'Agile AR Aging &lt;-INPUT'!D320</f>
        <v>0</v>
      </c>
      <c r="D18" s="33">
        <f>'Agile AR Aging &lt;-INPUT'!E320</f>
        <v>0</v>
      </c>
      <c r="E18" s="33">
        <f>'Agile AR Aging &lt;-INPUT'!F320</f>
        <v>0</v>
      </c>
      <c r="F18" s="33">
        <f>'Agile AR Aging &lt;-INPUT'!G320</f>
        <v>0</v>
      </c>
      <c r="G18" s="33">
        <f>'Agile AR Aging &lt;-INPUT'!H320</f>
        <v>0</v>
      </c>
      <c r="H18" s="33">
        <f>'Agile AR Aging &lt;-INPUT'!I320</f>
        <v>0</v>
      </c>
      <c r="I18" s="33">
        <f>'Agile AR Aging &lt;-INPUT'!J320</f>
        <v>0</v>
      </c>
      <c r="J18" s="2">
        <f t="shared" si="0"/>
        <v>0</v>
      </c>
      <c r="L18" s="72"/>
      <c r="N18" s="68"/>
    </row>
    <row r="19" spans="1:17" x14ac:dyDescent="0.25">
      <c r="A19" s="1" t="s">
        <v>85</v>
      </c>
      <c r="B19" s="33">
        <f>'Agile AR Aging &lt;-INPUT'!C322</f>
        <v>0</v>
      </c>
      <c r="C19" s="33">
        <f>'Agile AR Aging &lt;-INPUT'!D322</f>
        <v>0</v>
      </c>
      <c r="D19" s="33">
        <f>'Agile AR Aging &lt;-INPUT'!E322</f>
        <v>0</v>
      </c>
      <c r="E19" s="33">
        <f>'Agile AR Aging &lt;-INPUT'!F322</f>
        <v>0</v>
      </c>
      <c r="F19" s="33">
        <f>'Agile AR Aging &lt;-INPUT'!G322</f>
        <v>0</v>
      </c>
      <c r="G19" s="33">
        <f>'Agile AR Aging &lt;-INPUT'!H322</f>
        <v>0</v>
      </c>
      <c r="H19" s="33">
        <f>'Agile AR Aging &lt;-INPUT'!I322</f>
        <v>0</v>
      </c>
      <c r="I19" s="33">
        <f>'Agile AR Aging &lt;-INPUT'!J322</f>
        <v>0</v>
      </c>
      <c r="J19" s="2">
        <f t="shared" si="0"/>
        <v>0</v>
      </c>
      <c r="L19" s="72"/>
      <c r="N19" s="68"/>
    </row>
    <row r="20" spans="1:17" x14ac:dyDescent="0.25">
      <c r="A20" s="1" t="s">
        <v>2</v>
      </c>
      <c r="B20" s="33">
        <f>'Agile AR Aging &lt;-INPUT'!C323</f>
        <v>0</v>
      </c>
      <c r="C20" s="33">
        <f>'Agile AR Aging &lt;-INPUT'!D323</f>
        <v>0</v>
      </c>
      <c r="D20" s="33">
        <f>'Agile AR Aging &lt;-INPUT'!E323</f>
        <v>0</v>
      </c>
      <c r="E20" s="33">
        <f>'Agile AR Aging &lt;-INPUT'!F323</f>
        <v>0</v>
      </c>
      <c r="F20" s="33">
        <f>'Agile AR Aging &lt;-INPUT'!G323</f>
        <v>0</v>
      </c>
      <c r="G20" s="33">
        <f>'Agile AR Aging &lt;-INPUT'!H323</f>
        <v>0</v>
      </c>
      <c r="H20" s="33">
        <f>'Agile AR Aging &lt;-INPUT'!I323</f>
        <v>0</v>
      </c>
      <c r="I20" s="33">
        <f>'Agile AR Aging &lt;-INPUT'!J323</f>
        <v>0</v>
      </c>
      <c r="J20" s="2">
        <f t="shared" si="0"/>
        <v>0</v>
      </c>
      <c r="L20" s="72"/>
      <c r="N20" s="68"/>
    </row>
    <row r="21" spans="1:17" x14ac:dyDescent="0.25">
      <c r="A21" s="1" t="s">
        <v>86</v>
      </c>
      <c r="B21" s="33">
        <f>'Agile AR Aging &lt;-INPUT'!C324</f>
        <v>0</v>
      </c>
      <c r="C21" s="33">
        <f>'Agile AR Aging &lt;-INPUT'!D324</f>
        <v>0</v>
      </c>
      <c r="D21" s="33">
        <f>'Agile AR Aging &lt;-INPUT'!E324</f>
        <v>0</v>
      </c>
      <c r="E21" s="33">
        <f>'Agile AR Aging &lt;-INPUT'!F324</f>
        <v>0</v>
      </c>
      <c r="F21" s="33">
        <f>'Agile AR Aging &lt;-INPUT'!G324</f>
        <v>0</v>
      </c>
      <c r="G21" s="33">
        <f>'Agile AR Aging &lt;-INPUT'!H324</f>
        <v>0</v>
      </c>
      <c r="H21" s="33">
        <f>'Agile AR Aging &lt;-INPUT'!I324</f>
        <v>0</v>
      </c>
      <c r="I21" s="33">
        <f>'Agile AR Aging &lt;-INPUT'!J324</f>
        <v>0</v>
      </c>
      <c r="J21" s="2">
        <f t="shared" si="0"/>
        <v>0</v>
      </c>
      <c r="L21" s="72"/>
      <c r="N21" s="68"/>
    </row>
    <row r="22" spans="1:17" x14ac:dyDescent="0.25">
      <c r="A22" s="1" t="s">
        <v>29</v>
      </c>
      <c r="B22" s="33">
        <f>'Agile AR Aging &lt;-INPUT'!C325</f>
        <v>0</v>
      </c>
      <c r="C22" s="33">
        <f>'Agile AR Aging &lt;-INPUT'!D325</f>
        <v>0</v>
      </c>
      <c r="D22" s="33">
        <f>'Agile AR Aging &lt;-INPUT'!E325</f>
        <v>0</v>
      </c>
      <c r="E22" s="33">
        <f>'Agile AR Aging &lt;-INPUT'!F325</f>
        <v>0</v>
      </c>
      <c r="F22" s="33">
        <f>'Agile AR Aging &lt;-INPUT'!G325</f>
        <v>0</v>
      </c>
      <c r="G22" s="33">
        <f>'Agile AR Aging &lt;-INPUT'!H325</f>
        <v>0</v>
      </c>
      <c r="H22" s="33">
        <f>'Agile AR Aging &lt;-INPUT'!I325</f>
        <v>0</v>
      </c>
      <c r="I22" s="33">
        <f>'Agile AR Aging &lt;-INPUT'!J325</f>
        <v>0</v>
      </c>
      <c r="J22" s="2">
        <f t="shared" si="0"/>
        <v>0</v>
      </c>
      <c r="L22" s="72"/>
      <c r="N22" s="68"/>
    </row>
    <row r="23" spans="1:17" x14ac:dyDescent="0.25">
      <c r="A23" s="1" t="s">
        <v>52</v>
      </c>
      <c r="B23" s="33">
        <f>'Agile AR Aging &lt;-INPUT'!C326</f>
        <v>0</v>
      </c>
      <c r="C23" s="33">
        <f>'Agile AR Aging &lt;-INPUT'!D326</f>
        <v>0</v>
      </c>
      <c r="D23" s="33">
        <f>'Agile AR Aging &lt;-INPUT'!E326</f>
        <v>0</v>
      </c>
      <c r="E23" s="33">
        <f>'Agile AR Aging &lt;-INPUT'!F326</f>
        <v>0</v>
      </c>
      <c r="F23" s="33">
        <f>'Agile AR Aging &lt;-INPUT'!G326</f>
        <v>0</v>
      </c>
      <c r="G23" s="33">
        <f>'Agile AR Aging &lt;-INPUT'!H326</f>
        <v>0</v>
      </c>
      <c r="H23" s="33">
        <f>'Agile AR Aging &lt;-INPUT'!I326</f>
        <v>0</v>
      </c>
      <c r="I23" s="33">
        <f>'Agile AR Aging &lt;-INPUT'!J326</f>
        <v>0</v>
      </c>
      <c r="J23" s="2">
        <f t="shared" si="0"/>
        <v>0</v>
      </c>
      <c r="L23" s="72"/>
      <c r="N23" s="68"/>
    </row>
    <row r="24" spans="1:17" x14ac:dyDescent="0.25">
      <c r="A24" s="1" t="s">
        <v>1</v>
      </c>
      <c r="B24" s="32">
        <f>'Agile AR Aging &lt;-INPUT'!C328</f>
        <v>0</v>
      </c>
      <c r="C24" s="32">
        <f>'Agile AR Aging &lt;-INPUT'!D328</f>
        <v>0</v>
      </c>
      <c r="D24" s="32">
        <f>'Agile AR Aging &lt;-INPUT'!E328</f>
        <v>0</v>
      </c>
      <c r="E24" s="32">
        <f>'Agile AR Aging &lt;-INPUT'!F328</f>
        <v>0</v>
      </c>
      <c r="F24" s="32">
        <f>'Agile AR Aging &lt;-INPUT'!G328</f>
        <v>0</v>
      </c>
      <c r="G24" s="32">
        <f>'Agile AR Aging &lt;-INPUT'!H328</f>
        <v>0</v>
      </c>
      <c r="H24" s="32">
        <f>'Agile AR Aging &lt;-INPUT'!I328</f>
        <v>0</v>
      </c>
      <c r="I24" s="32">
        <f>'Agile AR Aging &lt;-INPUT'!J328</f>
        <v>0</v>
      </c>
      <c r="J24" s="9">
        <f t="shared" si="0"/>
        <v>0</v>
      </c>
      <c r="L24" s="72"/>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53" t="s">
        <v>55</v>
      </c>
      <c r="B27" s="154"/>
      <c r="C27" s="154"/>
      <c r="D27" s="154"/>
      <c r="E27" s="154"/>
      <c r="F27" s="154"/>
      <c r="G27" s="154"/>
      <c r="H27" s="154"/>
      <c r="I27" s="154"/>
      <c r="J27" s="155"/>
      <c r="Q27" s="1"/>
    </row>
    <row r="28" spans="1:17" x14ac:dyDescent="0.25">
      <c r="A28" s="4" t="s">
        <v>16</v>
      </c>
      <c r="B28" s="5" t="s">
        <v>15</v>
      </c>
      <c r="C28" s="5" t="s">
        <v>14</v>
      </c>
      <c r="D28" s="5" t="s">
        <v>13</v>
      </c>
      <c r="E28" s="5" t="s">
        <v>12</v>
      </c>
      <c r="F28" s="5" t="s">
        <v>94</v>
      </c>
      <c r="G28" s="5" t="s">
        <v>95</v>
      </c>
      <c r="H28" s="5" t="s">
        <v>38</v>
      </c>
      <c r="I28" s="5" t="s">
        <v>9</v>
      </c>
      <c r="J28" s="5" t="s">
        <v>0</v>
      </c>
      <c r="Q28" s="1"/>
    </row>
    <row r="29" spans="1:17" x14ac:dyDescent="0.25">
      <c r="A29" s="1" t="s">
        <v>49</v>
      </c>
      <c r="B29" s="36">
        <f>'Reimbursement Rates &lt;-INPUT'!M9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&lt;-INPUT'!M10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&lt;-INPUT'!M11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&lt;-INPUT'!M12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&lt;-INPUT'!M13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&lt;-INPUT'!M15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&lt;-INPUT'!M16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&lt;-INPUT'!M17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&lt;-INPUT'!M18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&lt;-INPUT'!M19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&lt;-INPUT'!M20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&lt;-INPUT'!M22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&lt;-INPUT'!M23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&lt;-INPUT'!M24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&lt;-INPUT'!M25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&lt;-INPUT'!M26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&lt;-INPUT'!M28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50" t="s">
        <v>33</v>
      </c>
      <c r="B47" s="151"/>
      <c r="C47" s="151"/>
      <c r="D47" s="151"/>
      <c r="E47" s="151"/>
      <c r="F47" s="151"/>
      <c r="G47" s="151"/>
      <c r="H47" s="151"/>
      <c r="I47" s="151"/>
      <c r="J47" s="152"/>
      <c r="M47" s="7"/>
      <c r="Q47" s="1"/>
    </row>
    <row r="48" spans="1:17" x14ac:dyDescent="0.25">
      <c r="A48" s="4" t="s">
        <v>16</v>
      </c>
      <c r="B48" s="5" t="s">
        <v>15</v>
      </c>
      <c r="C48" s="5" t="s">
        <v>14</v>
      </c>
      <c r="D48" s="5" t="s">
        <v>13</v>
      </c>
      <c r="E48" s="5" t="s">
        <v>12</v>
      </c>
      <c r="F48" s="5" t="s">
        <v>94</v>
      </c>
      <c r="G48" s="5" t="s">
        <v>95</v>
      </c>
      <c r="H48" s="5" t="s">
        <v>38</v>
      </c>
      <c r="I48" s="5" t="s">
        <v>9</v>
      </c>
      <c r="J48" s="5" t="s">
        <v>0</v>
      </c>
      <c r="M48" s="7"/>
    </row>
    <row r="49" spans="1:17" x14ac:dyDescent="0.25">
      <c r="A49" s="1" t="s">
        <v>49</v>
      </c>
      <c r="B49" s="37">
        <f t="shared" ref="B49:H51" si="4">IF(B8&gt;0,B8*(1-B29),0)</f>
        <v>0</v>
      </c>
      <c r="C49" s="37">
        <f t="shared" si="4"/>
        <v>0</v>
      </c>
      <c r="D49" s="37">
        <f t="shared" si="4"/>
        <v>0</v>
      </c>
      <c r="E49" s="37">
        <f t="shared" si="4"/>
        <v>0</v>
      </c>
      <c r="F49" s="37">
        <f t="shared" si="4"/>
        <v>0</v>
      </c>
      <c r="G49" s="37">
        <f t="shared" si="4"/>
        <v>0</v>
      </c>
      <c r="H49" s="37">
        <f t="shared" si="4"/>
        <v>0</v>
      </c>
      <c r="I49" s="37">
        <f t="shared" ref="I49" si="5">IF(I8&gt;0,I8*(1-I29),0)</f>
        <v>0</v>
      </c>
      <c r="J49" s="37">
        <f>SUM(B49:H49)</f>
        <v>0</v>
      </c>
      <c r="M49" s="7"/>
      <c r="Q49" s="1"/>
    </row>
    <row r="50" spans="1:17" x14ac:dyDescent="0.25">
      <c r="A50" s="1" t="s">
        <v>8</v>
      </c>
      <c r="B50" s="37">
        <f t="shared" si="4"/>
        <v>0</v>
      </c>
      <c r="C50" s="37">
        <f t="shared" si="4"/>
        <v>0</v>
      </c>
      <c r="D50" s="37">
        <f t="shared" si="4"/>
        <v>0</v>
      </c>
      <c r="E50" s="37">
        <f t="shared" si="4"/>
        <v>0</v>
      </c>
      <c r="F50" s="37">
        <f t="shared" si="4"/>
        <v>0</v>
      </c>
      <c r="G50" s="37">
        <f t="shared" si="4"/>
        <v>0</v>
      </c>
      <c r="H50" s="37">
        <f t="shared" si="4"/>
        <v>0</v>
      </c>
      <c r="I50" s="37">
        <f t="shared" ref="I50" si="6">IF(I9&gt;0,I9*(1-I30),0)</f>
        <v>0</v>
      </c>
      <c r="J50" s="37">
        <f t="shared" ref="J50:J65" si="7">SUM(B50:H50)</f>
        <v>0</v>
      </c>
      <c r="M50" s="7"/>
      <c r="Q50" s="7"/>
    </row>
    <row r="51" spans="1:17" x14ac:dyDescent="0.25">
      <c r="A51" s="1" t="s">
        <v>7</v>
      </c>
      <c r="B51" s="37">
        <f>IF(B10&gt;0,B10*(1-B31),0)</f>
        <v>0</v>
      </c>
      <c r="C51" s="37">
        <f t="shared" si="4"/>
        <v>0</v>
      </c>
      <c r="D51" s="37">
        <f t="shared" si="4"/>
        <v>0</v>
      </c>
      <c r="E51" s="37">
        <f t="shared" si="4"/>
        <v>0</v>
      </c>
      <c r="F51" s="37">
        <f t="shared" si="4"/>
        <v>0</v>
      </c>
      <c r="G51" s="37">
        <f t="shared" si="4"/>
        <v>0</v>
      </c>
      <c r="H51" s="37">
        <f t="shared" si="4"/>
        <v>0</v>
      </c>
      <c r="I51" s="37">
        <f t="shared" ref="I51" si="8">IF(I10&gt;0,I10*(1-I31),0)</f>
        <v>0</v>
      </c>
      <c r="J51" s="37">
        <f t="shared" si="7"/>
        <v>0</v>
      </c>
      <c r="M51" s="7"/>
    </row>
    <row r="52" spans="1:17" x14ac:dyDescent="0.25">
      <c r="A52" s="1" t="s">
        <v>42</v>
      </c>
      <c r="B52" s="37">
        <f t="shared" ref="B52:H65" si="9">IF(B11&gt;0,B11*(1-B32),0)</f>
        <v>0</v>
      </c>
      <c r="C52" s="37">
        <f t="shared" si="9"/>
        <v>0</v>
      </c>
      <c r="D52" s="37">
        <f t="shared" si="9"/>
        <v>0</v>
      </c>
      <c r="E52" s="37">
        <f t="shared" si="9"/>
        <v>0</v>
      </c>
      <c r="F52" s="37">
        <f t="shared" si="9"/>
        <v>0</v>
      </c>
      <c r="G52" s="37">
        <f t="shared" si="9"/>
        <v>0</v>
      </c>
      <c r="H52" s="37">
        <f t="shared" si="9"/>
        <v>0</v>
      </c>
      <c r="I52" s="37">
        <f t="shared" ref="I52" si="10">IF(I11&gt;0,I11*(1-I32),0)</f>
        <v>0</v>
      </c>
      <c r="J52" s="37">
        <f t="shared" si="7"/>
        <v>0</v>
      </c>
      <c r="M52" s="7"/>
    </row>
    <row r="53" spans="1:17" x14ac:dyDescent="0.25">
      <c r="A53" s="1" t="s">
        <v>6</v>
      </c>
      <c r="B53" s="37">
        <f t="shared" si="9"/>
        <v>0</v>
      </c>
      <c r="C53" s="37">
        <f t="shared" si="9"/>
        <v>0</v>
      </c>
      <c r="D53" s="37">
        <f t="shared" si="9"/>
        <v>0</v>
      </c>
      <c r="E53" s="37">
        <f t="shared" si="9"/>
        <v>0</v>
      </c>
      <c r="F53" s="37">
        <f t="shared" si="9"/>
        <v>0</v>
      </c>
      <c r="G53" s="37">
        <f t="shared" si="9"/>
        <v>0</v>
      </c>
      <c r="H53" s="37">
        <f t="shared" si="9"/>
        <v>0</v>
      </c>
      <c r="I53" s="37">
        <f t="shared" ref="I53" si="11">IF(I12&gt;0,I12*(1-I33),0)</f>
        <v>0</v>
      </c>
      <c r="J53" s="37">
        <f t="shared" si="7"/>
        <v>0</v>
      </c>
      <c r="M53" s="7"/>
    </row>
    <row r="54" spans="1:17" x14ac:dyDescent="0.25">
      <c r="A54" s="1" t="s">
        <v>50</v>
      </c>
      <c r="B54" s="37">
        <f t="shared" si="9"/>
        <v>0</v>
      </c>
      <c r="C54" s="37">
        <f t="shared" si="9"/>
        <v>0</v>
      </c>
      <c r="D54" s="37">
        <f t="shared" si="9"/>
        <v>0</v>
      </c>
      <c r="E54" s="37">
        <f t="shared" si="9"/>
        <v>0</v>
      </c>
      <c r="F54" s="37">
        <f t="shared" si="9"/>
        <v>0</v>
      </c>
      <c r="G54" s="37">
        <f t="shared" si="9"/>
        <v>0</v>
      </c>
      <c r="H54" s="37">
        <f t="shared" si="9"/>
        <v>0</v>
      </c>
      <c r="I54" s="37">
        <f t="shared" ref="I54" si="12">IF(I13&gt;0,I13*(1-I34),0)</f>
        <v>0</v>
      </c>
      <c r="J54" s="37">
        <f t="shared" si="7"/>
        <v>0</v>
      </c>
      <c r="M54" s="7"/>
    </row>
    <row r="55" spans="1:17" x14ac:dyDescent="0.25">
      <c r="A55" s="1" t="s">
        <v>89</v>
      </c>
      <c r="B55" s="37">
        <f t="shared" si="9"/>
        <v>0</v>
      </c>
      <c r="C55" s="37">
        <f t="shared" si="9"/>
        <v>0</v>
      </c>
      <c r="D55" s="37">
        <f t="shared" si="9"/>
        <v>0</v>
      </c>
      <c r="E55" s="37">
        <f t="shared" si="9"/>
        <v>0</v>
      </c>
      <c r="F55" s="37">
        <f t="shared" si="9"/>
        <v>0</v>
      </c>
      <c r="G55" s="37">
        <f t="shared" si="9"/>
        <v>0</v>
      </c>
      <c r="H55" s="37">
        <f t="shared" si="9"/>
        <v>0</v>
      </c>
      <c r="I55" s="37">
        <f t="shared" ref="I55" si="13">IF(I14&gt;0,I14*(1-I35),0)</f>
        <v>0</v>
      </c>
      <c r="J55" s="37">
        <f t="shared" si="7"/>
        <v>0</v>
      </c>
      <c r="M55" s="7"/>
    </row>
    <row r="56" spans="1:17" x14ac:dyDescent="0.25">
      <c r="A56" s="1" t="s">
        <v>5</v>
      </c>
      <c r="B56" s="37">
        <f t="shared" si="9"/>
        <v>0</v>
      </c>
      <c r="C56" s="37">
        <f t="shared" si="9"/>
        <v>0</v>
      </c>
      <c r="D56" s="37">
        <f t="shared" si="9"/>
        <v>0</v>
      </c>
      <c r="E56" s="37">
        <f t="shared" si="9"/>
        <v>0</v>
      </c>
      <c r="F56" s="37">
        <f t="shared" si="9"/>
        <v>0</v>
      </c>
      <c r="G56" s="37">
        <f t="shared" si="9"/>
        <v>0</v>
      </c>
      <c r="H56" s="37">
        <f t="shared" si="9"/>
        <v>0</v>
      </c>
      <c r="I56" s="37">
        <f t="shared" ref="I56" si="14">IF(I15&gt;0,I15*(1-I36),0)</f>
        <v>0</v>
      </c>
      <c r="J56" s="37">
        <f t="shared" si="7"/>
        <v>0</v>
      </c>
      <c r="M56" s="7"/>
    </row>
    <row r="57" spans="1:17" x14ac:dyDescent="0.25">
      <c r="A57" s="1" t="s">
        <v>84</v>
      </c>
      <c r="B57" s="37">
        <f t="shared" si="9"/>
        <v>0</v>
      </c>
      <c r="C57" s="37">
        <f t="shared" si="9"/>
        <v>0</v>
      </c>
      <c r="D57" s="37">
        <f t="shared" si="9"/>
        <v>0</v>
      </c>
      <c r="E57" s="37">
        <f t="shared" si="9"/>
        <v>0</v>
      </c>
      <c r="F57" s="37">
        <f t="shared" si="9"/>
        <v>0</v>
      </c>
      <c r="G57" s="37">
        <f t="shared" si="9"/>
        <v>0</v>
      </c>
      <c r="H57" s="37">
        <f t="shared" si="9"/>
        <v>0</v>
      </c>
      <c r="I57" s="37">
        <f t="shared" ref="I57" si="15">IF(I16&gt;0,I16*(1-I37),0)</f>
        <v>0</v>
      </c>
      <c r="J57" s="37">
        <f t="shared" si="7"/>
        <v>0</v>
      </c>
      <c r="M57" s="7"/>
    </row>
    <row r="58" spans="1:17" x14ac:dyDescent="0.25">
      <c r="A58" s="1" t="s">
        <v>4</v>
      </c>
      <c r="B58" s="37">
        <f t="shared" si="9"/>
        <v>0</v>
      </c>
      <c r="C58" s="37">
        <f t="shared" si="9"/>
        <v>0</v>
      </c>
      <c r="D58" s="37">
        <f t="shared" si="9"/>
        <v>0</v>
      </c>
      <c r="E58" s="37">
        <f t="shared" si="9"/>
        <v>0</v>
      </c>
      <c r="F58" s="37">
        <f t="shared" si="9"/>
        <v>0</v>
      </c>
      <c r="G58" s="37">
        <f t="shared" si="9"/>
        <v>0</v>
      </c>
      <c r="H58" s="37">
        <f t="shared" si="9"/>
        <v>0</v>
      </c>
      <c r="I58" s="37">
        <f t="shared" ref="I58" si="16">IF(I17&gt;0,I17*(1-I38),0)</f>
        <v>0</v>
      </c>
      <c r="J58" s="37">
        <f t="shared" si="7"/>
        <v>0</v>
      </c>
      <c r="M58" s="7"/>
    </row>
    <row r="59" spans="1:17" x14ac:dyDescent="0.25">
      <c r="A59" s="1" t="s">
        <v>51</v>
      </c>
      <c r="B59" s="37">
        <f t="shared" si="9"/>
        <v>0</v>
      </c>
      <c r="C59" s="37">
        <f t="shared" si="9"/>
        <v>0</v>
      </c>
      <c r="D59" s="37">
        <f t="shared" si="9"/>
        <v>0</v>
      </c>
      <c r="E59" s="37">
        <f t="shared" si="9"/>
        <v>0</v>
      </c>
      <c r="F59" s="37">
        <f t="shared" si="9"/>
        <v>0</v>
      </c>
      <c r="G59" s="37">
        <f t="shared" si="9"/>
        <v>0</v>
      </c>
      <c r="H59" s="37">
        <f t="shared" si="9"/>
        <v>0</v>
      </c>
      <c r="I59" s="37">
        <f t="shared" ref="I59" si="17">IF(I18&gt;0,I18*(1-I39),0)</f>
        <v>0</v>
      </c>
      <c r="J59" s="37">
        <f t="shared" si="7"/>
        <v>0</v>
      </c>
      <c r="M59" s="7"/>
    </row>
    <row r="60" spans="1:17" x14ac:dyDescent="0.25">
      <c r="A60" s="1" t="s">
        <v>85</v>
      </c>
      <c r="B60" s="37">
        <f t="shared" si="9"/>
        <v>0</v>
      </c>
      <c r="C60" s="37">
        <f t="shared" si="9"/>
        <v>0</v>
      </c>
      <c r="D60" s="37">
        <f t="shared" si="9"/>
        <v>0</v>
      </c>
      <c r="E60" s="37">
        <f t="shared" si="9"/>
        <v>0</v>
      </c>
      <c r="F60" s="37">
        <f t="shared" si="9"/>
        <v>0</v>
      </c>
      <c r="G60" s="37">
        <f t="shared" si="9"/>
        <v>0</v>
      </c>
      <c r="H60" s="37">
        <f t="shared" si="9"/>
        <v>0</v>
      </c>
      <c r="I60" s="37">
        <f t="shared" ref="I60" si="18">IF(I19&gt;0,I19*(1-I40),0)</f>
        <v>0</v>
      </c>
      <c r="J60" s="37">
        <f t="shared" si="7"/>
        <v>0</v>
      </c>
      <c r="M60" s="7"/>
    </row>
    <row r="61" spans="1:17" x14ac:dyDescent="0.25">
      <c r="A61" s="1" t="s">
        <v>2</v>
      </c>
      <c r="B61" s="37">
        <f t="shared" si="9"/>
        <v>0</v>
      </c>
      <c r="C61" s="37">
        <f t="shared" si="9"/>
        <v>0</v>
      </c>
      <c r="D61" s="37">
        <f t="shared" si="9"/>
        <v>0</v>
      </c>
      <c r="E61" s="37">
        <f t="shared" si="9"/>
        <v>0</v>
      </c>
      <c r="F61" s="37">
        <f t="shared" si="9"/>
        <v>0</v>
      </c>
      <c r="G61" s="37">
        <f t="shared" si="9"/>
        <v>0</v>
      </c>
      <c r="H61" s="37">
        <f t="shared" si="9"/>
        <v>0</v>
      </c>
      <c r="I61" s="37">
        <f t="shared" ref="I61" si="19">IF(I20&gt;0,I20*(1-I41),0)</f>
        <v>0</v>
      </c>
      <c r="J61" s="37">
        <f t="shared" si="7"/>
        <v>0</v>
      </c>
      <c r="M61" s="7"/>
    </row>
    <row r="62" spans="1:17" x14ac:dyDescent="0.25">
      <c r="A62" s="1" t="s">
        <v>86</v>
      </c>
      <c r="B62" s="37">
        <f t="shared" si="9"/>
        <v>0</v>
      </c>
      <c r="C62" s="37">
        <f t="shared" si="9"/>
        <v>0</v>
      </c>
      <c r="D62" s="37">
        <f t="shared" si="9"/>
        <v>0</v>
      </c>
      <c r="E62" s="37">
        <f t="shared" si="9"/>
        <v>0</v>
      </c>
      <c r="F62" s="37">
        <f t="shared" si="9"/>
        <v>0</v>
      </c>
      <c r="G62" s="37">
        <f t="shared" si="9"/>
        <v>0</v>
      </c>
      <c r="H62" s="37">
        <f t="shared" si="9"/>
        <v>0</v>
      </c>
      <c r="I62" s="37">
        <f t="shared" ref="I62" si="20">IF(I21&gt;0,I21*(1-I42),0)</f>
        <v>0</v>
      </c>
      <c r="J62" s="37">
        <f t="shared" si="7"/>
        <v>0</v>
      </c>
      <c r="M62" s="168" t="s">
        <v>62</v>
      </c>
    </row>
    <row r="63" spans="1:17" x14ac:dyDescent="0.25">
      <c r="A63" s="1" t="s">
        <v>29</v>
      </c>
      <c r="B63" s="37">
        <f t="shared" si="9"/>
        <v>0</v>
      </c>
      <c r="C63" s="37">
        <f t="shared" si="9"/>
        <v>0</v>
      </c>
      <c r="D63" s="37">
        <f t="shared" si="9"/>
        <v>0</v>
      </c>
      <c r="E63" s="37">
        <f t="shared" si="9"/>
        <v>0</v>
      </c>
      <c r="F63" s="37">
        <f t="shared" si="9"/>
        <v>0</v>
      </c>
      <c r="G63" s="37">
        <f t="shared" si="9"/>
        <v>0</v>
      </c>
      <c r="H63" s="37">
        <f t="shared" si="9"/>
        <v>0</v>
      </c>
      <c r="I63" s="37">
        <f t="shared" ref="I63" si="21">IF(I22&gt;0,I22*(1-I43),0)</f>
        <v>0</v>
      </c>
      <c r="J63" s="37">
        <f t="shared" si="7"/>
        <v>0</v>
      </c>
      <c r="M63" s="168"/>
    </row>
    <row r="64" spans="1:17" x14ac:dyDescent="0.25">
      <c r="A64" s="1" t="s">
        <v>52</v>
      </c>
      <c r="B64" s="37">
        <f t="shared" si="9"/>
        <v>0</v>
      </c>
      <c r="C64" s="37">
        <f t="shared" si="9"/>
        <v>0</v>
      </c>
      <c r="D64" s="37">
        <f t="shared" si="9"/>
        <v>0</v>
      </c>
      <c r="E64" s="37">
        <f t="shared" si="9"/>
        <v>0</v>
      </c>
      <c r="F64" s="37">
        <f t="shared" si="9"/>
        <v>0</v>
      </c>
      <c r="G64" s="37">
        <f t="shared" si="9"/>
        <v>0</v>
      </c>
      <c r="H64" s="37">
        <f t="shared" si="9"/>
        <v>0</v>
      </c>
      <c r="I64" s="37">
        <f t="shared" ref="I64" si="22">IF(I23&gt;0,I23*(1-I44),0)</f>
        <v>0</v>
      </c>
      <c r="J64" s="37">
        <f t="shared" si="7"/>
        <v>0</v>
      </c>
      <c r="L64" s="35" t="s">
        <v>41</v>
      </c>
      <c r="M64" s="168" t="s">
        <v>63</v>
      </c>
    </row>
    <row r="65" spans="1:13" x14ac:dyDescent="0.25">
      <c r="A65" s="1" t="s">
        <v>1</v>
      </c>
      <c r="B65" s="38">
        <f t="shared" si="9"/>
        <v>0</v>
      </c>
      <c r="C65" s="38">
        <f t="shared" si="9"/>
        <v>0</v>
      </c>
      <c r="D65" s="38">
        <f t="shared" si="9"/>
        <v>0</v>
      </c>
      <c r="E65" s="38">
        <f t="shared" si="9"/>
        <v>0</v>
      </c>
      <c r="F65" s="38">
        <f t="shared" si="9"/>
        <v>0</v>
      </c>
      <c r="G65" s="38">
        <f t="shared" si="9"/>
        <v>0</v>
      </c>
      <c r="H65" s="38">
        <f t="shared" si="9"/>
        <v>0</v>
      </c>
      <c r="I65" s="38">
        <f t="shared" ref="I65" si="23">IF(I24&gt;0,I24*(1-I45),0)</f>
        <v>0</v>
      </c>
      <c r="J65" s="38">
        <f t="shared" si="7"/>
        <v>0</v>
      </c>
      <c r="L65" s="42" t="s">
        <v>61</v>
      </c>
      <c r="M65" s="169"/>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95">
        <v>60000</v>
      </c>
      <c r="M66" s="7">
        <f>J66-L66</f>
        <v>-60000</v>
      </c>
    </row>
    <row r="67" spans="1:13" ht="15.75" thickBot="1" x14ac:dyDescent="0.3">
      <c r="A67" s="1"/>
      <c r="B67" s="9"/>
      <c r="C67" s="9"/>
      <c r="D67" s="9"/>
      <c r="E67" s="9"/>
      <c r="F67" s="9"/>
      <c r="G67" s="9"/>
      <c r="H67" s="9"/>
      <c r="I67" s="9"/>
      <c r="J67" s="9"/>
      <c r="M67" s="7"/>
    </row>
    <row r="68" spans="1:13" ht="15.75" thickBot="1" x14ac:dyDescent="0.3">
      <c r="A68" s="150" t="s">
        <v>64</v>
      </c>
      <c r="B68" s="151"/>
      <c r="C68" s="151"/>
      <c r="D68" s="151"/>
      <c r="E68" s="151"/>
      <c r="F68" s="151"/>
      <c r="G68" s="151"/>
      <c r="H68" s="151"/>
      <c r="I68" s="151"/>
      <c r="J68" s="152"/>
      <c r="M68" s="7"/>
    </row>
    <row r="69" spans="1:13" x14ac:dyDescent="0.25">
      <c r="A69" s="4" t="s">
        <v>16</v>
      </c>
      <c r="B69" s="5" t="s">
        <v>15</v>
      </c>
      <c r="C69" s="5" t="s">
        <v>14</v>
      </c>
      <c r="D69" s="5" t="s">
        <v>13</v>
      </c>
      <c r="E69" s="5" t="s">
        <v>12</v>
      </c>
      <c r="F69" s="5" t="s">
        <v>94</v>
      </c>
      <c r="G69" s="5" t="s">
        <v>95</v>
      </c>
      <c r="H69" s="5" t="s">
        <v>38</v>
      </c>
      <c r="I69" s="5" t="s">
        <v>9</v>
      </c>
      <c r="J69" s="5" t="s">
        <v>0</v>
      </c>
      <c r="M69" s="7"/>
    </row>
    <row r="70" spans="1:13" x14ac:dyDescent="0.25">
      <c r="A70" s="1" t="s">
        <v>49</v>
      </c>
      <c r="B70" s="39">
        <f t="shared" ref="B70:H72" si="25">B8-B49</f>
        <v>0</v>
      </c>
      <c r="C70" s="39">
        <f t="shared" si="25"/>
        <v>0</v>
      </c>
      <c r="D70" s="39">
        <f t="shared" si="25"/>
        <v>0</v>
      </c>
      <c r="E70" s="39">
        <f t="shared" si="25"/>
        <v>0</v>
      </c>
      <c r="F70" s="39">
        <f t="shared" si="25"/>
        <v>0</v>
      </c>
      <c r="G70" s="39">
        <f t="shared" si="25"/>
        <v>0</v>
      </c>
      <c r="H70" s="39">
        <f t="shared" si="25"/>
        <v>0</v>
      </c>
      <c r="I70" s="39">
        <f t="shared" ref="I70" si="26">I8-I49</f>
        <v>0</v>
      </c>
      <c r="J70" s="39">
        <f>SUM(B70:H70)</f>
        <v>0</v>
      </c>
      <c r="M70" s="7"/>
    </row>
    <row r="71" spans="1:13" x14ac:dyDescent="0.25">
      <c r="A71" s="1" t="s">
        <v>8</v>
      </c>
      <c r="B71" s="39">
        <f t="shared" si="25"/>
        <v>0</v>
      </c>
      <c r="C71" s="39">
        <f t="shared" si="25"/>
        <v>0</v>
      </c>
      <c r="D71" s="39">
        <f t="shared" si="25"/>
        <v>0</v>
      </c>
      <c r="E71" s="39">
        <f t="shared" si="25"/>
        <v>0</v>
      </c>
      <c r="F71" s="39">
        <f t="shared" si="25"/>
        <v>0</v>
      </c>
      <c r="G71" s="39">
        <f t="shared" si="25"/>
        <v>0</v>
      </c>
      <c r="H71" s="39">
        <f t="shared" si="25"/>
        <v>0</v>
      </c>
      <c r="I71" s="39">
        <f t="shared" ref="I71" si="27">I9-I50</f>
        <v>0</v>
      </c>
      <c r="J71" s="39">
        <f t="shared" ref="J71:J86" si="28">SUM(B71:H71)</f>
        <v>0</v>
      </c>
      <c r="M71" s="7"/>
    </row>
    <row r="72" spans="1:13" x14ac:dyDescent="0.25">
      <c r="A72" s="1" t="s">
        <v>7</v>
      </c>
      <c r="B72" s="39">
        <f>B10-B51</f>
        <v>0</v>
      </c>
      <c r="C72" s="39">
        <f t="shared" si="25"/>
        <v>0</v>
      </c>
      <c r="D72" s="39">
        <f t="shared" si="25"/>
        <v>0</v>
      </c>
      <c r="E72" s="39">
        <f t="shared" si="25"/>
        <v>0</v>
      </c>
      <c r="F72" s="39">
        <f t="shared" si="25"/>
        <v>0</v>
      </c>
      <c r="G72" s="39">
        <f t="shared" si="25"/>
        <v>0</v>
      </c>
      <c r="H72" s="39">
        <f t="shared" si="25"/>
        <v>0</v>
      </c>
      <c r="I72" s="39">
        <f t="shared" ref="I72" si="29">I10-I51</f>
        <v>0</v>
      </c>
      <c r="J72" s="39">
        <f t="shared" si="28"/>
        <v>0</v>
      </c>
      <c r="M72" s="7"/>
    </row>
    <row r="73" spans="1:13" x14ac:dyDescent="0.25">
      <c r="A73" s="1" t="s">
        <v>42</v>
      </c>
      <c r="B73" s="39">
        <f t="shared" ref="B73:H86" si="30">B11-B52</f>
        <v>0</v>
      </c>
      <c r="C73" s="39">
        <f t="shared" si="30"/>
        <v>0</v>
      </c>
      <c r="D73" s="39">
        <f t="shared" si="30"/>
        <v>0</v>
      </c>
      <c r="E73" s="39">
        <f t="shared" si="30"/>
        <v>0</v>
      </c>
      <c r="F73" s="39">
        <f t="shared" si="30"/>
        <v>0</v>
      </c>
      <c r="G73" s="39">
        <f t="shared" si="30"/>
        <v>0</v>
      </c>
      <c r="H73" s="39">
        <f t="shared" si="30"/>
        <v>0</v>
      </c>
      <c r="I73" s="39">
        <f t="shared" ref="I73" si="31">I11-I52</f>
        <v>0</v>
      </c>
      <c r="J73" s="39">
        <f t="shared" si="28"/>
        <v>0</v>
      </c>
      <c r="M73" s="7"/>
    </row>
    <row r="74" spans="1:13" x14ac:dyDescent="0.25">
      <c r="A74" s="1" t="s">
        <v>6</v>
      </c>
      <c r="B74" s="39">
        <f t="shared" si="30"/>
        <v>0</v>
      </c>
      <c r="C74" s="39">
        <f t="shared" si="30"/>
        <v>0</v>
      </c>
      <c r="D74" s="39">
        <f t="shared" si="30"/>
        <v>0</v>
      </c>
      <c r="E74" s="39">
        <f t="shared" si="30"/>
        <v>0</v>
      </c>
      <c r="F74" s="39">
        <f t="shared" si="30"/>
        <v>0</v>
      </c>
      <c r="G74" s="39">
        <f t="shared" si="30"/>
        <v>0</v>
      </c>
      <c r="H74" s="39">
        <f t="shared" si="30"/>
        <v>0</v>
      </c>
      <c r="I74" s="39">
        <f t="shared" ref="I74" si="32">I12-I53</f>
        <v>0</v>
      </c>
      <c r="J74" s="39">
        <f t="shared" si="28"/>
        <v>0</v>
      </c>
      <c r="M74" s="7"/>
    </row>
    <row r="75" spans="1:13" x14ac:dyDescent="0.25">
      <c r="A75" s="1" t="s">
        <v>50</v>
      </c>
      <c r="B75" s="39">
        <f t="shared" si="30"/>
        <v>0</v>
      </c>
      <c r="C75" s="39">
        <f t="shared" si="30"/>
        <v>0</v>
      </c>
      <c r="D75" s="39">
        <f t="shared" si="30"/>
        <v>0</v>
      </c>
      <c r="E75" s="39">
        <f t="shared" si="30"/>
        <v>0</v>
      </c>
      <c r="F75" s="39">
        <f t="shared" si="30"/>
        <v>0</v>
      </c>
      <c r="G75" s="39">
        <f t="shared" si="30"/>
        <v>0</v>
      </c>
      <c r="H75" s="39">
        <f t="shared" si="30"/>
        <v>0</v>
      </c>
      <c r="I75" s="39">
        <f t="shared" ref="I75" si="33">I13-I54</f>
        <v>0</v>
      </c>
      <c r="J75" s="39">
        <f t="shared" si="28"/>
        <v>0</v>
      </c>
      <c r="M75" s="7"/>
    </row>
    <row r="76" spans="1:13" x14ac:dyDescent="0.25">
      <c r="A76" s="1" t="s">
        <v>89</v>
      </c>
      <c r="B76" s="39">
        <f t="shared" si="30"/>
        <v>0</v>
      </c>
      <c r="C76" s="39">
        <f t="shared" si="30"/>
        <v>0</v>
      </c>
      <c r="D76" s="39">
        <f t="shared" si="30"/>
        <v>0</v>
      </c>
      <c r="E76" s="39">
        <f t="shared" si="30"/>
        <v>0</v>
      </c>
      <c r="F76" s="39">
        <f t="shared" si="30"/>
        <v>0</v>
      </c>
      <c r="G76" s="39">
        <f t="shared" si="30"/>
        <v>0</v>
      </c>
      <c r="H76" s="39">
        <f t="shared" si="30"/>
        <v>0</v>
      </c>
      <c r="I76" s="39">
        <f t="shared" ref="I76" si="34">I14-I55</f>
        <v>0</v>
      </c>
      <c r="J76" s="39">
        <f t="shared" si="28"/>
        <v>0</v>
      </c>
      <c r="M76" s="7"/>
    </row>
    <row r="77" spans="1:13" x14ac:dyDescent="0.25">
      <c r="A77" s="1" t="s">
        <v>5</v>
      </c>
      <c r="B77" s="39">
        <f t="shared" si="30"/>
        <v>0</v>
      </c>
      <c r="C77" s="39">
        <f t="shared" si="30"/>
        <v>0</v>
      </c>
      <c r="D77" s="39">
        <f t="shared" si="30"/>
        <v>0</v>
      </c>
      <c r="E77" s="39">
        <f t="shared" si="30"/>
        <v>0</v>
      </c>
      <c r="F77" s="39">
        <f t="shared" si="30"/>
        <v>0</v>
      </c>
      <c r="G77" s="39">
        <f t="shared" si="30"/>
        <v>0</v>
      </c>
      <c r="H77" s="39">
        <f t="shared" si="30"/>
        <v>0</v>
      </c>
      <c r="I77" s="39">
        <f t="shared" ref="I77" si="35">I15-I56</f>
        <v>0</v>
      </c>
      <c r="J77" s="39">
        <f t="shared" si="28"/>
        <v>0</v>
      </c>
      <c r="M77" s="7"/>
    </row>
    <row r="78" spans="1:13" x14ac:dyDescent="0.25">
      <c r="A78" s="1" t="s">
        <v>84</v>
      </c>
      <c r="B78" s="39">
        <f t="shared" si="30"/>
        <v>0</v>
      </c>
      <c r="C78" s="39">
        <f t="shared" si="30"/>
        <v>0</v>
      </c>
      <c r="D78" s="39">
        <f t="shared" si="30"/>
        <v>0</v>
      </c>
      <c r="E78" s="39">
        <f t="shared" si="30"/>
        <v>0</v>
      </c>
      <c r="F78" s="39">
        <f t="shared" si="30"/>
        <v>0</v>
      </c>
      <c r="G78" s="39">
        <f t="shared" si="30"/>
        <v>0</v>
      </c>
      <c r="H78" s="39">
        <f t="shared" si="30"/>
        <v>0</v>
      </c>
      <c r="I78" s="39">
        <f t="shared" ref="I78" si="36">I16-I57</f>
        <v>0</v>
      </c>
      <c r="J78" s="39">
        <f t="shared" si="28"/>
        <v>0</v>
      </c>
      <c r="M78" s="7"/>
    </row>
    <row r="79" spans="1:13" x14ac:dyDescent="0.25">
      <c r="A79" s="1" t="s">
        <v>4</v>
      </c>
      <c r="B79" s="39">
        <f t="shared" si="30"/>
        <v>0</v>
      </c>
      <c r="C79" s="39">
        <f t="shared" si="30"/>
        <v>0</v>
      </c>
      <c r="D79" s="39">
        <f t="shared" si="30"/>
        <v>0</v>
      </c>
      <c r="E79" s="39">
        <f t="shared" si="30"/>
        <v>0</v>
      </c>
      <c r="F79" s="39">
        <f t="shared" si="30"/>
        <v>0</v>
      </c>
      <c r="G79" s="39">
        <f t="shared" si="30"/>
        <v>0</v>
      </c>
      <c r="H79" s="39">
        <f t="shared" si="30"/>
        <v>0</v>
      </c>
      <c r="I79" s="39">
        <f t="shared" ref="I79" si="37">I17-I58</f>
        <v>0</v>
      </c>
      <c r="J79" s="39">
        <f t="shared" si="28"/>
        <v>0</v>
      </c>
      <c r="M79" s="7"/>
    </row>
    <row r="80" spans="1:13" x14ac:dyDescent="0.25">
      <c r="A80" s="1" t="s">
        <v>51</v>
      </c>
      <c r="B80" s="39">
        <f t="shared" si="30"/>
        <v>0</v>
      </c>
      <c r="C80" s="39">
        <f t="shared" si="30"/>
        <v>0</v>
      </c>
      <c r="D80" s="39">
        <f t="shared" si="30"/>
        <v>0</v>
      </c>
      <c r="E80" s="39">
        <f t="shared" si="30"/>
        <v>0</v>
      </c>
      <c r="F80" s="39">
        <f t="shared" si="30"/>
        <v>0</v>
      </c>
      <c r="G80" s="39">
        <f t="shared" si="30"/>
        <v>0</v>
      </c>
      <c r="H80" s="39">
        <f t="shared" si="30"/>
        <v>0</v>
      </c>
      <c r="I80" s="39">
        <f t="shared" ref="I80" si="38">I18-I59</f>
        <v>0</v>
      </c>
      <c r="J80" s="39">
        <f t="shared" si="28"/>
        <v>0</v>
      </c>
      <c r="M80" s="7"/>
    </row>
    <row r="81" spans="1:13" x14ac:dyDescent="0.25">
      <c r="A81" s="1" t="s">
        <v>85</v>
      </c>
      <c r="B81" s="39">
        <f t="shared" si="30"/>
        <v>0</v>
      </c>
      <c r="C81" s="39">
        <f t="shared" si="30"/>
        <v>0</v>
      </c>
      <c r="D81" s="39">
        <f t="shared" si="30"/>
        <v>0</v>
      </c>
      <c r="E81" s="39">
        <f t="shared" si="30"/>
        <v>0</v>
      </c>
      <c r="F81" s="39">
        <f t="shared" si="30"/>
        <v>0</v>
      </c>
      <c r="G81" s="39">
        <f t="shared" si="30"/>
        <v>0</v>
      </c>
      <c r="H81" s="39">
        <f t="shared" si="30"/>
        <v>0</v>
      </c>
      <c r="I81" s="39">
        <f t="shared" ref="I81" si="39">I19-I60</f>
        <v>0</v>
      </c>
      <c r="J81" s="39">
        <f t="shared" si="28"/>
        <v>0</v>
      </c>
      <c r="M81" s="7"/>
    </row>
    <row r="82" spans="1:13" x14ac:dyDescent="0.25">
      <c r="A82" s="1" t="s">
        <v>2</v>
      </c>
      <c r="B82" s="39">
        <f t="shared" si="30"/>
        <v>0</v>
      </c>
      <c r="C82" s="39">
        <f t="shared" si="30"/>
        <v>0</v>
      </c>
      <c r="D82" s="39">
        <f t="shared" si="30"/>
        <v>0</v>
      </c>
      <c r="E82" s="39">
        <f t="shared" si="30"/>
        <v>0</v>
      </c>
      <c r="F82" s="39">
        <f t="shared" si="30"/>
        <v>0</v>
      </c>
      <c r="G82" s="39">
        <f t="shared" si="30"/>
        <v>0</v>
      </c>
      <c r="H82" s="39">
        <f t="shared" si="30"/>
        <v>0</v>
      </c>
      <c r="I82" s="39">
        <f t="shared" ref="I82" si="40">I20-I61</f>
        <v>0</v>
      </c>
      <c r="J82" s="39">
        <f t="shared" si="28"/>
        <v>0</v>
      </c>
      <c r="M82" s="7"/>
    </row>
    <row r="83" spans="1:13" x14ac:dyDescent="0.25">
      <c r="A83" s="1" t="s">
        <v>86</v>
      </c>
      <c r="B83" s="39">
        <f t="shared" si="30"/>
        <v>0</v>
      </c>
      <c r="C83" s="39">
        <f t="shared" si="30"/>
        <v>0</v>
      </c>
      <c r="D83" s="39">
        <f t="shared" si="30"/>
        <v>0</v>
      </c>
      <c r="E83" s="39">
        <f t="shared" si="30"/>
        <v>0</v>
      </c>
      <c r="F83" s="39">
        <f t="shared" si="30"/>
        <v>0</v>
      </c>
      <c r="G83" s="39">
        <f t="shared" si="30"/>
        <v>0</v>
      </c>
      <c r="H83" s="39">
        <f t="shared" si="30"/>
        <v>0</v>
      </c>
      <c r="I83" s="39">
        <f t="shared" ref="I83" si="41">I21-I62</f>
        <v>0</v>
      </c>
      <c r="J83" s="39">
        <f t="shared" si="28"/>
        <v>0</v>
      </c>
      <c r="M83" s="7"/>
    </row>
    <row r="84" spans="1:13" x14ac:dyDescent="0.25">
      <c r="A84" s="1" t="s">
        <v>29</v>
      </c>
      <c r="B84" s="39">
        <f t="shared" si="30"/>
        <v>0</v>
      </c>
      <c r="C84" s="39">
        <f t="shared" si="30"/>
        <v>0</v>
      </c>
      <c r="D84" s="39">
        <f t="shared" si="30"/>
        <v>0</v>
      </c>
      <c r="E84" s="39">
        <f t="shared" si="30"/>
        <v>0</v>
      </c>
      <c r="F84" s="39">
        <f t="shared" si="30"/>
        <v>0</v>
      </c>
      <c r="G84" s="39">
        <f t="shared" si="30"/>
        <v>0</v>
      </c>
      <c r="H84" s="39">
        <f t="shared" si="30"/>
        <v>0</v>
      </c>
      <c r="I84" s="39">
        <f t="shared" ref="I84" si="42">I22-I63</f>
        <v>0</v>
      </c>
      <c r="J84" s="39">
        <f t="shared" si="28"/>
        <v>0</v>
      </c>
      <c r="M84" s="7"/>
    </row>
    <row r="85" spans="1:13" x14ac:dyDescent="0.25">
      <c r="A85" s="1" t="s">
        <v>52</v>
      </c>
      <c r="B85" s="39">
        <f t="shared" si="30"/>
        <v>0</v>
      </c>
      <c r="C85" s="39">
        <f t="shared" si="30"/>
        <v>0</v>
      </c>
      <c r="D85" s="39">
        <f t="shared" si="30"/>
        <v>0</v>
      </c>
      <c r="E85" s="39">
        <f t="shared" si="30"/>
        <v>0</v>
      </c>
      <c r="F85" s="39">
        <f t="shared" si="30"/>
        <v>0</v>
      </c>
      <c r="G85" s="39">
        <f t="shared" si="30"/>
        <v>0</v>
      </c>
      <c r="H85" s="39">
        <f t="shared" si="30"/>
        <v>0</v>
      </c>
      <c r="I85" s="39">
        <f t="shared" ref="I85" si="43">I23-I64</f>
        <v>0</v>
      </c>
      <c r="J85" s="39">
        <f t="shared" si="28"/>
        <v>0</v>
      </c>
      <c r="M85" s="7"/>
    </row>
    <row r="86" spans="1:13" x14ac:dyDescent="0.25">
      <c r="A86" s="1" t="s">
        <v>1</v>
      </c>
      <c r="B86" s="40">
        <f t="shared" si="30"/>
        <v>0</v>
      </c>
      <c r="C86" s="40">
        <f t="shared" si="30"/>
        <v>0</v>
      </c>
      <c r="D86" s="40">
        <f t="shared" si="30"/>
        <v>0</v>
      </c>
      <c r="E86" s="40">
        <f t="shared" si="30"/>
        <v>0</v>
      </c>
      <c r="F86" s="40">
        <f t="shared" si="30"/>
        <v>0</v>
      </c>
      <c r="G86" s="40">
        <f t="shared" si="30"/>
        <v>0</v>
      </c>
      <c r="H86" s="40">
        <f t="shared" si="30"/>
        <v>0</v>
      </c>
      <c r="I86" s="40">
        <f t="shared" ref="I86" si="44">I24-I65</f>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53" t="s">
        <v>59</v>
      </c>
      <c r="B89" s="154"/>
      <c r="C89" s="154"/>
      <c r="D89" s="154"/>
      <c r="E89" s="154"/>
      <c r="F89" s="154"/>
      <c r="G89" s="154"/>
      <c r="H89" s="154"/>
      <c r="I89" s="154"/>
      <c r="J89" s="155"/>
      <c r="M89" s="7"/>
    </row>
    <row r="90" spans="1:13" x14ac:dyDescent="0.25">
      <c r="A90" s="4" t="s">
        <v>16</v>
      </c>
      <c r="B90" s="5" t="s">
        <v>15</v>
      </c>
      <c r="C90" s="5" t="s">
        <v>14</v>
      </c>
      <c r="D90" s="5" t="s">
        <v>13</v>
      </c>
      <c r="E90" s="5" t="s">
        <v>12</v>
      </c>
      <c r="F90" s="5" t="s">
        <v>94</v>
      </c>
      <c r="G90" s="5" t="s">
        <v>95</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50" t="s">
        <v>60</v>
      </c>
      <c r="B109" s="151"/>
      <c r="C109" s="151"/>
      <c r="D109" s="151"/>
      <c r="E109" s="151"/>
      <c r="F109" s="151"/>
      <c r="G109" s="151"/>
      <c r="H109" s="151"/>
      <c r="I109" s="151"/>
      <c r="J109" s="152"/>
      <c r="M109" s="7"/>
    </row>
    <row r="110" spans="1:13" x14ac:dyDescent="0.25">
      <c r="A110" s="4" t="s">
        <v>16</v>
      </c>
      <c r="B110" s="5" t="s">
        <v>15</v>
      </c>
      <c r="C110" s="5" t="s">
        <v>14</v>
      </c>
      <c r="D110" s="5" t="s">
        <v>13</v>
      </c>
      <c r="E110" s="5" t="s">
        <v>12</v>
      </c>
      <c r="F110" s="5" t="s">
        <v>94</v>
      </c>
      <c r="G110" s="5" t="s">
        <v>95</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68"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68"/>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152</v>
      </c>
      <c r="M126" s="168"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69"/>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95">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50" t="s">
        <v>30</v>
      </c>
      <c r="B130" s="151"/>
      <c r="C130" s="151"/>
      <c r="D130" s="151"/>
      <c r="E130" s="151"/>
      <c r="F130" s="151"/>
      <c r="G130" s="151"/>
      <c r="H130" s="151"/>
      <c r="I130" s="151"/>
      <c r="J130" s="152"/>
      <c r="M130" s="7"/>
    </row>
    <row r="131" spans="1:13" x14ac:dyDescent="0.25">
      <c r="A131" s="4" t="s">
        <v>16</v>
      </c>
      <c r="B131" s="5" t="s">
        <v>15</v>
      </c>
      <c r="C131" s="5" t="s">
        <v>14</v>
      </c>
      <c r="D131" s="5" t="s">
        <v>13</v>
      </c>
      <c r="E131" s="5" t="s">
        <v>12</v>
      </c>
      <c r="F131" s="5" t="s">
        <v>94</v>
      </c>
      <c r="G131" s="5" t="s">
        <v>95</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09:J109"/>
    <mergeCell ref="M124:M125"/>
    <mergeCell ref="M126:M127"/>
    <mergeCell ref="A130:J130"/>
    <mergeCell ref="A27:J27"/>
    <mergeCell ref="A47:J47"/>
    <mergeCell ref="M62:M63"/>
    <mergeCell ref="M64:M65"/>
    <mergeCell ref="A68:J68"/>
    <mergeCell ref="A89:J89"/>
    <mergeCell ref="A1:M1"/>
    <mergeCell ref="A2:M2"/>
    <mergeCell ref="A3:M3"/>
    <mergeCell ref="A4:M4"/>
    <mergeCell ref="A6:J6"/>
    <mergeCell ref="L6:M6"/>
  </mergeCells>
  <pageMargins left="0.7" right="0.7" top="0.75" bottom="0.75" header="0.3" footer="0.3"/>
  <pageSetup scale="3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Q158"/>
  <sheetViews>
    <sheetView workbookViewId="0">
      <selection sqref="A1:M1"/>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62" t="s">
        <v>17</v>
      </c>
      <c r="B1" s="162"/>
      <c r="C1" s="162"/>
      <c r="D1" s="162"/>
      <c r="E1" s="162"/>
      <c r="F1" s="162"/>
      <c r="G1" s="162"/>
      <c r="H1" s="162"/>
      <c r="I1" s="162"/>
      <c r="J1" s="162"/>
      <c r="K1" s="162"/>
      <c r="L1" s="162"/>
      <c r="M1" s="162"/>
      <c r="O1" s="31"/>
    </row>
    <row r="2" spans="1:15" ht="15.75" x14ac:dyDescent="0.25">
      <c r="A2" s="163" t="s">
        <v>225</v>
      </c>
      <c r="B2" s="163"/>
      <c r="C2" s="163"/>
      <c r="D2" s="163"/>
      <c r="E2" s="163"/>
      <c r="F2" s="163"/>
      <c r="G2" s="163"/>
      <c r="H2" s="163"/>
      <c r="I2" s="163"/>
      <c r="J2" s="163"/>
      <c r="K2" s="163"/>
      <c r="L2" s="163"/>
      <c r="M2" s="163"/>
      <c r="O2" s="31"/>
    </row>
    <row r="3" spans="1:15" x14ac:dyDescent="0.25">
      <c r="A3" s="164" t="s">
        <v>31</v>
      </c>
      <c r="B3" s="164"/>
      <c r="C3" s="164"/>
      <c r="D3" s="164"/>
      <c r="E3" s="164"/>
      <c r="F3" s="164"/>
      <c r="G3" s="164"/>
      <c r="H3" s="164"/>
      <c r="I3" s="164"/>
      <c r="J3" s="164"/>
      <c r="K3" s="164"/>
      <c r="L3" s="164"/>
      <c r="M3" s="164"/>
    </row>
    <row r="4" spans="1:15" x14ac:dyDescent="0.25">
      <c r="A4" s="167">
        <f>'Company Summary'!A4:J4</f>
        <v>45199</v>
      </c>
      <c r="B4" s="167"/>
      <c r="C4" s="167"/>
      <c r="D4" s="167"/>
      <c r="E4" s="167"/>
      <c r="F4" s="167"/>
      <c r="G4" s="167"/>
      <c r="H4" s="167"/>
      <c r="I4" s="167"/>
      <c r="J4" s="167"/>
      <c r="K4" s="167"/>
      <c r="L4" s="167"/>
      <c r="M4" s="167"/>
    </row>
    <row r="5" spans="1:15" ht="15.75" thickBot="1" x14ac:dyDescent="0.3">
      <c r="A5" s="80"/>
      <c r="B5" s="80"/>
      <c r="C5" s="80"/>
      <c r="D5" s="80"/>
      <c r="E5" s="80"/>
      <c r="F5" s="80"/>
      <c r="G5" s="80"/>
      <c r="H5" s="80"/>
      <c r="I5" s="80"/>
      <c r="J5" s="80"/>
      <c r="K5" s="80"/>
      <c r="L5" s="80"/>
      <c r="M5" s="80"/>
    </row>
    <row r="6" spans="1:15" ht="15.75" thickBot="1" x14ac:dyDescent="0.3">
      <c r="A6" s="150" t="s">
        <v>54</v>
      </c>
      <c r="B6" s="151"/>
      <c r="C6" s="151"/>
      <c r="D6" s="151"/>
      <c r="E6" s="151"/>
      <c r="F6" s="151"/>
      <c r="G6" s="151"/>
      <c r="H6" s="151"/>
      <c r="I6" s="151"/>
      <c r="J6" s="152"/>
      <c r="L6" s="166"/>
      <c r="M6" s="166"/>
    </row>
    <row r="7" spans="1:15" x14ac:dyDescent="0.25">
      <c r="A7" s="4" t="s">
        <v>16</v>
      </c>
      <c r="B7" s="5" t="s">
        <v>15</v>
      </c>
      <c r="C7" s="5" t="s">
        <v>14</v>
      </c>
      <c r="D7" s="5" t="s">
        <v>13</v>
      </c>
      <c r="E7" s="5" t="s">
        <v>12</v>
      </c>
      <c r="F7" s="5" t="s">
        <v>94</v>
      </c>
      <c r="G7" s="5" t="s">
        <v>95</v>
      </c>
      <c r="H7" s="5" t="s">
        <v>38</v>
      </c>
      <c r="I7" s="5" t="s">
        <v>9</v>
      </c>
      <c r="J7" s="5" t="s">
        <v>0</v>
      </c>
      <c r="L7" s="4"/>
      <c r="M7" s="4"/>
    </row>
    <row r="8" spans="1:15" x14ac:dyDescent="0.25">
      <c r="A8" s="1" t="s">
        <v>49</v>
      </c>
      <c r="B8" s="33">
        <f>'Agile AR Aging &lt;-INPUT'!C335</f>
        <v>0</v>
      </c>
      <c r="C8" s="33">
        <f>'Agile AR Aging &lt;-INPUT'!D335</f>
        <v>0</v>
      </c>
      <c r="D8" s="33">
        <f>'Agile AR Aging &lt;-INPUT'!E335</f>
        <v>0</v>
      </c>
      <c r="E8" s="33">
        <f>'Agile AR Aging &lt;-INPUT'!F335</f>
        <v>0</v>
      </c>
      <c r="F8" s="33">
        <f>'Agile AR Aging &lt;-INPUT'!G335</f>
        <v>0</v>
      </c>
      <c r="G8" s="33">
        <f>'Agile AR Aging &lt;-INPUT'!H335</f>
        <v>0</v>
      </c>
      <c r="H8" s="33">
        <f>'Agile AR Aging &lt;-INPUT'!I335</f>
        <v>0</v>
      </c>
      <c r="I8" s="33">
        <f>'Agile AR Aging &lt;-INPUT'!J335</f>
        <v>0</v>
      </c>
      <c r="J8" s="2">
        <f t="shared" ref="J8:J24" si="0">SUM(B8:H8)</f>
        <v>0</v>
      </c>
      <c r="L8" s="67"/>
    </row>
    <row r="9" spans="1:15" x14ac:dyDescent="0.25">
      <c r="A9" s="1" t="s">
        <v>8</v>
      </c>
      <c r="B9" s="33">
        <f>'Agile AR Aging &lt;-INPUT'!C336</f>
        <v>0</v>
      </c>
      <c r="C9" s="33">
        <f>'Agile AR Aging &lt;-INPUT'!D336</f>
        <v>0</v>
      </c>
      <c r="D9" s="33">
        <f>'Agile AR Aging &lt;-INPUT'!E336</f>
        <v>0</v>
      </c>
      <c r="E9" s="33">
        <f>'Agile AR Aging &lt;-INPUT'!F336</f>
        <v>0</v>
      </c>
      <c r="F9" s="33">
        <f>'Agile AR Aging &lt;-INPUT'!G336</f>
        <v>0</v>
      </c>
      <c r="G9" s="33">
        <f>'Agile AR Aging &lt;-INPUT'!H336</f>
        <v>0</v>
      </c>
      <c r="H9" s="33">
        <f>'Agile AR Aging &lt;-INPUT'!I336</f>
        <v>0</v>
      </c>
      <c r="I9" s="33">
        <f>'Agile AR Aging &lt;-INPUT'!J336</f>
        <v>0</v>
      </c>
      <c r="J9" s="2">
        <f t="shared" si="0"/>
        <v>0</v>
      </c>
      <c r="L9" s="67"/>
      <c r="N9" s="68"/>
    </row>
    <row r="10" spans="1:15" x14ac:dyDescent="0.25">
      <c r="A10" s="1" t="s">
        <v>7</v>
      </c>
      <c r="B10" s="33">
        <f>'Agile AR Aging &lt;-INPUT'!C337</f>
        <v>0</v>
      </c>
      <c r="C10" s="33">
        <f>'Agile AR Aging &lt;-INPUT'!D337</f>
        <v>0</v>
      </c>
      <c r="D10" s="33">
        <f>'Agile AR Aging &lt;-INPUT'!E337</f>
        <v>0</v>
      </c>
      <c r="E10" s="33">
        <f>'Agile AR Aging &lt;-INPUT'!F337</f>
        <v>0</v>
      </c>
      <c r="F10" s="33">
        <f>'Agile AR Aging &lt;-INPUT'!G337</f>
        <v>0</v>
      </c>
      <c r="G10" s="33">
        <f>'Agile AR Aging &lt;-INPUT'!H337</f>
        <v>0</v>
      </c>
      <c r="H10" s="33">
        <f>'Agile AR Aging &lt;-INPUT'!I337</f>
        <v>0</v>
      </c>
      <c r="I10" s="33">
        <f>'Agile AR Aging &lt;-INPUT'!J337</f>
        <v>0</v>
      </c>
      <c r="J10" s="2">
        <f t="shared" si="0"/>
        <v>0</v>
      </c>
      <c r="L10" s="67"/>
      <c r="N10" s="68"/>
    </row>
    <row r="11" spans="1:15" x14ac:dyDescent="0.25">
      <c r="A11" s="1" t="s">
        <v>42</v>
      </c>
      <c r="B11" s="33">
        <f>'Agile AR Aging &lt;-INPUT'!C338</f>
        <v>0</v>
      </c>
      <c r="C11" s="33">
        <f>'Agile AR Aging &lt;-INPUT'!D338</f>
        <v>0</v>
      </c>
      <c r="D11" s="33">
        <f>'Agile AR Aging &lt;-INPUT'!E338</f>
        <v>0</v>
      </c>
      <c r="E11" s="33">
        <f>'Agile AR Aging &lt;-INPUT'!F338</f>
        <v>0</v>
      </c>
      <c r="F11" s="33">
        <f>'Agile AR Aging &lt;-INPUT'!G338</f>
        <v>0</v>
      </c>
      <c r="G11" s="33">
        <f>'Agile AR Aging &lt;-INPUT'!H338</f>
        <v>0</v>
      </c>
      <c r="H11" s="33">
        <f>'Agile AR Aging &lt;-INPUT'!I338</f>
        <v>0</v>
      </c>
      <c r="I11" s="33">
        <f>'Agile AR Aging &lt;-INPUT'!J338</f>
        <v>0</v>
      </c>
      <c r="J11" s="2">
        <f t="shared" si="0"/>
        <v>0</v>
      </c>
      <c r="L11" s="67"/>
      <c r="N11" s="68"/>
    </row>
    <row r="12" spans="1:15" x14ac:dyDescent="0.25">
      <c r="A12" s="1" t="s">
        <v>6</v>
      </c>
      <c r="B12" s="33">
        <f>'Agile AR Aging &lt;-INPUT'!C339+'Agile AR Aging &lt;-INPUT'!C340+'Agile AR Aging &lt;-INPUT'!C347+'Agile AR Aging &lt;-INPUT'!C353</f>
        <v>0</v>
      </c>
      <c r="C12" s="33">
        <f>'Agile AR Aging &lt;-INPUT'!D339+'Agile AR Aging &lt;-INPUT'!D340+'Agile AR Aging &lt;-INPUT'!D347+'Agile AR Aging &lt;-INPUT'!D353</f>
        <v>0</v>
      </c>
      <c r="D12" s="33">
        <f>'Agile AR Aging &lt;-INPUT'!E339+'Agile AR Aging &lt;-INPUT'!E340+'Agile AR Aging &lt;-INPUT'!E347+'Agile AR Aging &lt;-INPUT'!E353</f>
        <v>0</v>
      </c>
      <c r="E12" s="33">
        <f>'Agile AR Aging &lt;-INPUT'!F339+'Agile AR Aging &lt;-INPUT'!F340+'Agile AR Aging &lt;-INPUT'!F347+'Agile AR Aging &lt;-INPUT'!F353</f>
        <v>0</v>
      </c>
      <c r="F12" s="33">
        <f>'Agile AR Aging &lt;-INPUT'!G339+'Agile AR Aging &lt;-INPUT'!G340+'Agile AR Aging &lt;-INPUT'!G347+'Agile AR Aging &lt;-INPUT'!G353</f>
        <v>0</v>
      </c>
      <c r="G12" s="33">
        <f>'Agile AR Aging &lt;-INPUT'!H339+'Agile AR Aging &lt;-INPUT'!H340+'Agile AR Aging &lt;-INPUT'!H347+'Agile AR Aging &lt;-INPUT'!H353</f>
        <v>0</v>
      </c>
      <c r="H12" s="33">
        <f>'Agile AR Aging &lt;-INPUT'!I339+'Agile AR Aging &lt;-INPUT'!I340+'Agile AR Aging &lt;-INPUT'!I347+'Agile AR Aging &lt;-INPUT'!I353</f>
        <v>0</v>
      </c>
      <c r="I12" s="33">
        <f>'Agile AR Aging &lt;-INPUT'!J339+'Agile AR Aging &lt;-INPUT'!J340+'Agile AR Aging &lt;-INPUT'!J347+'Agile AR Aging &lt;-INPUT'!J353</f>
        <v>0</v>
      </c>
      <c r="J12" s="2">
        <f t="shared" si="0"/>
        <v>0</v>
      </c>
      <c r="L12" s="72"/>
      <c r="N12" s="68"/>
    </row>
    <row r="13" spans="1:15" x14ac:dyDescent="0.25">
      <c r="A13" s="1" t="s">
        <v>50</v>
      </c>
      <c r="B13" s="33">
        <f>'Agile AR Aging &lt;-INPUT'!C341</f>
        <v>0</v>
      </c>
      <c r="C13" s="33">
        <f>'Agile AR Aging &lt;-INPUT'!D341</f>
        <v>0</v>
      </c>
      <c r="D13" s="33">
        <f>'Agile AR Aging &lt;-INPUT'!E341</f>
        <v>0</v>
      </c>
      <c r="E13" s="33">
        <f>'Agile AR Aging &lt;-INPUT'!F341</f>
        <v>0</v>
      </c>
      <c r="F13" s="33">
        <f>'Agile AR Aging &lt;-INPUT'!G341</f>
        <v>0</v>
      </c>
      <c r="G13" s="33">
        <f>'Agile AR Aging &lt;-INPUT'!H341</f>
        <v>0</v>
      </c>
      <c r="H13" s="33">
        <f>'Agile AR Aging &lt;-INPUT'!I341</f>
        <v>0</v>
      </c>
      <c r="I13" s="33">
        <f>'Agile AR Aging &lt;-INPUT'!J341</f>
        <v>0</v>
      </c>
      <c r="J13" s="2">
        <f t="shared" si="0"/>
        <v>0</v>
      </c>
      <c r="L13" s="72"/>
      <c r="N13" s="68"/>
    </row>
    <row r="14" spans="1:15" x14ac:dyDescent="0.25">
      <c r="A14" s="1" t="s">
        <v>89</v>
      </c>
      <c r="B14" s="33">
        <f>'Agile AR Aging &lt;-INPUT'!C342</f>
        <v>0</v>
      </c>
      <c r="C14" s="33">
        <f>'Agile AR Aging &lt;-INPUT'!D342</f>
        <v>0</v>
      </c>
      <c r="D14" s="33">
        <f>'Agile AR Aging &lt;-INPUT'!E342</f>
        <v>0</v>
      </c>
      <c r="E14" s="33">
        <f>'Agile AR Aging &lt;-INPUT'!F342</f>
        <v>0</v>
      </c>
      <c r="F14" s="33">
        <f>'Agile AR Aging &lt;-INPUT'!G342</f>
        <v>0</v>
      </c>
      <c r="G14" s="33">
        <f>'Agile AR Aging &lt;-INPUT'!H342</f>
        <v>0</v>
      </c>
      <c r="H14" s="33">
        <f>'Agile AR Aging &lt;-INPUT'!I342</f>
        <v>0</v>
      </c>
      <c r="I14" s="33">
        <f>'Agile AR Aging &lt;-INPUT'!J342</f>
        <v>0</v>
      </c>
      <c r="J14" s="2">
        <f t="shared" si="0"/>
        <v>0</v>
      </c>
      <c r="L14" s="72"/>
      <c r="N14" s="68"/>
    </row>
    <row r="15" spans="1:15" x14ac:dyDescent="0.25">
      <c r="A15" s="1" t="s">
        <v>5</v>
      </c>
      <c r="B15" s="33">
        <f>'Agile AR Aging &lt;-INPUT'!C343</f>
        <v>0</v>
      </c>
      <c r="C15" s="33">
        <f>'Agile AR Aging &lt;-INPUT'!D343</f>
        <v>0</v>
      </c>
      <c r="D15" s="33">
        <f>'Agile AR Aging &lt;-INPUT'!E343</f>
        <v>0</v>
      </c>
      <c r="E15" s="33">
        <f>'Agile AR Aging &lt;-INPUT'!F343</f>
        <v>0</v>
      </c>
      <c r="F15" s="33">
        <f>'Agile AR Aging &lt;-INPUT'!G343</f>
        <v>0</v>
      </c>
      <c r="G15" s="33">
        <f>'Agile AR Aging &lt;-INPUT'!H343</f>
        <v>0</v>
      </c>
      <c r="H15" s="33">
        <f>'Agile AR Aging &lt;-INPUT'!I343</f>
        <v>0</v>
      </c>
      <c r="I15" s="33">
        <f>'Agile AR Aging &lt;-INPUT'!J343</f>
        <v>0</v>
      </c>
      <c r="J15" s="2">
        <f t="shared" si="0"/>
        <v>0</v>
      </c>
      <c r="L15" s="72"/>
      <c r="N15" s="68"/>
    </row>
    <row r="16" spans="1:15" x14ac:dyDescent="0.25">
      <c r="A16" s="1" t="s">
        <v>84</v>
      </c>
      <c r="B16" s="33">
        <f>'Agile AR Aging &lt;-INPUT'!C344</f>
        <v>0</v>
      </c>
      <c r="C16" s="33">
        <f>'Agile AR Aging &lt;-INPUT'!D344</f>
        <v>0</v>
      </c>
      <c r="D16" s="33">
        <f>'Agile AR Aging &lt;-INPUT'!E344</f>
        <v>0</v>
      </c>
      <c r="E16" s="33">
        <f>'Agile AR Aging &lt;-INPUT'!F344</f>
        <v>0</v>
      </c>
      <c r="F16" s="33">
        <f>'Agile AR Aging &lt;-INPUT'!G344</f>
        <v>0</v>
      </c>
      <c r="G16" s="33">
        <f>'Agile AR Aging &lt;-INPUT'!H344</f>
        <v>0</v>
      </c>
      <c r="H16" s="33">
        <f>'Agile AR Aging &lt;-INPUT'!I344</f>
        <v>0</v>
      </c>
      <c r="I16" s="33">
        <f>'Agile AR Aging &lt;-INPUT'!J344</f>
        <v>0</v>
      </c>
      <c r="J16" s="2">
        <f t="shared" si="0"/>
        <v>0</v>
      </c>
      <c r="L16" s="72"/>
      <c r="N16" s="68"/>
    </row>
    <row r="17" spans="1:17" x14ac:dyDescent="0.25">
      <c r="A17" s="1" t="s">
        <v>4</v>
      </c>
      <c r="B17" s="33">
        <f>'Agile AR Aging &lt;-INPUT'!C345</f>
        <v>0</v>
      </c>
      <c r="C17" s="33">
        <f>'Agile AR Aging &lt;-INPUT'!D345</f>
        <v>0</v>
      </c>
      <c r="D17" s="33">
        <f>'Agile AR Aging &lt;-INPUT'!E345</f>
        <v>0</v>
      </c>
      <c r="E17" s="33">
        <f>'Agile AR Aging &lt;-INPUT'!F345</f>
        <v>0</v>
      </c>
      <c r="F17" s="33">
        <f>'Agile AR Aging &lt;-INPUT'!G345</f>
        <v>0</v>
      </c>
      <c r="G17" s="33">
        <f>'Agile AR Aging &lt;-INPUT'!H345</f>
        <v>0</v>
      </c>
      <c r="H17" s="33">
        <f>'Agile AR Aging &lt;-INPUT'!I345</f>
        <v>0</v>
      </c>
      <c r="I17" s="33">
        <f>'Agile AR Aging &lt;-INPUT'!J345</f>
        <v>0</v>
      </c>
      <c r="J17" s="2">
        <f t="shared" si="0"/>
        <v>0</v>
      </c>
      <c r="L17" s="72"/>
      <c r="N17" s="68"/>
    </row>
    <row r="18" spans="1:17" x14ac:dyDescent="0.25">
      <c r="A18" s="1" t="s">
        <v>51</v>
      </c>
      <c r="B18" s="33">
        <f>'Agile AR Aging &lt;-INPUT'!C346</f>
        <v>0</v>
      </c>
      <c r="C18" s="33">
        <f>'Agile AR Aging &lt;-INPUT'!D346</f>
        <v>0</v>
      </c>
      <c r="D18" s="33">
        <f>'Agile AR Aging &lt;-INPUT'!E346</f>
        <v>0</v>
      </c>
      <c r="E18" s="33">
        <f>'Agile AR Aging &lt;-INPUT'!F346</f>
        <v>0</v>
      </c>
      <c r="F18" s="33">
        <f>'Agile AR Aging &lt;-INPUT'!G346</f>
        <v>0</v>
      </c>
      <c r="G18" s="33">
        <f>'Agile AR Aging &lt;-INPUT'!H346</f>
        <v>0</v>
      </c>
      <c r="H18" s="33">
        <f>'Agile AR Aging &lt;-INPUT'!I346</f>
        <v>0</v>
      </c>
      <c r="I18" s="33">
        <f>'Agile AR Aging &lt;-INPUT'!J346</f>
        <v>0</v>
      </c>
      <c r="J18" s="2">
        <f t="shared" si="0"/>
        <v>0</v>
      </c>
      <c r="L18" s="72"/>
      <c r="N18" s="68"/>
    </row>
    <row r="19" spans="1:17" x14ac:dyDescent="0.25">
      <c r="A19" s="1" t="s">
        <v>85</v>
      </c>
      <c r="B19" s="33">
        <f>'Agile AR Aging &lt;-INPUT'!C348</f>
        <v>0</v>
      </c>
      <c r="C19" s="33">
        <f>'Agile AR Aging &lt;-INPUT'!D348</f>
        <v>0</v>
      </c>
      <c r="D19" s="33">
        <f>'Agile AR Aging &lt;-INPUT'!E348</f>
        <v>0</v>
      </c>
      <c r="E19" s="33">
        <f>'Agile AR Aging &lt;-INPUT'!F348</f>
        <v>0</v>
      </c>
      <c r="F19" s="33">
        <f>'Agile AR Aging &lt;-INPUT'!G348</f>
        <v>0</v>
      </c>
      <c r="G19" s="33">
        <f>'Agile AR Aging &lt;-INPUT'!H348</f>
        <v>0</v>
      </c>
      <c r="H19" s="33">
        <f>'Agile AR Aging &lt;-INPUT'!I348</f>
        <v>0</v>
      </c>
      <c r="I19" s="33">
        <f>'Agile AR Aging &lt;-INPUT'!J348</f>
        <v>0</v>
      </c>
      <c r="J19" s="2">
        <f t="shared" si="0"/>
        <v>0</v>
      </c>
      <c r="L19" s="72"/>
      <c r="N19" s="68"/>
    </row>
    <row r="20" spans="1:17" x14ac:dyDescent="0.25">
      <c r="A20" s="1" t="s">
        <v>2</v>
      </c>
      <c r="B20" s="33">
        <f>'Agile AR Aging &lt;-INPUT'!C349</f>
        <v>0</v>
      </c>
      <c r="C20" s="33">
        <f>'Agile AR Aging &lt;-INPUT'!D349</f>
        <v>0</v>
      </c>
      <c r="D20" s="33">
        <f>'Agile AR Aging &lt;-INPUT'!E349</f>
        <v>0</v>
      </c>
      <c r="E20" s="33">
        <f>'Agile AR Aging &lt;-INPUT'!F349</f>
        <v>0</v>
      </c>
      <c r="F20" s="33">
        <f>'Agile AR Aging &lt;-INPUT'!G349</f>
        <v>0</v>
      </c>
      <c r="G20" s="33">
        <f>'Agile AR Aging &lt;-INPUT'!H349</f>
        <v>0</v>
      </c>
      <c r="H20" s="33">
        <f>'Agile AR Aging &lt;-INPUT'!I349</f>
        <v>0</v>
      </c>
      <c r="I20" s="33">
        <f>'Agile AR Aging &lt;-INPUT'!J349</f>
        <v>0</v>
      </c>
      <c r="J20" s="2">
        <f t="shared" si="0"/>
        <v>0</v>
      </c>
      <c r="L20" s="72"/>
      <c r="N20" s="68"/>
    </row>
    <row r="21" spans="1:17" x14ac:dyDescent="0.25">
      <c r="A21" s="1" t="s">
        <v>86</v>
      </c>
      <c r="B21" s="33">
        <f>'Agile AR Aging &lt;-INPUT'!C350</f>
        <v>0</v>
      </c>
      <c r="C21" s="33">
        <f>'Agile AR Aging &lt;-INPUT'!D350</f>
        <v>0</v>
      </c>
      <c r="D21" s="33">
        <f>'Agile AR Aging &lt;-INPUT'!E350</f>
        <v>0</v>
      </c>
      <c r="E21" s="33">
        <f>'Agile AR Aging &lt;-INPUT'!F350</f>
        <v>0</v>
      </c>
      <c r="F21" s="33">
        <f>'Agile AR Aging &lt;-INPUT'!G350</f>
        <v>0</v>
      </c>
      <c r="G21" s="33">
        <f>'Agile AR Aging &lt;-INPUT'!H350</f>
        <v>0</v>
      </c>
      <c r="H21" s="33">
        <f>'Agile AR Aging &lt;-INPUT'!I350</f>
        <v>0</v>
      </c>
      <c r="I21" s="33">
        <f>'Agile AR Aging &lt;-INPUT'!J350</f>
        <v>0</v>
      </c>
      <c r="J21" s="2">
        <f t="shared" si="0"/>
        <v>0</v>
      </c>
      <c r="L21" s="72"/>
      <c r="N21" s="68"/>
    </row>
    <row r="22" spans="1:17" x14ac:dyDescent="0.25">
      <c r="A22" s="1" t="s">
        <v>29</v>
      </c>
      <c r="B22" s="33">
        <f>'Agile AR Aging &lt;-INPUT'!C351</f>
        <v>0</v>
      </c>
      <c r="C22" s="33">
        <f>'Agile AR Aging &lt;-INPUT'!D351</f>
        <v>0</v>
      </c>
      <c r="D22" s="33">
        <f>'Agile AR Aging &lt;-INPUT'!E351</f>
        <v>0</v>
      </c>
      <c r="E22" s="33">
        <f>'Agile AR Aging &lt;-INPUT'!F351</f>
        <v>0</v>
      </c>
      <c r="F22" s="33">
        <f>'Agile AR Aging &lt;-INPUT'!G351</f>
        <v>0</v>
      </c>
      <c r="G22" s="33">
        <f>'Agile AR Aging &lt;-INPUT'!H351</f>
        <v>0</v>
      </c>
      <c r="H22" s="33">
        <f>'Agile AR Aging &lt;-INPUT'!I351</f>
        <v>0</v>
      </c>
      <c r="I22" s="33">
        <f>'Agile AR Aging &lt;-INPUT'!J351</f>
        <v>0</v>
      </c>
      <c r="J22" s="2">
        <f t="shared" si="0"/>
        <v>0</v>
      </c>
      <c r="L22" s="72"/>
      <c r="N22" s="68"/>
    </row>
    <row r="23" spans="1:17" x14ac:dyDescent="0.25">
      <c r="A23" s="1" t="s">
        <v>52</v>
      </c>
      <c r="B23" s="33">
        <f>'Agile AR Aging &lt;-INPUT'!C352</f>
        <v>0</v>
      </c>
      <c r="C23" s="33">
        <f>'Agile AR Aging &lt;-INPUT'!D352</f>
        <v>0</v>
      </c>
      <c r="D23" s="33">
        <f>'Agile AR Aging &lt;-INPUT'!E352</f>
        <v>0</v>
      </c>
      <c r="E23" s="33">
        <f>'Agile AR Aging &lt;-INPUT'!F352</f>
        <v>0</v>
      </c>
      <c r="F23" s="33">
        <f>'Agile AR Aging &lt;-INPUT'!G352</f>
        <v>0</v>
      </c>
      <c r="G23" s="33">
        <f>'Agile AR Aging &lt;-INPUT'!H352</f>
        <v>0</v>
      </c>
      <c r="H23" s="33">
        <f>'Agile AR Aging &lt;-INPUT'!I352</f>
        <v>0</v>
      </c>
      <c r="I23" s="33">
        <f>'Agile AR Aging &lt;-INPUT'!J352</f>
        <v>0</v>
      </c>
      <c r="J23" s="2">
        <f t="shared" si="0"/>
        <v>0</v>
      </c>
      <c r="L23" s="72"/>
      <c r="N23" s="68"/>
    </row>
    <row r="24" spans="1:17" x14ac:dyDescent="0.25">
      <c r="A24" s="1" t="s">
        <v>1</v>
      </c>
      <c r="B24" s="32">
        <f>'Agile AR Aging &lt;-INPUT'!C354</f>
        <v>0</v>
      </c>
      <c r="C24" s="32">
        <f>'Agile AR Aging &lt;-INPUT'!D354</f>
        <v>0</v>
      </c>
      <c r="D24" s="32">
        <f>'Agile AR Aging &lt;-INPUT'!E354</f>
        <v>0</v>
      </c>
      <c r="E24" s="32">
        <f>'Agile AR Aging &lt;-INPUT'!F354</f>
        <v>0</v>
      </c>
      <c r="F24" s="32">
        <f>'Agile AR Aging &lt;-INPUT'!G354</f>
        <v>0</v>
      </c>
      <c r="G24" s="32">
        <f>'Agile AR Aging &lt;-INPUT'!H354</f>
        <v>0</v>
      </c>
      <c r="H24" s="32">
        <f>'Agile AR Aging &lt;-INPUT'!I354</f>
        <v>0</v>
      </c>
      <c r="I24" s="32">
        <f>'Agile AR Aging &lt;-INPUT'!J354</f>
        <v>0</v>
      </c>
      <c r="J24" s="9">
        <f t="shared" si="0"/>
        <v>0</v>
      </c>
      <c r="L24" s="72"/>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53" t="s">
        <v>55</v>
      </c>
      <c r="B27" s="154"/>
      <c r="C27" s="154"/>
      <c r="D27" s="154"/>
      <c r="E27" s="154"/>
      <c r="F27" s="154"/>
      <c r="G27" s="154"/>
      <c r="H27" s="154"/>
      <c r="I27" s="154"/>
      <c r="J27" s="155"/>
      <c r="Q27" s="1"/>
    </row>
    <row r="28" spans="1:17" x14ac:dyDescent="0.25">
      <c r="A28" s="4" t="s">
        <v>16</v>
      </c>
      <c r="B28" s="5" t="s">
        <v>15</v>
      </c>
      <c r="C28" s="5" t="s">
        <v>14</v>
      </c>
      <c r="D28" s="5" t="s">
        <v>13</v>
      </c>
      <c r="E28" s="5" t="s">
        <v>12</v>
      </c>
      <c r="F28" s="5" t="s">
        <v>94</v>
      </c>
      <c r="G28" s="5" t="s">
        <v>95</v>
      </c>
      <c r="H28" s="5" t="s">
        <v>38</v>
      </c>
      <c r="I28" s="5" t="s">
        <v>9</v>
      </c>
      <c r="J28" s="5" t="s">
        <v>0</v>
      </c>
      <c r="Q28" s="1"/>
    </row>
    <row r="29" spans="1:17" x14ac:dyDescent="0.25">
      <c r="A29" s="1" t="s">
        <v>49</v>
      </c>
      <c r="B29" s="36">
        <f>'Reimbursement Rates &lt;-INPUT'!N9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&lt;-INPUT'!N10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&lt;-INPUT'!N11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&lt;-INPUT'!N12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&lt;-INPUT'!N13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&lt;-INPUT'!N15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&lt;-INPUT'!N16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&lt;-INPUT'!N17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&lt;-INPUT'!N18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&lt;-INPUT'!N19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&lt;-INPUT'!N20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&lt;-INPUT'!N22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&lt;-INPUT'!N23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&lt;-INPUT'!N24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&lt;-INPUT'!N25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&lt;-INPUT'!N26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&lt;-INPUT'!N28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50" t="s">
        <v>33</v>
      </c>
      <c r="B47" s="151"/>
      <c r="C47" s="151"/>
      <c r="D47" s="151"/>
      <c r="E47" s="151"/>
      <c r="F47" s="151"/>
      <c r="G47" s="151"/>
      <c r="H47" s="151"/>
      <c r="I47" s="151"/>
      <c r="J47" s="152"/>
      <c r="M47" s="7"/>
      <c r="Q47" s="1"/>
    </row>
    <row r="48" spans="1:17" x14ac:dyDescent="0.25">
      <c r="A48" s="4" t="s">
        <v>16</v>
      </c>
      <c r="B48" s="5" t="s">
        <v>15</v>
      </c>
      <c r="C48" s="5" t="s">
        <v>14</v>
      </c>
      <c r="D48" s="5" t="s">
        <v>13</v>
      </c>
      <c r="E48" s="5" t="s">
        <v>12</v>
      </c>
      <c r="F48" s="5" t="s">
        <v>94</v>
      </c>
      <c r="G48" s="5" t="s">
        <v>95</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68"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68"/>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68"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69"/>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95">
        <v>60000</v>
      </c>
      <c r="M66" s="7">
        <f>J66-L66</f>
        <v>-60000</v>
      </c>
    </row>
    <row r="67" spans="1:13" ht="15.75" thickBot="1" x14ac:dyDescent="0.3">
      <c r="A67" s="1"/>
      <c r="B67" s="9"/>
      <c r="C67" s="9"/>
      <c r="D67" s="9"/>
      <c r="E67" s="9"/>
      <c r="F67" s="9"/>
      <c r="G67" s="9"/>
      <c r="H67" s="9"/>
      <c r="I67" s="9"/>
      <c r="J67" s="9"/>
      <c r="M67" s="7"/>
    </row>
    <row r="68" spans="1:13" ht="15.75" thickBot="1" x14ac:dyDescent="0.3">
      <c r="A68" s="150" t="s">
        <v>64</v>
      </c>
      <c r="B68" s="151"/>
      <c r="C68" s="151"/>
      <c r="D68" s="151"/>
      <c r="E68" s="151"/>
      <c r="F68" s="151"/>
      <c r="G68" s="151"/>
      <c r="H68" s="151"/>
      <c r="I68" s="151"/>
      <c r="J68" s="152"/>
      <c r="M68" s="7"/>
    </row>
    <row r="69" spans="1:13" x14ac:dyDescent="0.25">
      <c r="A69" s="4" t="s">
        <v>16</v>
      </c>
      <c r="B69" s="5" t="s">
        <v>15</v>
      </c>
      <c r="C69" s="5" t="s">
        <v>14</v>
      </c>
      <c r="D69" s="5" t="s">
        <v>13</v>
      </c>
      <c r="E69" s="5" t="s">
        <v>12</v>
      </c>
      <c r="F69" s="5" t="s">
        <v>94</v>
      </c>
      <c r="G69" s="5" t="s">
        <v>95</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53" t="s">
        <v>59</v>
      </c>
      <c r="B89" s="154"/>
      <c r="C89" s="154"/>
      <c r="D89" s="154"/>
      <c r="E89" s="154"/>
      <c r="F89" s="154"/>
      <c r="G89" s="154"/>
      <c r="H89" s="154"/>
      <c r="I89" s="154"/>
      <c r="J89" s="155"/>
      <c r="M89" s="7"/>
    </row>
    <row r="90" spans="1:13" x14ac:dyDescent="0.25">
      <c r="A90" s="4" t="s">
        <v>16</v>
      </c>
      <c r="B90" s="5" t="s">
        <v>15</v>
      </c>
      <c r="C90" s="5" t="s">
        <v>14</v>
      </c>
      <c r="D90" s="5" t="s">
        <v>13</v>
      </c>
      <c r="E90" s="5" t="s">
        <v>12</v>
      </c>
      <c r="F90" s="5" t="s">
        <v>94</v>
      </c>
      <c r="G90" s="5" t="s">
        <v>95</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50" t="s">
        <v>60</v>
      </c>
      <c r="B109" s="151"/>
      <c r="C109" s="151"/>
      <c r="D109" s="151"/>
      <c r="E109" s="151"/>
      <c r="F109" s="151"/>
      <c r="G109" s="151"/>
      <c r="H109" s="151"/>
      <c r="I109" s="151"/>
      <c r="J109" s="152"/>
      <c r="M109" s="7"/>
    </row>
    <row r="110" spans="1:13" x14ac:dyDescent="0.25">
      <c r="A110" s="4" t="s">
        <v>16</v>
      </c>
      <c r="B110" s="5" t="s">
        <v>15</v>
      </c>
      <c r="C110" s="5" t="s">
        <v>14</v>
      </c>
      <c r="D110" s="5" t="s">
        <v>13</v>
      </c>
      <c r="E110" s="5" t="s">
        <v>12</v>
      </c>
      <c r="F110" s="5" t="s">
        <v>94</v>
      </c>
      <c r="G110" s="5" t="s">
        <v>95</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68"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68"/>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152</v>
      </c>
      <c r="M126" s="168"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69"/>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95">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50" t="s">
        <v>30</v>
      </c>
      <c r="B130" s="151"/>
      <c r="C130" s="151"/>
      <c r="D130" s="151"/>
      <c r="E130" s="151"/>
      <c r="F130" s="151"/>
      <c r="G130" s="151"/>
      <c r="H130" s="151"/>
      <c r="I130" s="151"/>
      <c r="J130" s="152"/>
      <c r="M130" s="7"/>
    </row>
    <row r="131" spans="1:13" x14ac:dyDescent="0.25">
      <c r="A131" s="4" t="s">
        <v>16</v>
      </c>
      <c r="B131" s="5" t="s">
        <v>15</v>
      </c>
      <c r="C131" s="5" t="s">
        <v>14</v>
      </c>
      <c r="D131" s="5" t="s">
        <v>13</v>
      </c>
      <c r="E131" s="5" t="s">
        <v>12</v>
      </c>
      <c r="F131" s="5" t="s">
        <v>94</v>
      </c>
      <c r="G131" s="5" t="s">
        <v>95</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09:J109"/>
    <mergeCell ref="M124:M125"/>
    <mergeCell ref="M126:M127"/>
    <mergeCell ref="A130:J130"/>
    <mergeCell ref="A27:J27"/>
    <mergeCell ref="A47:J47"/>
    <mergeCell ref="M62:M63"/>
    <mergeCell ref="M64:M65"/>
    <mergeCell ref="A68:J68"/>
    <mergeCell ref="A89:J89"/>
    <mergeCell ref="A1:M1"/>
    <mergeCell ref="A2:M2"/>
    <mergeCell ref="A3:M3"/>
    <mergeCell ref="A4:M4"/>
    <mergeCell ref="A6:J6"/>
    <mergeCell ref="L6:M6"/>
  </mergeCells>
  <pageMargins left="0.7" right="0.7" top="0.75" bottom="0.75" header="0.3" footer="0.3"/>
  <pageSetup scale="3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Q158"/>
  <sheetViews>
    <sheetView workbookViewId="0">
      <selection sqref="A1:M1"/>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62" t="s">
        <v>17</v>
      </c>
      <c r="B1" s="162"/>
      <c r="C1" s="162"/>
      <c r="D1" s="162"/>
      <c r="E1" s="162"/>
      <c r="F1" s="162"/>
      <c r="G1" s="162"/>
      <c r="H1" s="162"/>
      <c r="I1" s="162"/>
      <c r="J1" s="162"/>
      <c r="K1" s="162"/>
      <c r="L1" s="162"/>
      <c r="M1" s="162"/>
      <c r="O1" s="31"/>
    </row>
    <row r="2" spans="1:15" ht="15.75" x14ac:dyDescent="0.25">
      <c r="A2" s="163" t="s">
        <v>225</v>
      </c>
      <c r="B2" s="163"/>
      <c r="C2" s="163"/>
      <c r="D2" s="163"/>
      <c r="E2" s="163"/>
      <c r="F2" s="163"/>
      <c r="G2" s="163"/>
      <c r="H2" s="163"/>
      <c r="I2" s="163"/>
      <c r="J2" s="163"/>
      <c r="K2" s="163"/>
      <c r="L2" s="163"/>
      <c r="M2" s="163"/>
      <c r="O2" s="31"/>
    </row>
    <row r="3" spans="1:15" x14ac:dyDescent="0.25">
      <c r="A3" s="164" t="s">
        <v>31</v>
      </c>
      <c r="B3" s="164"/>
      <c r="C3" s="164"/>
      <c r="D3" s="164"/>
      <c r="E3" s="164"/>
      <c r="F3" s="164"/>
      <c r="G3" s="164"/>
      <c r="H3" s="164"/>
      <c r="I3" s="164"/>
      <c r="J3" s="164"/>
      <c r="K3" s="164"/>
      <c r="L3" s="164"/>
      <c r="M3" s="164"/>
    </row>
    <row r="4" spans="1:15" x14ac:dyDescent="0.25">
      <c r="A4" s="167">
        <f>'Company Summary'!A4:J4</f>
        <v>45199</v>
      </c>
      <c r="B4" s="167"/>
      <c r="C4" s="167"/>
      <c r="D4" s="167"/>
      <c r="E4" s="167"/>
      <c r="F4" s="167"/>
      <c r="G4" s="167"/>
      <c r="H4" s="167"/>
      <c r="I4" s="167"/>
      <c r="J4" s="167"/>
      <c r="K4" s="167"/>
      <c r="L4" s="167"/>
      <c r="M4" s="167"/>
    </row>
    <row r="5" spans="1:15" ht="15.75" thickBot="1" x14ac:dyDescent="0.3">
      <c r="A5" s="80"/>
      <c r="B5" s="80"/>
      <c r="C5" s="80"/>
      <c r="D5" s="80"/>
      <c r="E5" s="80"/>
      <c r="F5" s="80"/>
      <c r="G5" s="80"/>
      <c r="H5" s="80"/>
      <c r="I5" s="80"/>
      <c r="J5" s="80"/>
      <c r="K5" s="80"/>
      <c r="L5" s="80"/>
      <c r="M5" s="80"/>
    </row>
    <row r="6" spans="1:15" ht="15.75" thickBot="1" x14ac:dyDescent="0.3">
      <c r="A6" s="150" t="s">
        <v>54</v>
      </c>
      <c r="B6" s="151"/>
      <c r="C6" s="151"/>
      <c r="D6" s="151"/>
      <c r="E6" s="151"/>
      <c r="F6" s="151"/>
      <c r="G6" s="151"/>
      <c r="H6" s="151"/>
      <c r="I6" s="151"/>
      <c r="J6" s="152"/>
      <c r="L6" s="166"/>
      <c r="M6" s="166"/>
    </row>
    <row r="7" spans="1:15" x14ac:dyDescent="0.25">
      <c r="A7" s="4" t="s">
        <v>16</v>
      </c>
      <c r="B7" s="5" t="s">
        <v>15</v>
      </c>
      <c r="C7" s="5" t="s">
        <v>14</v>
      </c>
      <c r="D7" s="5" t="s">
        <v>13</v>
      </c>
      <c r="E7" s="5" t="s">
        <v>12</v>
      </c>
      <c r="F7" s="5" t="s">
        <v>94</v>
      </c>
      <c r="G7" s="5" t="s">
        <v>95</v>
      </c>
      <c r="H7" s="5" t="s">
        <v>38</v>
      </c>
      <c r="I7" s="5" t="s">
        <v>9</v>
      </c>
      <c r="J7" s="5" t="s">
        <v>0</v>
      </c>
      <c r="L7" s="4"/>
      <c r="M7" s="4"/>
    </row>
    <row r="8" spans="1:15" x14ac:dyDescent="0.25">
      <c r="A8" s="1" t="s">
        <v>49</v>
      </c>
      <c r="B8" s="33">
        <f>'Agile AR Aging &lt;-INPUT'!C361</f>
        <v>0</v>
      </c>
      <c r="C8" s="33">
        <f>'Agile AR Aging &lt;-INPUT'!D361</f>
        <v>0</v>
      </c>
      <c r="D8" s="33">
        <f>'Agile AR Aging &lt;-INPUT'!E361</f>
        <v>0</v>
      </c>
      <c r="E8" s="33">
        <f>'Agile AR Aging &lt;-INPUT'!F361</f>
        <v>0</v>
      </c>
      <c r="F8" s="33">
        <f>'Agile AR Aging &lt;-INPUT'!G361</f>
        <v>0</v>
      </c>
      <c r="G8" s="33">
        <f>'Agile AR Aging &lt;-INPUT'!H361</f>
        <v>0</v>
      </c>
      <c r="H8" s="33">
        <f>'Agile AR Aging &lt;-INPUT'!I361</f>
        <v>0</v>
      </c>
      <c r="I8" s="33">
        <f>'Agile AR Aging &lt;-INPUT'!J361</f>
        <v>0</v>
      </c>
      <c r="J8" s="2">
        <f t="shared" ref="J8:J24" si="0">SUM(B8:H8)</f>
        <v>0</v>
      </c>
      <c r="L8" s="67"/>
    </row>
    <row r="9" spans="1:15" x14ac:dyDescent="0.25">
      <c r="A9" s="1" t="s">
        <v>8</v>
      </c>
      <c r="B9" s="33">
        <f>'Agile AR Aging &lt;-INPUT'!C362</f>
        <v>0</v>
      </c>
      <c r="C9" s="33">
        <f>'Agile AR Aging &lt;-INPUT'!D362</f>
        <v>0</v>
      </c>
      <c r="D9" s="33">
        <f>'Agile AR Aging &lt;-INPUT'!E362</f>
        <v>0</v>
      </c>
      <c r="E9" s="33">
        <f>'Agile AR Aging &lt;-INPUT'!F362</f>
        <v>0</v>
      </c>
      <c r="F9" s="33">
        <f>'Agile AR Aging &lt;-INPUT'!G362</f>
        <v>0</v>
      </c>
      <c r="G9" s="33">
        <f>'Agile AR Aging &lt;-INPUT'!H362</f>
        <v>0</v>
      </c>
      <c r="H9" s="33">
        <f>'Agile AR Aging &lt;-INPUT'!I362</f>
        <v>0</v>
      </c>
      <c r="I9" s="33">
        <f>'Agile AR Aging &lt;-INPUT'!J362</f>
        <v>0</v>
      </c>
      <c r="J9" s="2">
        <f t="shared" si="0"/>
        <v>0</v>
      </c>
      <c r="L9" s="67"/>
      <c r="N9" s="68"/>
    </row>
    <row r="10" spans="1:15" x14ac:dyDescent="0.25">
      <c r="A10" s="1" t="s">
        <v>7</v>
      </c>
      <c r="B10" s="33">
        <f>'Agile AR Aging &lt;-INPUT'!C363</f>
        <v>0</v>
      </c>
      <c r="C10" s="33">
        <f>'Agile AR Aging &lt;-INPUT'!D363</f>
        <v>0</v>
      </c>
      <c r="D10" s="33">
        <f>'Agile AR Aging &lt;-INPUT'!E363</f>
        <v>0</v>
      </c>
      <c r="E10" s="33">
        <f>'Agile AR Aging &lt;-INPUT'!F363</f>
        <v>0</v>
      </c>
      <c r="F10" s="33">
        <f>'Agile AR Aging &lt;-INPUT'!G363</f>
        <v>0</v>
      </c>
      <c r="G10" s="33">
        <f>'Agile AR Aging &lt;-INPUT'!H363</f>
        <v>0</v>
      </c>
      <c r="H10" s="33">
        <f>'Agile AR Aging &lt;-INPUT'!I363</f>
        <v>0</v>
      </c>
      <c r="I10" s="33">
        <f>'Agile AR Aging &lt;-INPUT'!J363</f>
        <v>0</v>
      </c>
      <c r="J10" s="2">
        <f t="shared" si="0"/>
        <v>0</v>
      </c>
      <c r="L10" s="67"/>
      <c r="N10" s="68"/>
    </row>
    <row r="11" spans="1:15" x14ac:dyDescent="0.25">
      <c r="A11" s="1" t="s">
        <v>42</v>
      </c>
      <c r="B11" s="33">
        <f>'Agile AR Aging &lt;-INPUT'!C364</f>
        <v>0</v>
      </c>
      <c r="C11" s="33">
        <f>'Agile AR Aging &lt;-INPUT'!D364</f>
        <v>0</v>
      </c>
      <c r="D11" s="33">
        <f>'Agile AR Aging &lt;-INPUT'!E364</f>
        <v>0</v>
      </c>
      <c r="E11" s="33">
        <f>'Agile AR Aging &lt;-INPUT'!F364</f>
        <v>0</v>
      </c>
      <c r="F11" s="33">
        <f>'Agile AR Aging &lt;-INPUT'!G364</f>
        <v>0</v>
      </c>
      <c r="G11" s="33">
        <f>'Agile AR Aging &lt;-INPUT'!H364</f>
        <v>0</v>
      </c>
      <c r="H11" s="33">
        <f>'Agile AR Aging &lt;-INPUT'!I364</f>
        <v>0</v>
      </c>
      <c r="I11" s="33">
        <f>'Agile AR Aging &lt;-INPUT'!J364</f>
        <v>0</v>
      </c>
      <c r="J11" s="2">
        <f t="shared" si="0"/>
        <v>0</v>
      </c>
      <c r="L11" s="67"/>
      <c r="N11" s="68"/>
    </row>
    <row r="12" spans="1:15" x14ac:dyDescent="0.25">
      <c r="A12" s="1" t="s">
        <v>6</v>
      </c>
      <c r="B12" s="33">
        <f>'Agile AR Aging &lt;-INPUT'!C365+'Agile AR Aging &lt;-INPUT'!C366+'Agile AR Aging &lt;-INPUT'!C373+'Agile AR Aging &lt;-INPUT'!C379</f>
        <v>0</v>
      </c>
      <c r="C12" s="33">
        <f>'Agile AR Aging &lt;-INPUT'!D365+'Agile AR Aging &lt;-INPUT'!D366+'Agile AR Aging &lt;-INPUT'!D373+'Agile AR Aging &lt;-INPUT'!D379</f>
        <v>0</v>
      </c>
      <c r="D12" s="33">
        <f>'Agile AR Aging &lt;-INPUT'!E365+'Agile AR Aging &lt;-INPUT'!E366+'Agile AR Aging &lt;-INPUT'!E373+'Agile AR Aging &lt;-INPUT'!E379</f>
        <v>0</v>
      </c>
      <c r="E12" s="33">
        <f>'Agile AR Aging &lt;-INPUT'!F365+'Agile AR Aging &lt;-INPUT'!F366+'Agile AR Aging &lt;-INPUT'!F373+'Agile AR Aging &lt;-INPUT'!F379</f>
        <v>0</v>
      </c>
      <c r="F12" s="33">
        <f>'Agile AR Aging &lt;-INPUT'!G365+'Agile AR Aging &lt;-INPUT'!G366+'Agile AR Aging &lt;-INPUT'!G373+'Agile AR Aging &lt;-INPUT'!G379</f>
        <v>0</v>
      </c>
      <c r="G12" s="33">
        <f>'Agile AR Aging &lt;-INPUT'!H365+'Agile AR Aging &lt;-INPUT'!H366+'Agile AR Aging &lt;-INPUT'!H373+'Agile AR Aging &lt;-INPUT'!H379</f>
        <v>0</v>
      </c>
      <c r="H12" s="33">
        <f>'Agile AR Aging &lt;-INPUT'!I365+'Agile AR Aging &lt;-INPUT'!I366+'Agile AR Aging &lt;-INPUT'!I373+'Agile AR Aging &lt;-INPUT'!I379</f>
        <v>0</v>
      </c>
      <c r="I12" s="33">
        <f>'Agile AR Aging &lt;-INPUT'!J365+'Agile AR Aging &lt;-INPUT'!J366+'Agile AR Aging &lt;-INPUT'!J373+'Agile AR Aging &lt;-INPUT'!J379</f>
        <v>0</v>
      </c>
      <c r="J12" s="2">
        <f t="shared" si="0"/>
        <v>0</v>
      </c>
      <c r="L12" s="72"/>
      <c r="N12" s="68"/>
    </row>
    <row r="13" spans="1:15" x14ac:dyDescent="0.25">
      <c r="A13" s="1" t="s">
        <v>50</v>
      </c>
      <c r="B13" s="33">
        <f>'Agile AR Aging &lt;-INPUT'!C367</f>
        <v>0</v>
      </c>
      <c r="C13" s="33">
        <f>'Agile AR Aging &lt;-INPUT'!D367</f>
        <v>0</v>
      </c>
      <c r="D13" s="33">
        <f>'Agile AR Aging &lt;-INPUT'!E367</f>
        <v>0</v>
      </c>
      <c r="E13" s="33">
        <f>'Agile AR Aging &lt;-INPUT'!F367</f>
        <v>0</v>
      </c>
      <c r="F13" s="33">
        <f>'Agile AR Aging &lt;-INPUT'!G367</f>
        <v>0</v>
      </c>
      <c r="G13" s="33">
        <f>'Agile AR Aging &lt;-INPUT'!H367</f>
        <v>0</v>
      </c>
      <c r="H13" s="33">
        <f>'Agile AR Aging &lt;-INPUT'!I367</f>
        <v>0</v>
      </c>
      <c r="I13" s="33">
        <f>'Agile AR Aging &lt;-INPUT'!J367</f>
        <v>0</v>
      </c>
      <c r="J13" s="2">
        <f t="shared" si="0"/>
        <v>0</v>
      </c>
      <c r="L13" s="72"/>
      <c r="N13" s="68"/>
    </row>
    <row r="14" spans="1:15" x14ac:dyDescent="0.25">
      <c r="A14" s="1" t="s">
        <v>89</v>
      </c>
      <c r="B14" s="33">
        <f>'Agile AR Aging &lt;-INPUT'!C368</f>
        <v>0</v>
      </c>
      <c r="C14" s="33">
        <f>'Agile AR Aging &lt;-INPUT'!D368</f>
        <v>0</v>
      </c>
      <c r="D14" s="33">
        <f>'Agile AR Aging &lt;-INPUT'!E368</f>
        <v>0</v>
      </c>
      <c r="E14" s="33">
        <f>'Agile AR Aging &lt;-INPUT'!F368</f>
        <v>0</v>
      </c>
      <c r="F14" s="33">
        <f>'Agile AR Aging &lt;-INPUT'!G368</f>
        <v>0</v>
      </c>
      <c r="G14" s="33">
        <f>'Agile AR Aging &lt;-INPUT'!H368</f>
        <v>0</v>
      </c>
      <c r="H14" s="33">
        <f>'Agile AR Aging &lt;-INPUT'!I368</f>
        <v>0</v>
      </c>
      <c r="I14" s="33">
        <f>'Agile AR Aging &lt;-INPUT'!J368</f>
        <v>0</v>
      </c>
      <c r="J14" s="2">
        <f t="shared" si="0"/>
        <v>0</v>
      </c>
      <c r="L14" s="72"/>
      <c r="N14" s="68"/>
    </row>
    <row r="15" spans="1:15" x14ac:dyDescent="0.25">
      <c r="A15" s="1" t="s">
        <v>5</v>
      </c>
      <c r="B15" s="33">
        <f>'Agile AR Aging &lt;-INPUT'!C369</f>
        <v>0</v>
      </c>
      <c r="C15" s="33">
        <f>'Agile AR Aging &lt;-INPUT'!D369</f>
        <v>0</v>
      </c>
      <c r="D15" s="33">
        <f>'Agile AR Aging &lt;-INPUT'!E369</f>
        <v>0</v>
      </c>
      <c r="E15" s="33">
        <f>'Agile AR Aging &lt;-INPUT'!F369</f>
        <v>0</v>
      </c>
      <c r="F15" s="33">
        <f>'Agile AR Aging &lt;-INPUT'!G369</f>
        <v>0</v>
      </c>
      <c r="G15" s="33">
        <f>'Agile AR Aging &lt;-INPUT'!H369</f>
        <v>0</v>
      </c>
      <c r="H15" s="33">
        <f>'Agile AR Aging &lt;-INPUT'!I369</f>
        <v>0</v>
      </c>
      <c r="I15" s="33">
        <f>'Agile AR Aging &lt;-INPUT'!J369</f>
        <v>0</v>
      </c>
      <c r="J15" s="2">
        <f t="shared" si="0"/>
        <v>0</v>
      </c>
      <c r="L15" s="72"/>
      <c r="N15" s="68"/>
    </row>
    <row r="16" spans="1:15" x14ac:dyDescent="0.25">
      <c r="A16" s="1" t="s">
        <v>84</v>
      </c>
      <c r="B16" s="33">
        <f>'Agile AR Aging &lt;-INPUT'!C370</f>
        <v>0</v>
      </c>
      <c r="C16" s="33">
        <f>'Agile AR Aging &lt;-INPUT'!D370</f>
        <v>0</v>
      </c>
      <c r="D16" s="33">
        <f>'Agile AR Aging &lt;-INPUT'!E370</f>
        <v>0</v>
      </c>
      <c r="E16" s="33">
        <f>'Agile AR Aging &lt;-INPUT'!F370</f>
        <v>0</v>
      </c>
      <c r="F16" s="33">
        <f>'Agile AR Aging &lt;-INPUT'!G370</f>
        <v>0</v>
      </c>
      <c r="G16" s="33">
        <f>'Agile AR Aging &lt;-INPUT'!H370</f>
        <v>0</v>
      </c>
      <c r="H16" s="33">
        <f>'Agile AR Aging &lt;-INPUT'!I370</f>
        <v>0</v>
      </c>
      <c r="I16" s="33">
        <f>'Agile AR Aging &lt;-INPUT'!J370</f>
        <v>0</v>
      </c>
      <c r="J16" s="2">
        <f t="shared" si="0"/>
        <v>0</v>
      </c>
      <c r="L16" s="72"/>
      <c r="N16" s="68"/>
    </row>
    <row r="17" spans="1:17" x14ac:dyDescent="0.25">
      <c r="A17" s="1" t="s">
        <v>4</v>
      </c>
      <c r="B17" s="33">
        <f>'Agile AR Aging &lt;-INPUT'!C371</f>
        <v>0</v>
      </c>
      <c r="C17" s="33">
        <f>'Agile AR Aging &lt;-INPUT'!D371</f>
        <v>0</v>
      </c>
      <c r="D17" s="33">
        <f>'Agile AR Aging &lt;-INPUT'!E371</f>
        <v>0</v>
      </c>
      <c r="E17" s="33">
        <f>'Agile AR Aging &lt;-INPUT'!F371</f>
        <v>0</v>
      </c>
      <c r="F17" s="33">
        <f>'Agile AR Aging &lt;-INPUT'!G371</f>
        <v>0</v>
      </c>
      <c r="G17" s="33">
        <f>'Agile AR Aging &lt;-INPUT'!H371</f>
        <v>0</v>
      </c>
      <c r="H17" s="33">
        <f>'Agile AR Aging &lt;-INPUT'!I371</f>
        <v>0</v>
      </c>
      <c r="I17" s="33">
        <f>'Agile AR Aging &lt;-INPUT'!J371</f>
        <v>0</v>
      </c>
      <c r="J17" s="2">
        <f t="shared" si="0"/>
        <v>0</v>
      </c>
      <c r="L17" s="72"/>
      <c r="N17" s="68"/>
    </row>
    <row r="18" spans="1:17" x14ac:dyDescent="0.25">
      <c r="A18" s="1" t="s">
        <v>51</v>
      </c>
      <c r="B18" s="33">
        <f>'Agile AR Aging &lt;-INPUT'!C372</f>
        <v>0</v>
      </c>
      <c r="C18" s="33">
        <f>'Agile AR Aging &lt;-INPUT'!D372</f>
        <v>0</v>
      </c>
      <c r="D18" s="33">
        <f>'Agile AR Aging &lt;-INPUT'!E372</f>
        <v>0</v>
      </c>
      <c r="E18" s="33">
        <f>'Agile AR Aging &lt;-INPUT'!F372</f>
        <v>0</v>
      </c>
      <c r="F18" s="33">
        <f>'Agile AR Aging &lt;-INPUT'!G372</f>
        <v>0</v>
      </c>
      <c r="G18" s="33">
        <f>'Agile AR Aging &lt;-INPUT'!H372</f>
        <v>0</v>
      </c>
      <c r="H18" s="33">
        <f>'Agile AR Aging &lt;-INPUT'!I372</f>
        <v>0</v>
      </c>
      <c r="I18" s="33">
        <f>'Agile AR Aging &lt;-INPUT'!J372</f>
        <v>0</v>
      </c>
      <c r="J18" s="2">
        <f t="shared" si="0"/>
        <v>0</v>
      </c>
      <c r="L18" s="72"/>
      <c r="N18" s="68"/>
    </row>
    <row r="19" spans="1:17" x14ac:dyDescent="0.25">
      <c r="A19" s="1" t="s">
        <v>85</v>
      </c>
      <c r="B19" s="33">
        <f>'Agile AR Aging &lt;-INPUT'!C374</f>
        <v>0</v>
      </c>
      <c r="C19" s="33">
        <f>'Agile AR Aging &lt;-INPUT'!D374</f>
        <v>0</v>
      </c>
      <c r="D19" s="33">
        <f>'Agile AR Aging &lt;-INPUT'!E374</f>
        <v>0</v>
      </c>
      <c r="E19" s="33">
        <f>'Agile AR Aging &lt;-INPUT'!F374</f>
        <v>0</v>
      </c>
      <c r="F19" s="33">
        <f>'Agile AR Aging &lt;-INPUT'!G374</f>
        <v>0</v>
      </c>
      <c r="G19" s="33">
        <f>'Agile AR Aging &lt;-INPUT'!H374</f>
        <v>0</v>
      </c>
      <c r="H19" s="33">
        <f>'Agile AR Aging &lt;-INPUT'!I374</f>
        <v>0</v>
      </c>
      <c r="I19" s="33">
        <f>'Agile AR Aging &lt;-INPUT'!J374</f>
        <v>0</v>
      </c>
      <c r="J19" s="2">
        <f t="shared" si="0"/>
        <v>0</v>
      </c>
      <c r="L19" s="72"/>
      <c r="N19" s="68"/>
    </row>
    <row r="20" spans="1:17" x14ac:dyDescent="0.25">
      <c r="A20" s="1" t="s">
        <v>2</v>
      </c>
      <c r="B20" s="33">
        <f>'Agile AR Aging &lt;-INPUT'!C375</f>
        <v>0</v>
      </c>
      <c r="C20" s="33">
        <f>'Agile AR Aging &lt;-INPUT'!D375</f>
        <v>0</v>
      </c>
      <c r="D20" s="33">
        <f>'Agile AR Aging &lt;-INPUT'!E375</f>
        <v>0</v>
      </c>
      <c r="E20" s="33">
        <f>'Agile AR Aging &lt;-INPUT'!F375</f>
        <v>0</v>
      </c>
      <c r="F20" s="33">
        <f>'Agile AR Aging &lt;-INPUT'!G375</f>
        <v>0</v>
      </c>
      <c r="G20" s="33">
        <f>'Agile AR Aging &lt;-INPUT'!H375</f>
        <v>0</v>
      </c>
      <c r="H20" s="33">
        <f>'Agile AR Aging &lt;-INPUT'!I375</f>
        <v>0</v>
      </c>
      <c r="I20" s="33">
        <f>'Agile AR Aging &lt;-INPUT'!J375</f>
        <v>0</v>
      </c>
      <c r="J20" s="2">
        <f t="shared" si="0"/>
        <v>0</v>
      </c>
      <c r="L20" s="72"/>
      <c r="N20" s="68"/>
    </row>
    <row r="21" spans="1:17" x14ac:dyDescent="0.25">
      <c r="A21" s="1" t="s">
        <v>86</v>
      </c>
      <c r="B21" s="33">
        <f>'Agile AR Aging &lt;-INPUT'!C376</f>
        <v>0</v>
      </c>
      <c r="C21" s="33">
        <f>'Agile AR Aging &lt;-INPUT'!D376</f>
        <v>0</v>
      </c>
      <c r="D21" s="33">
        <f>'Agile AR Aging &lt;-INPUT'!E376</f>
        <v>0</v>
      </c>
      <c r="E21" s="33">
        <f>'Agile AR Aging &lt;-INPUT'!F376</f>
        <v>0</v>
      </c>
      <c r="F21" s="33">
        <f>'Agile AR Aging &lt;-INPUT'!G376</f>
        <v>0</v>
      </c>
      <c r="G21" s="33">
        <f>'Agile AR Aging &lt;-INPUT'!H376</f>
        <v>0</v>
      </c>
      <c r="H21" s="33">
        <f>'Agile AR Aging &lt;-INPUT'!I376</f>
        <v>0</v>
      </c>
      <c r="I21" s="33">
        <f>'Agile AR Aging &lt;-INPUT'!J376</f>
        <v>0</v>
      </c>
      <c r="J21" s="2">
        <f t="shared" si="0"/>
        <v>0</v>
      </c>
      <c r="L21" s="72"/>
      <c r="N21" s="68"/>
    </row>
    <row r="22" spans="1:17" x14ac:dyDescent="0.25">
      <c r="A22" s="1" t="s">
        <v>29</v>
      </c>
      <c r="B22" s="33">
        <f>'Agile AR Aging &lt;-INPUT'!C377</f>
        <v>0</v>
      </c>
      <c r="C22" s="33">
        <f>'Agile AR Aging &lt;-INPUT'!D377</f>
        <v>0</v>
      </c>
      <c r="D22" s="33">
        <f>'Agile AR Aging &lt;-INPUT'!E377</f>
        <v>0</v>
      </c>
      <c r="E22" s="33">
        <f>'Agile AR Aging &lt;-INPUT'!F377</f>
        <v>0</v>
      </c>
      <c r="F22" s="33">
        <f>'Agile AR Aging &lt;-INPUT'!G377</f>
        <v>0</v>
      </c>
      <c r="G22" s="33">
        <f>'Agile AR Aging &lt;-INPUT'!H377</f>
        <v>0</v>
      </c>
      <c r="H22" s="33">
        <f>'Agile AR Aging &lt;-INPUT'!I377</f>
        <v>0</v>
      </c>
      <c r="I22" s="33">
        <f>'Agile AR Aging &lt;-INPUT'!J377</f>
        <v>0</v>
      </c>
      <c r="J22" s="2">
        <f t="shared" si="0"/>
        <v>0</v>
      </c>
      <c r="L22" s="72"/>
      <c r="N22" s="68"/>
    </row>
    <row r="23" spans="1:17" x14ac:dyDescent="0.25">
      <c r="A23" s="1" t="s">
        <v>52</v>
      </c>
      <c r="B23" s="33">
        <f>'Agile AR Aging &lt;-INPUT'!C378</f>
        <v>0</v>
      </c>
      <c r="C23" s="33">
        <f>'Agile AR Aging &lt;-INPUT'!D378</f>
        <v>0</v>
      </c>
      <c r="D23" s="33">
        <f>'Agile AR Aging &lt;-INPUT'!E378</f>
        <v>0</v>
      </c>
      <c r="E23" s="33">
        <f>'Agile AR Aging &lt;-INPUT'!F378</f>
        <v>0</v>
      </c>
      <c r="F23" s="33">
        <f>'Agile AR Aging &lt;-INPUT'!G378</f>
        <v>0</v>
      </c>
      <c r="G23" s="33">
        <f>'Agile AR Aging &lt;-INPUT'!H378</f>
        <v>0</v>
      </c>
      <c r="H23" s="33">
        <f>'Agile AR Aging &lt;-INPUT'!I378</f>
        <v>0</v>
      </c>
      <c r="I23" s="33">
        <f>'Agile AR Aging &lt;-INPUT'!J378</f>
        <v>0</v>
      </c>
      <c r="J23" s="2">
        <f t="shared" si="0"/>
        <v>0</v>
      </c>
      <c r="L23" s="72"/>
      <c r="N23" s="68"/>
    </row>
    <row r="24" spans="1:17" x14ac:dyDescent="0.25">
      <c r="A24" s="1" t="s">
        <v>1</v>
      </c>
      <c r="B24" s="32">
        <f>'Agile AR Aging &lt;-INPUT'!C380</f>
        <v>0</v>
      </c>
      <c r="C24" s="32">
        <f>'Agile AR Aging &lt;-INPUT'!D380</f>
        <v>0</v>
      </c>
      <c r="D24" s="32">
        <f>'Agile AR Aging &lt;-INPUT'!E380</f>
        <v>0</v>
      </c>
      <c r="E24" s="32">
        <f>'Agile AR Aging &lt;-INPUT'!F380</f>
        <v>0</v>
      </c>
      <c r="F24" s="32">
        <f>'Agile AR Aging &lt;-INPUT'!G380</f>
        <v>0</v>
      </c>
      <c r="G24" s="32">
        <f>'Agile AR Aging &lt;-INPUT'!H380</f>
        <v>0</v>
      </c>
      <c r="H24" s="32">
        <f>'Agile AR Aging &lt;-INPUT'!I380</f>
        <v>0</v>
      </c>
      <c r="I24" s="32">
        <f>'Agile AR Aging &lt;-INPUT'!J380</f>
        <v>0</v>
      </c>
      <c r="J24" s="9">
        <f t="shared" si="0"/>
        <v>0</v>
      </c>
      <c r="L24" s="72"/>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53" t="s">
        <v>55</v>
      </c>
      <c r="B27" s="154"/>
      <c r="C27" s="154"/>
      <c r="D27" s="154"/>
      <c r="E27" s="154"/>
      <c r="F27" s="154"/>
      <c r="G27" s="154"/>
      <c r="H27" s="154"/>
      <c r="I27" s="154"/>
      <c r="J27" s="155"/>
      <c r="Q27" s="1"/>
    </row>
    <row r="28" spans="1:17" x14ac:dyDescent="0.25">
      <c r="A28" s="4" t="s">
        <v>16</v>
      </c>
      <c r="B28" s="5" t="s">
        <v>15</v>
      </c>
      <c r="C28" s="5" t="s">
        <v>14</v>
      </c>
      <c r="D28" s="5" t="s">
        <v>13</v>
      </c>
      <c r="E28" s="5" t="s">
        <v>12</v>
      </c>
      <c r="F28" s="5" t="s">
        <v>94</v>
      </c>
      <c r="G28" s="5" t="s">
        <v>95</v>
      </c>
      <c r="H28" s="5" t="s">
        <v>38</v>
      </c>
      <c r="I28" s="5" t="s">
        <v>9</v>
      </c>
      <c r="J28" s="5" t="s">
        <v>0</v>
      </c>
      <c r="Q28" s="1"/>
    </row>
    <row r="29" spans="1:17" x14ac:dyDescent="0.25">
      <c r="A29" s="1" t="s">
        <v>49</v>
      </c>
      <c r="B29" s="36">
        <f>'Reimbursement Rates &lt;-INPUT'!O9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&lt;-INPUT'!O10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&lt;-INPUT'!O11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&lt;-INPUT'!O12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&lt;-INPUT'!O13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&lt;-INPUT'!O15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&lt;-INPUT'!O16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&lt;-INPUT'!O17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&lt;-INPUT'!O18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&lt;-INPUT'!O19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&lt;-INPUT'!O20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&lt;-INPUT'!O22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&lt;-INPUT'!O23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&lt;-INPUT'!O24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&lt;-INPUT'!O25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&lt;-INPUT'!O26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&lt;-INPUT'!O28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50" t="s">
        <v>33</v>
      </c>
      <c r="B47" s="151"/>
      <c r="C47" s="151"/>
      <c r="D47" s="151"/>
      <c r="E47" s="151"/>
      <c r="F47" s="151"/>
      <c r="G47" s="151"/>
      <c r="H47" s="151"/>
      <c r="I47" s="151"/>
      <c r="J47" s="152"/>
      <c r="M47" s="7"/>
      <c r="Q47" s="1"/>
    </row>
    <row r="48" spans="1:17" x14ac:dyDescent="0.25">
      <c r="A48" s="4" t="s">
        <v>16</v>
      </c>
      <c r="B48" s="5" t="s">
        <v>15</v>
      </c>
      <c r="C48" s="5" t="s">
        <v>14</v>
      </c>
      <c r="D48" s="5" t="s">
        <v>13</v>
      </c>
      <c r="E48" s="5" t="s">
        <v>12</v>
      </c>
      <c r="F48" s="5" t="s">
        <v>94</v>
      </c>
      <c r="G48" s="5" t="s">
        <v>95</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68"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68"/>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68"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69"/>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95">
        <v>60000</v>
      </c>
      <c r="M66" s="7">
        <f>J66-L66</f>
        <v>-60000</v>
      </c>
    </row>
    <row r="67" spans="1:13" ht="15.75" thickBot="1" x14ac:dyDescent="0.3">
      <c r="A67" s="1"/>
      <c r="B67" s="9"/>
      <c r="C67" s="9"/>
      <c r="D67" s="9"/>
      <c r="E67" s="9"/>
      <c r="F67" s="9"/>
      <c r="G67" s="9"/>
      <c r="H67" s="9"/>
      <c r="I67" s="9"/>
      <c r="J67" s="9"/>
      <c r="M67" s="7"/>
    </row>
    <row r="68" spans="1:13" ht="15.75" thickBot="1" x14ac:dyDescent="0.3">
      <c r="A68" s="150" t="s">
        <v>64</v>
      </c>
      <c r="B68" s="151"/>
      <c r="C68" s="151"/>
      <c r="D68" s="151"/>
      <c r="E68" s="151"/>
      <c r="F68" s="151"/>
      <c r="G68" s="151"/>
      <c r="H68" s="151"/>
      <c r="I68" s="151"/>
      <c r="J68" s="152"/>
      <c r="M68" s="7"/>
    </row>
    <row r="69" spans="1:13" x14ac:dyDescent="0.25">
      <c r="A69" s="4" t="s">
        <v>16</v>
      </c>
      <c r="B69" s="5" t="s">
        <v>15</v>
      </c>
      <c r="C69" s="5" t="s">
        <v>14</v>
      </c>
      <c r="D69" s="5" t="s">
        <v>13</v>
      </c>
      <c r="E69" s="5" t="s">
        <v>12</v>
      </c>
      <c r="F69" s="5" t="s">
        <v>94</v>
      </c>
      <c r="G69" s="5" t="s">
        <v>95</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53" t="s">
        <v>59</v>
      </c>
      <c r="B89" s="154"/>
      <c r="C89" s="154"/>
      <c r="D89" s="154"/>
      <c r="E89" s="154"/>
      <c r="F89" s="154"/>
      <c r="G89" s="154"/>
      <c r="H89" s="154"/>
      <c r="I89" s="154"/>
      <c r="J89" s="155"/>
      <c r="M89" s="7"/>
    </row>
    <row r="90" spans="1:13" x14ac:dyDescent="0.25">
      <c r="A90" s="4" t="s">
        <v>16</v>
      </c>
      <c r="B90" s="5" t="s">
        <v>15</v>
      </c>
      <c r="C90" s="5" t="s">
        <v>14</v>
      </c>
      <c r="D90" s="5" t="s">
        <v>13</v>
      </c>
      <c r="E90" s="5" t="s">
        <v>12</v>
      </c>
      <c r="F90" s="5" t="s">
        <v>94</v>
      </c>
      <c r="G90" s="5" t="s">
        <v>95</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50" t="s">
        <v>60</v>
      </c>
      <c r="B109" s="151"/>
      <c r="C109" s="151"/>
      <c r="D109" s="151"/>
      <c r="E109" s="151"/>
      <c r="F109" s="151"/>
      <c r="G109" s="151"/>
      <c r="H109" s="151"/>
      <c r="I109" s="151"/>
      <c r="J109" s="152"/>
      <c r="M109" s="7"/>
    </row>
    <row r="110" spans="1:13" x14ac:dyDescent="0.25">
      <c r="A110" s="4" t="s">
        <v>16</v>
      </c>
      <c r="B110" s="5" t="s">
        <v>15</v>
      </c>
      <c r="C110" s="5" t="s">
        <v>14</v>
      </c>
      <c r="D110" s="5" t="s">
        <v>13</v>
      </c>
      <c r="E110" s="5" t="s">
        <v>12</v>
      </c>
      <c r="F110" s="5" t="s">
        <v>94</v>
      </c>
      <c r="G110" s="5" t="s">
        <v>95</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68"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68"/>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152</v>
      </c>
      <c r="M126" s="168"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69"/>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95">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50" t="s">
        <v>30</v>
      </c>
      <c r="B130" s="151"/>
      <c r="C130" s="151"/>
      <c r="D130" s="151"/>
      <c r="E130" s="151"/>
      <c r="F130" s="151"/>
      <c r="G130" s="151"/>
      <c r="H130" s="151"/>
      <c r="I130" s="151"/>
      <c r="J130" s="152"/>
      <c r="M130" s="7"/>
    </row>
    <row r="131" spans="1:13" x14ac:dyDescent="0.25">
      <c r="A131" s="4" t="s">
        <v>16</v>
      </c>
      <c r="B131" s="5" t="s">
        <v>15</v>
      </c>
      <c r="C131" s="5" t="s">
        <v>14</v>
      </c>
      <c r="D131" s="5" t="s">
        <v>13</v>
      </c>
      <c r="E131" s="5" t="s">
        <v>12</v>
      </c>
      <c r="F131" s="5" t="s">
        <v>94</v>
      </c>
      <c r="G131" s="5" t="s">
        <v>95</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09:J109"/>
    <mergeCell ref="M124:M125"/>
    <mergeCell ref="M126:M127"/>
    <mergeCell ref="A130:J130"/>
    <mergeCell ref="A27:J27"/>
    <mergeCell ref="A47:J47"/>
    <mergeCell ref="M62:M63"/>
    <mergeCell ref="M64:M65"/>
    <mergeCell ref="A68:J68"/>
    <mergeCell ref="A89:J89"/>
    <mergeCell ref="A1:M1"/>
    <mergeCell ref="A2:M2"/>
    <mergeCell ref="A3:M3"/>
    <mergeCell ref="A4:M4"/>
    <mergeCell ref="A6:J6"/>
    <mergeCell ref="L6:M6"/>
  </mergeCells>
  <pageMargins left="0.7" right="0.7" top="0.75" bottom="0.75" header="0.3" footer="0.3"/>
  <pageSetup scale="3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pageSetUpPr fitToPage="1"/>
  </sheetPr>
  <dimension ref="A1:Q158"/>
  <sheetViews>
    <sheetView workbookViewId="0">
      <selection sqref="A1:M1"/>
    </sheetView>
  </sheetViews>
  <sheetFormatPr defaultColWidth="9.140625" defaultRowHeight="15" x14ac:dyDescent="0.25"/>
  <cols>
    <col min="1" max="1" width="38.85546875" bestFit="1" customWidth="1"/>
    <col min="2" max="10" width="12.7109375" customWidth="1"/>
    <col min="11" max="11" width="2.5703125" customWidth="1"/>
    <col min="12" max="12" width="12.7109375" customWidth="1"/>
    <col min="13" max="13" width="30.7109375" customWidth="1"/>
    <col min="14" max="14" width="18.5703125" customWidth="1"/>
  </cols>
  <sheetData>
    <row r="1" spans="1:15" ht="18.75" x14ac:dyDescent="0.3">
      <c r="A1" s="162" t="s">
        <v>17</v>
      </c>
      <c r="B1" s="162"/>
      <c r="C1" s="162"/>
      <c r="D1" s="162"/>
      <c r="E1" s="162"/>
      <c r="F1" s="162"/>
      <c r="G1" s="162"/>
      <c r="H1" s="162"/>
      <c r="I1" s="162"/>
      <c r="J1" s="162"/>
      <c r="K1" s="162"/>
      <c r="L1" s="162"/>
      <c r="M1" s="162"/>
      <c r="O1" s="31"/>
    </row>
    <row r="2" spans="1:15" ht="15.75" x14ac:dyDescent="0.25">
      <c r="A2" s="163" t="s">
        <v>225</v>
      </c>
      <c r="B2" s="163"/>
      <c r="C2" s="163"/>
      <c r="D2" s="163"/>
      <c r="E2" s="163"/>
      <c r="F2" s="163"/>
      <c r="G2" s="163"/>
      <c r="H2" s="163"/>
      <c r="I2" s="163"/>
      <c r="J2" s="163"/>
      <c r="K2" s="163"/>
      <c r="L2" s="163"/>
      <c r="M2" s="163"/>
      <c r="O2" s="31"/>
    </row>
    <row r="3" spans="1:15" x14ac:dyDescent="0.25">
      <c r="A3" s="164" t="s">
        <v>31</v>
      </c>
      <c r="B3" s="164"/>
      <c r="C3" s="164"/>
      <c r="D3" s="164"/>
      <c r="E3" s="164"/>
      <c r="F3" s="164"/>
      <c r="G3" s="164"/>
      <c r="H3" s="164"/>
      <c r="I3" s="164"/>
      <c r="J3" s="164"/>
      <c r="K3" s="164"/>
      <c r="L3" s="164"/>
      <c r="M3" s="164"/>
    </row>
    <row r="4" spans="1:15" x14ac:dyDescent="0.25">
      <c r="A4" s="167">
        <f>'Company Summary'!A4:J4</f>
        <v>45199</v>
      </c>
      <c r="B4" s="167"/>
      <c r="C4" s="167"/>
      <c r="D4" s="167"/>
      <c r="E4" s="167"/>
      <c r="F4" s="167"/>
      <c r="G4" s="167"/>
      <c r="H4" s="167"/>
      <c r="I4" s="167"/>
      <c r="J4" s="167"/>
      <c r="K4" s="167"/>
      <c r="L4" s="167"/>
      <c r="M4" s="167"/>
    </row>
    <row r="5" spans="1:15" ht="15.75" thickBot="1" x14ac:dyDescent="0.3">
      <c r="A5" s="80"/>
      <c r="B5" s="80"/>
      <c r="C5" s="80"/>
      <c r="D5" s="80"/>
      <c r="E5" s="80"/>
      <c r="F5" s="80"/>
      <c r="G5" s="80"/>
      <c r="H5" s="80"/>
      <c r="I5" s="80"/>
      <c r="J5" s="80"/>
      <c r="K5" s="80"/>
      <c r="L5" s="80"/>
      <c r="M5" s="80"/>
    </row>
    <row r="6" spans="1:15" ht="15.75" thickBot="1" x14ac:dyDescent="0.3">
      <c r="A6" s="150" t="s">
        <v>54</v>
      </c>
      <c r="B6" s="151"/>
      <c r="C6" s="151"/>
      <c r="D6" s="151"/>
      <c r="E6" s="151"/>
      <c r="F6" s="151"/>
      <c r="G6" s="151"/>
      <c r="H6" s="151"/>
      <c r="I6" s="151"/>
      <c r="J6" s="152"/>
      <c r="L6" s="166"/>
      <c r="M6" s="166"/>
    </row>
    <row r="7" spans="1:15" x14ac:dyDescent="0.25">
      <c r="A7" s="4" t="s">
        <v>16</v>
      </c>
      <c r="B7" s="5" t="s">
        <v>15</v>
      </c>
      <c r="C7" s="5" t="s">
        <v>14</v>
      </c>
      <c r="D7" s="5" t="s">
        <v>13</v>
      </c>
      <c r="E7" s="5" t="s">
        <v>12</v>
      </c>
      <c r="F7" s="5" t="s">
        <v>94</v>
      </c>
      <c r="G7" s="5" t="s">
        <v>95</v>
      </c>
      <c r="H7" s="5" t="s">
        <v>38</v>
      </c>
      <c r="I7" s="5" t="s">
        <v>9</v>
      </c>
      <c r="J7" s="5" t="s">
        <v>0</v>
      </c>
      <c r="L7" s="4"/>
      <c r="M7" s="4"/>
    </row>
    <row r="8" spans="1:15" x14ac:dyDescent="0.25">
      <c r="A8" s="1" t="s">
        <v>49</v>
      </c>
      <c r="B8" s="33">
        <f>'Agile AR Aging &lt;-INPUT'!C387</f>
        <v>0</v>
      </c>
      <c r="C8" s="33">
        <f>'Agile AR Aging &lt;-INPUT'!D387</f>
        <v>0</v>
      </c>
      <c r="D8" s="33">
        <f>'Agile AR Aging &lt;-INPUT'!E387</f>
        <v>0</v>
      </c>
      <c r="E8" s="33">
        <f>'Agile AR Aging &lt;-INPUT'!F387</f>
        <v>0</v>
      </c>
      <c r="F8" s="33">
        <f>'Agile AR Aging &lt;-INPUT'!G387</f>
        <v>0</v>
      </c>
      <c r="G8" s="33">
        <f>'Agile AR Aging &lt;-INPUT'!H387</f>
        <v>0</v>
      </c>
      <c r="H8" s="33">
        <f>'Agile AR Aging &lt;-INPUT'!I387</f>
        <v>0</v>
      </c>
      <c r="I8" s="33">
        <f>'Agile AR Aging &lt;-INPUT'!J387</f>
        <v>0</v>
      </c>
      <c r="J8" s="2">
        <f t="shared" ref="J8:J24" si="0">SUM(B8:H8)</f>
        <v>0</v>
      </c>
      <c r="L8" s="67"/>
    </row>
    <row r="9" spans="1:15" x14ac:dyDescent="0.25">
      <c r="A9" s="1" t="s">
        <v>8</v>
      </c>
      <c r="B9" s="33">
        <f>'Agile AR Aging &lt;-INPUT'!C388</f>
        <v>0</v>
      </c>
      <c r="C9" s="33">
        <f>'Agile AR Aging &lt;-INPUT'!D388</f>
        <v>0</v>
      </c>
      <c r="D9" s="33">
        <f>'Agile AR Aging &lt;-INPUT'!E388</f>
        <v>0</v>
      </c>
      <c r="E9" s="33">
        <f>'Agile AR Aging &lt;-INPUT'!F388</f>
        <v>0</v>
      </c>
      <c r="F9" s="33">
        <f>'Agile AR Aging &lt;-INPUT'!G388</f>
        <v>0</v>
      </c>
      <c r="G9" s="33">
        <f>'Agile AR Aging &lt;-INPUT'!H388</f>
        <v>0</v>
      </c>
      <c r="H9" s="33">
        <f>'Agile AR Aging &lt;-INPUT'!I388</f>
        <v>0</v>
      </c>
      <c r="I9" s="33">
        <f>'Agile AR Aging &lt;-INPUT'!J388</f>
        <v>0</v>
      </c>
      <c r="J9" s="2">
        <f t="shared" si="0"/>
        <v>0</v>
      </c>
      <c r="L9" s="67"/>
      <c r="N9" s="68"/>
    </row>
    <row r="10" spans="1:15" x14ac:dyDescent="0.25">
      <c r="A10" s="1" t="s">
        <v>7</v>
      </c>
      <c r="B10" s="33">
        <f>'Agile AR Aging &lt;-INPUT'!C389</f>
        <v>0</v>
      </c>
      <c r="C10" s="33">
        <f>'Agile AR Aging &lt;-INPUT'!D389</f>
        <v>0</v>
      </c>
      <c r="D10" s="33">
        <f>'Agile AR Aging &lt;-INPUT'!E389</f>
        <v>0</v>
      </c>
      <c r="E10" s="33">
        <f>'Agile AR Aging &lt;-INPUT'!F389</f>
        <v>0</v>
      </c>
      <c r="F10" s="33">
        <f>'Agile AR Aging &lt;-INPUT'!G389</f>
        <v>0</v>
      </c>
      <c r="G10" s="33">
        <f>'Agile AR Aging &lt;-INPUT'!H389</f>
        <v>0</v>
      </c>
      <c r="H10" s="33">
        <f>'Agile AR Aging &lt;-INPUT'!I389</f>
        <v>0</v>
      </c>
      <c r="I10" s="33">
        <f>'Agile AR Aging &lt;-INPUT'!J389</f>
        <v>0</v>
      </c>
      <c r="J10" s="2">
        <f t="shared" si="0"/>
        <v>0</v>
      </c>
      <c r="L10" s="67"/>
      <c r="N10" s="68"/>
    </row>
    <row r="11" spans="1:15" x14ac:dyDescent="0.25">
      <c r="A11" s="1" t="s">
        <v>42</v>
      </c>
      <c r="B11" s="33">
        <f>'Agile AR Aging &lt;-INPUT'!C390</f>
        <v>0</v>
      </c>
      <c r="C11" s="33">
        <f>'Agile AR Aging &lt;-INPUT'!D390</f>
        <v>0</v>
      </c>
      <c r="D11" s="33">
        <f>'Agile AR Aging &lt;-INPUT'!E390</f>
        <v>0</v>
      </c>
      <c r="E11" s="33">
        <f>'Agile AR Aging &lt;-INPUT'!F390</f>
        <v>0</v>
      </c>
      <c r="F11" s="33">
        <f>'Agile AR Aging &lt;-INPUT'!G390</f>
        <v>0</v>
      </c>
      <c r="G11" s="33">
        <f>'Agile AR Aging &lt;-INPUT'!H390</f>
        <v>0</v>
      </c>
      <c r="H11" s="33">
        <f>'Agile AR Aging &lt;-INPUT'!I390</f>
        <v>0</v>
      </c>
      <c r="I11" s="33">
        <f>'Agile AR Aging &lt;-INPUT'!J390</f>
        <v>0</v>
      </c>
      <c r="J11" s="2">
        <f t="shared" si="0"/>
        <v>0</v>
      </c>
      <c r="L11" s="67"/>
      <c r="N11" s="68"/>
    </row>
    <row r="12" spans="1:15" x14ac:dyDescent="0.25">
      <c r="A12" s="1" t="s">
        <v>6</v>
      </c>
      <c r="B12" s="33">
        <f>'Agile AR Aging &lt;-INPUT'!C391+'Agile AR Aging &lt;-INPUT'!C392+'Agile AR Aging &lt;-INPUT'!C399+'Agile AR Aging &lt;-INPUT'!C405</f>
        <v>0</v>
      </c>
      <c r="C12" s="33">
        <f>'Agile AR Aging &lt;-INPUT'!D391+'Agile AR Aging &lt;-INPUT'!D392+'Agile AR Aging &lt;-INPUT'!D399+'Agile AR Aging &lt;-INPUT'!D405</f>
        <v>0</v>
      </c>
      <c r="D12" s="33">
        <f>'Agile AR Aging &lt;-INPUT'!E391+'Agile AR Aging &lt;-INPUT'!E392+'Agile AR Aging &lt;-INPUT'!E399+'Agile AR Aging &lt;-INPUT'!E405</f>
        <v>0</v>
      </c>
      <c r="E12" s="33">
        <f>'Agile AR Aging &lt;-INPUT'!F391+'Agile AR Aging &lt;-INPUT'!F392+'Agile AR Aging &lt;-INPUT'!F399+'Agile AR Aging &lt;-INPUT'!F405</f>
        <v>0</v>
      </c>
      <c r="F12" s="33">
        <f>'Agile AR Aging &lt;-INPUT'!G391+'Agile AR Aging &lt;-INPUT'!G392+'Agile AR Aging &lt;-INPUT'!G399+'Agile AR Aging &lt;-INPUT'!G405</f>
        <v>0</v>
      </c>
      <c r="G12" s="33">
        <f>'Agile AR Aging &lt;-INPUT'!H391+'Agile AR Aging &lt;-INPUT'!H392+'Agile AR Aging &lt;-INPUT'!H399+'Agile AR Aging &lt;-INPUT'!H405</f>
        <v>0</v>
      </c>
      <c r="H12" s="33">
        <f>'Agile AR Aging &lt;-INPUT'!I391+'Agile AR Aging &lt;-INPUT'!I392+'Agile AR Aging &lt;-INPUT'!I399+'Agile AR Aging &lt;-INPUT'!I405</f>
        <v>0</v>
      </c>
      <c r="I12" s="33">
        <f>'Agile AR Aging &lt;-INPUT'!J391+'Agile AR Aging &lt;-INPUT'!J392+'Agile AR Aging &lt;-INPUT'!J399+'Agile AR Aging &lt;-INPUT'!J405</f>
        <v>0</v>
      </c>
      <c r="J12" s="2">
        <f t="shared" si="0"/>
        <v>0</v>
      </c>
      <c r="L12" s="72"/>
      <c r="N12" s="68"/>
    </row>
    <row r="13" spans="1:15" x14ac:dyDescent="0.25">
      <c r="A13" s="1" t="s">
        <v>50</v>
      </c>
      <c r="B13" s="33">
        <f>'Agile AR Aging &lt;-INPUT'!C393</f>
        <v>0</v>
      </c>
      <c r="C13" s="33">
        <f>'Agile AR Aging &lt;-INPUT'!D393</f>
        <v>0</v>
      </c>
      <c r="D13" s="33">
        <f>'Agile AR Aging &lt;-INPUT'!E393</f>
        <v>0</v>
      </c>
      <c r="E13" s="33">
        <f>'Agile AR Aging &lt;-INPUT'!F393</f>
        <v>0</v>
      </c>
      <c r="F13" s="33">
        <f>'Agile AR Aging &lt;-INPUT'!G393</f>
        <v>0</v>
      </c>
      <c r="G13" s="33">
        <f>'Agile AR Aging &lt;-INPUT'!H393</f>
        <v>0</v>
      </c>
      <c r="H13" s="33">
        <f>'Agile AR Aging &lt;-INPUT'!I393</f>
        <v>0</v>
      </c>
      <c r="I13" s="33">
        <f>'Agile AR Aging &lt;-INPUT'!J393</f>
        <v>0</v>
      </c>
      <c r="J13" s="2">
        <f t="shared" si="0"/>
        <v>0</v>
      </c>
      <c r="L13" s="72"/>
      <c r="N13" s="68"/>
    </row>
    <row r="14" spans="1:15" x14ac:dyDescent="0.25">
      <c r="A14" s="1" t="s">
        <v>89</v>
      </c>
      <c r="B14" s="33">
        <f>'Agile AR Aging &lt;-INPUT'!C394</f>
        <v>0</v>
      </c>
      <c r="C14" s="33">
        <f>'Agile AR Aging &lt;-INPUT'!D394</f>
        <v>0</v>
      </c>
      <c r="D14" s="33">
        <f>'Agile AR Aging &lt;-INPUT'!E394</f>
        <v>0</v>
      </c>
      <c r="E14" s="33">
        <f>'Agile AR Aging &lt;-INPUT'!F394</f>
        <v>0</v>
      </c>
      <c r="F14" s="33">
        <f>'Agile AR Aging &lt;-INPUT'!G394</f>
        <v>0</v>
      </c>
      <c r="G14" s="33">
        <f>'Agile AR Aging &lt;-INPUT'!H394</f>
        <v>0</v>
      </c>
      <c r="H14" s="33">
        <f>'Agile AR Aging &lt;-INPUT'!I394</f>
        <v>0</v>
      </c>
      <c r="I14" s="33">
        <f>'Agile AR Aging &lt;-INPUT'!J394</f>
        <v>0</v>
      </c>
      <c r="J14" s="2">
        <f t="shared" si="0"/>
        <v>0</v>
      </c>
      <c r="L14" s="72"/>
      <c r="N14" s="68"/>
    </row>
    <row r="15" spans="1:15" x14ac:dyDescent="0.25">
      <c r="A15" s="1" t="s">
        <v>5</v>
      </c>
      <c r="B15" s="33">
        <f>'Agile AR Aging &lt;-INPUT'!C395</f>
        <v>0</v>
      </c>
      <c r="C15" s="33">
        <f>'Agile AR Aging &lt;-INPUT'!D395</f>
        <v>0</v>
      </c>
      <c r="D15" s="33">
        <f>'Agile AR Aging &lt;-INPUT'!E395</f>
        <v>0</v>
      </c>
      <c r="E15" s="33">
        <f>'Agile AR Aging &lt;-INPUT'!F395</f>
        <v>0</v>
      </c>
      <c r="F15" s="33">
        <f>'Agile AR Aging &lt;-INPUT'!G395</f>
        <v>0</v>
      </c>
      <c r="G15" s="33">
        <f>'Agile AR Aging &lt;-INPUT'!H395</f>
        <v>0</v>
      </c>
      <c r="H15" s="33">
        <f>'Agile AR Aging &lt;-INPUT'!I395</f>
        <v>0</v>
      </c>
      <c r="I15" s="33">
        <f>'Agile AR Aging &lt;-INPUT'!J395</f>
        <v>0</v>
      </c>
      <c r="J15" s="2">
        <f t="shared" si="0"/>
        <v>0</v>
      </c>
      <c r="L15" s="72"/>
      <c r="N15" s="68"/>
    </row>
    <row r="16" spans="1:15" x14ac:dyDescent="0.25">
      <c r="A16" s="1" t="s">
        <v>84</v>
      </c>
      <c r="B16" s="33">
        <f>'Agile AR Aging &lt;-INPUT'!C396</f>
        <v>0</v>
      </c>
      <c r="C16" s="33">
        <f>'Agile AR Aging &lt;-INPUT'!D396</f>
        <v>0</v>
      </c>
      <c r="D16" s="33">
        <f>'Agile AR Aging &lt;-INPUT'!E396</f>
        <v>0</v>
      </c>
      <c r="E16" s="33">
        <f>'Agile AR Aging &lt;-INPUT'!F396</f>
        <v>0</v>
      </c>
      <c r="F16" s="33">
        <f>'Agile AR Aging &lt;-INPUT'!G396</f>
        <v>0</v>
      </c>
      <c r="G16" s="33">
        <f>'Agile AR Aging &lt;-INPUT'!H396</f>
        <v>0</v>
      </c>
      <c r="H16" s="33">
        <f>'Agile AR Aging &lt;-INPUT'!I396</f>
        <v>0</v>
      </c>
      <c r="I16" s="33">
        <f>'Agile AR Aging &lt;-INPUT'!J396</f>
        <v>0</v>
      </c>
      <c r="J16" s="2">
        <f t="shared" si="0"/>
        <v>0</v>
      </c>
      <c r="L16" s="72"/>
      <c r="N16" s="68"/>
    </row>
    <row r="17" spans="1:17" x14ac:dyDescent="0.25">
      <c r="A17" s="1" t="s">
        <v>4</v>
      </c>
      <c r="B17" s="33">
        <f>'Agile AR Aging &lt;-INPUT'!C397</f>
        <v>0</v>
      </c>
      <c r="C17" s="33">
        <f>'Agile AR Aging &lt;-INPUT'!D397</f>
        <v>0</v>
      </c>
      <c r="D17" s="33">
        <f>'Agile AR Aging &lt;-INPUT'!E397</f>
        <v>0</v>
      </c>
      <c r="E17" s="33">
        <f>'Agile AR Aging &lt;-INPUT'!F397</f>
        <v>0</v>
      </c>
      <c r="F17" s="33">
        <f>'Agile AR Aging &lt;-INPUT'!G397</f>
        <v>0</v>
      </c>
      <c r="G17" s="33">
        <f>'Agile AR Aging &lt;-INPUT'!H397</f>
        <v>0</v>
      </c>
      <c r="H17" s="33">
        <f>'Agile AR Aging &lt;-INPUT'!I397</f>
        <v>0</v>
      </c>
      <c r="I17" s="33">
        <f>'Agile AR Aging &lt;-INPUT'!J397</f>
        <v>0</v>
      </c>
      <c r="J17" s="2">
        <f t="shared" si="0"/>
        <v>0</v>
      </c>
      <c r="L17" s="72"/>
      <c r="N17" s="68"/>
    </row>
    <row r="18" spans="1:17" x14ac:dyDescent="0.25">
      <c r="A18" s="1" t="s">
        <v>51</v>
      </c>
      <c r="B18" s="33">
        <f>'Agile AR Aging &lt;-INPUT'!C398</f>
        <v>0</v>
      </c>
      <c r="C18" s="33">
        <f>'Agile AR Aging &lt;-INPUT'!D398</f>
        <v>0</v>
      </c>
      <c r="D18" s="33">
        <f>'Agile AR Aging &lt;-INPUT'!E398</f>
        <v>0</v>
      </c>
      <c r="E18" s="33">
        <f>'Agile AR Aging &lt;-INPUT'!F398</f>
        <v>0</v>
      </c>
      <c r="F18" s="33">
        <f>'Agile AR Aging &lt;-INPUT'!G398</f>
        <v>0</v>
      </c>
      <c r="G18" s="33">
        <f>'Agile AR Aging &lt;-INPUT'!H398</f>
        <v>0</v>
      </c>
      <c r="H18" s="33">
        <f>'Agile AR Aging &lt;-INPUT'!I398</f>
        <v>0</v>
      </c>
      <c r="I18" s="33">
        <f>'Agile AR Aging &lt;-INPUT'!J398</f>
        <v>0</v>
      </c>
      <c r="J18" s="2">
        <f t="shared" si="0"/>
        <v>0</v>
      </c>
      <c r="L18" s="72"/>
      <c r="N18" s="68"/>
    </row>
    <row r="19" spans="1:17" x14ac:dyDescent="0.25">
      <c r="A19" s="1" t="s">
        <v>85</v>
      </c>
      <c r="B19" s="33">
        <f>'Agile AR Aging &lt;-INPUT'!C400</f>
        <v>0</v>
      </c>
      <c r="C19" s="33">
        <f>'Agile AR Aging &lt;-INPUT'!D400</f>
        <v>0</v>
      </c>
      <c r="D19" s="33">
        <f>'Agile AR Aging &lt;-INPUT'!E400</f>
        <v>0</v>
      </c>
      <c r="E19" s="33">
        <f>'Agile AR Aging &lt;-INPUT'!F400</f>
        <v>0</v>
      </c>
      <c r="F19" s="33">
        <f>'Agile AR Aging &lt;-INPUT'!G400</f>
        <v>0</v>
      </c>
      <c r="G19" s="33">
        <f>'Agile AR Aging &lt;-INPUT'!H400</f>
        <v>0</v>
      </c>
      <c r="H19" s="33">
        <f>'Agile AR Aging &lt;-INPUT'!I400</f>
        <v>0</v>
      </c>
      <c r="I19" s="33">
        <f>'Agile AR Aging &lt;-INPUT'!J400</f>
        <v>0</v>
      </c>
      <c r="J19" s="2">
        <f t="shared" si="0"/>
        <v>0</v>
      </c>
      <c r="L19" s="72"/>
      <c r="N19" s="68"/>
    </row>
    <row r="20" spans="1:17" x14ac:dyDescent="0.25">
      <c r="A20" s="1" t="s">
        <v>2</v>
      </c>
      <c r="B20" s="33">
        <f>'Agile AR Aging &lt;-INPUT'!C401</f>
        <v>0</v>
      </c>
      <c r="C20" s="33">
        <f>'Agile AR Aging &lt;-INPUT'!D401</f>
        <v>0</v>
      </c>
      <c r="D20" s="33">
        <f>'Agile AR Aging &lt;-INPUT'!E401</f>
        <v>0</v>
      </c>
      <c r="E20" s="33">
        <f>'Agile AR Aging &lt;-INPUT'!F401</f>
        <v>0</v>
      </c>
      <c r="F20" s="33">
        <f>'Agile AR Aging &lt;-INPUT'!G401</f>
        <v>0</v>
      </c>
      <c r="G20" s="33">
        <f>'Agile AR Aging &lt;-INPUT'!H401</f>
        <v>0</v>
      </c>
      <c r="H20" s="33">
        <f>'Agile AR Aging &lt;-INPUT'!I401</f>
        <v>0</v>
      </c>
      <c r="I20" s="33">
        <f>'Agile AR Aging &lt;-INPUT'!J401</f>
        <v>0</v>
      </c>
      <c r="J20" s="2">
        <f t="shared" si="0"/>
        <v>0</v>
      </c>
      <c r="L20" s="72"/>
      <c r="N20" s="68"/>
    </row>
    <row r="21" spans="1:17" x14ac:dyDescent="0.25">
      <c r="A21" s="1" t="s">
        <v>86</v>
      </c>
      <c r="B21" s="33">
        <f>'Agile AR Aging &lt;-INPUT'!C402</f>
        <v>0</v>
      </c>
      <c r="C21" s="33">
        <f>'Agile AR Aging &lt;-INPUT'!D402</f>
        <v>0</v>
      </c>
      <c r="D21" s="33">
        <f>'Agile AR Aging &lt;-INPUT'!E402</f>
        <v>0</v>
      </c>
      <c r="E21" s="33">
        <f>'Agile AR Aging &lt;-INPUT'!F402</f>
        <v>0</v>
      </c>
      <c r="F21" s="33">
        <f>'Agile AR Aging &lt;-INPUT'!G402</f>
        <v>0</v>
      </c>
      <c r="G21" s="33">
        <f>'Agile AR Aging &lt;-INPUT'!H402</f>
        <v>0</v>
      </c>
      <c r="H21" s="33">
        <f>'Agile AR Aging &lt;-INPUT'!I402</f>
        <v>0</v>
      </c>
      <c r="I21" s="33">
        <f>'Agile AR Aging &lt;-INPUT'!J402</f>
        <v>0</v>
      </c>
      <c r="J21" s="2">
        <f t="shared" si="0"/>
        <v>0</v>
      </c>
      <c r="L21" s="72"/>
      <c r="N21" s="68"/>
    </row>
    <row r="22" spans="1:17" x14ac:dyDescent="0.25">
      <c r="A22" s="1" t="s">
        <v>29</v>
      </c>
      <c r="B22" s="33">
        <f>'Agile AR Aging &lt;-INPUT'!C403</f>
        <v>0</v>
      </c>
      <c r="C22" s="33">
        <f>'Agile AR Aging &lt;-INPUT'!D403</f>
        <v>0</v>
      </c>
      <c r="D22" s="33">
        <f>'Agile AR Aging &lt;-INPUT'!E403</f>
        <v>0</v>
      </c>
      <c r="E22" s="33">
        <f>'Agile AR Aging &lt;-INPUT'!F403</f>
        <v>0</v>
      </c>
      <c r="F22" s="33">
        <f>'Agile AR Aging &lt;-INPUT'!G403</f>
        <v>0</v>
      </c>
      <c r="G22" s="33">
        <f>'Agile AR Aging &lt;-INPUT'!H403</f>
        <v>0</v>
      </c>
      <c r="H22" s="33">
        <f>'Agile AR Aging &lt;-INPUT'!I403</f>
        <v>0</v>
      </c>
      <c r="I22" s="33">
        <f>'Agile AR Aging &lt;-INPUT'!J403</f>
        <v>0</v>
      </c>
      <c r="J22" s="2">
        <f t="shared" si="0"/>
        <v>0</v>
      </c>
      <c r="L22" s="72"/>
      <c r="N22" s="68"/>
    </row>
    <row r="23" spans="1:17" x14ac:dyDescent="0.25">
      <c r="A23" s="1" t="s">
        <v>52</v>
      </c>
      <c r="B23" s="33">
        <f>'Agile AR Aging &lt;-INPUT'!C404</f>
        <v>0</v>
      </c>
      <c r="C23" s="33">
        <f>'Agile AR Aging &lt;-INPUT'!D404</f>
        <v>0</v>
      </c>
      <c r="D23" s="33">
        <f>'Agile AR Aging &lt;-INPUT'!E404</f>
        <v>0</v>
      </c>
      <c r="E23" s="33">
        <f>'Agile AR Aging &lt;-INPUT'!F404</f>
        <v>0</v>
      </c>
      <c r="F23" s="33">
        <f>'Agile AR Aging &lt;-INPUT'!G404</f>
        <v>0</v>
      </c>
      <c r="G23" s="33">
        <f>'Agile AR Aging &lt;-INPUT'!H404</f>
        <v>0</v>
      </c>
      <c r="H23" s="33">
        <f>'Agile AR Aging &lt;-INPUT'!I404</f>
        <v>0</v>
      </c>
      <c r="I23" s="33">
        <f>'Agile AR Aging &lt;-INPUT'!J404</f>
        <v>0</v>
      </c>
      <c r="J23" s="2">
        <f t="shared" si="0"/>
        <v>0</v>
      </c>
      <c r="L23" s="72"/>
      <c r="N23" s="68"/>
    </row>
    <row r="24" spans="1:17" x14ac:dyDescent="0.25">
      <c r="A24" s="1" t="s">
        <v>1</v>
      </c>
      <c r="B24" s="32">
        <f>'Agile AR Aging &lt;-INPUT'!C406</f>
        <v>0</v>
      </c>
      <c r="C24" s="32">
        <f>'Agile AR Aging &lt;-INPUT'!D406</f>
        <v>0</v>
      </c>
      <c r="D24" s="32">
        <f>'Agile AR Aging &lt;-INPUT'!E406</f>
        <v>0</v>
      </c>
      <c r="E24" s="32">
        <f>'Agile AR Aging &lt;-INPUT'!F406</f>
        <v>0</v>
      </c>
      <c r="F24" s="32">
        <f>'Agile AR Aging &lt;-INPUT'!G406</f>
        <v>0</v>
      </c>
      <c r="G24" s="32">
        <f>'Agile AR Aging &lt;-INPUT'!H406</f>
        <v>0</v>
      </c>
      <c r="H24" s="32">
        <f>'Agile AR Aging &lt;-INPUT'!I406</f>
        <v>0</v>
      </c>
      <c r="I24" s="32">
        <f>'Agile AR Aging &lt;-INPUT'!J406</f>
        <v>0</v>
      </c>
      <c r="J24" s="9">
        <f t="shared" si="0"/>
        <v>0</v>
      </c>
      <c r="L24" s="72"/>
      <c r="N24" s="68"/>
    </row>
    <row r="25" spans="1:17" x14ac:dyDescent="0.25">
      <c r="A25" s="1" t="s">
        <v>0</v>
      </c>
      <c r="B25" s="10">
        <f t="shared" ref="B25:I25" si="1">SUM(B8:B24)</f>
        <v>0</v>
      </c>
      <c r="C25" s="10">
        <f t="shared" si="1"/>
        <v>0</v>
      </c>
      <c r="D25" s="10">
        <f t="shared" si="1"/>
        <v>0</v>
      </c>
      <c r="E25" s="10">
        <f t="shared" si="1"/>
        <v>0</v>
      </c>
      <c r="F25" s="10">
        <f t="shared" si="1"/>
        <v>0</v>
      </c>
      <c r="G25" s="10">
        <f t="shared" si="1"/>
        <v>0</v>
      </c>
      <c r="H25" s="10">
        <f t="shared" si="1"/>
        <v>0</v>
      </c>
      <c r="I25" s="10">
        <f t="shared" si="1"/>
        <v>0</v>
      </c>
      <c r="J25" s="10">
        <f>SUM(B25:H25)</f>
        <v>0</v>
      </c>
      <c r="L25" s="31"/>
    </row>
    <row r="26" spans="1:17" ht="15.75" thickBot="1" x14ac:dyDescent="0.3">
      <c r="A26" s="1"/>
      <c r="B26" s="9"/>
      <c r="C26" s="9"/>
      <c r="D26" s="9"/>
      <c r="E26" s="9"/>
      <c r="F26" s="9"/>
      <c r="G26" s="9"/>
      <c r="H26" s="9"/>
      <c r="I26" s="9"/>
      <c r="J26" s="9"/>
      <c r="L26" s="31"/>
      <c r="Q26" s="1"/>
    </row>
    <row r="27" spans="1:17" ht="15.75" thickBot="1" x14ac:dyDescent="0.3">
      <c r="A27" s="153" t="s">
        <v>55</v>
      </c>
      <c r="B27" s="154"/>
      <c r="C27" s="154"/>
      <c r="D27" s="154"/>
      <c r="E27" s="154"/>
      <c r="F27" s="154"/>
      <c r="G27" s="154"/>
      <c r="H27" s="154"/>
      <c r="I27" s="154"/>
      <c r="J27" s="155"/>
      <c r="Q27" s="1"/>
    </row>
    <row r="28" spans="1:17" x14ac:dyDescent="0.25">
      <c r="A28" s="4" t="s">
        <v>16</v>
      </c>
      <c r="B28" s="5" t="s">
        <v>15</v>
      </c>
      <c r="C28" s="5" t="s">
        <v>14</v>
      </c>
      <c r="D28" s="5" t="s">
        <v>13</v>
      </c>
      <c r="E28" s="5" t="s">
        <v>12</v>
      </c>
      <c r="F28" s="5" t="s">
        <v>94</v>
      </c>
      <c r="G28" s="5" t="s">
        <v>95</v>
      </c>
      <c r="H28" s="5" t="s">
        <v>38</v>
      </c>
      <c r="I28" s="5" t="s">
        <v>9</v>
      </c>
      <c r="J28" s="5" t="s">
        <v>0</v>
      </c>
      <c r="Q28" s="1"/>
    </row>
    <row r="29" spans="1:17" x14ac:dyDescent="0.25">
      <c r="A29" s="1" t="s">
        <v>49</v>
      </c>
      <c r="B29" s="36">
        <f>'Reimbursement Rates &lt;-INPUT'!P9</f>
        <v>0</v>
      </c>
      <c r="C29" s="36">
        <f t="shared" ref="C29:I45" si="2">B29</f>
        <v>0</v>
      </c>
      <c r="D29" s="36">
        <f t="shared" si="2"/>
        <v>0</v>
      </c>
      <c r="E29" s="36">
        <f t="shared" si="2"/>
        <v>0</v>
      </c>
      <c r="F29" s="36">
        <f t="shared" si="2"/>
        <v>0</v>
      </c>
      <c r="G29" s="36">
        <f t="shared" si="2"/>
        <v>0</v>
      </c>
      <c r="H29" s="36">
        <f t="shared" si="2"/>
        <v>0</v>
      </c>
      <c r="I29" s="36">
        <f t="shared" si="2"/>
        <v>0</v>
      </c>
      <c r="J29" s="36">
        <f t="shared" ref="J29:J45" si="3">H29</f>
        <v>0</v>
      </c>
    </row>
    <row r="30" spans="1:17" x14ac:dyDescent="0.25">
      <c r="A30" s="1" t="s">
        <v>8</v>
      </c>
      <c r="B30" s="36">
        <f>'Reimbursement Rates &lt;-INPUT'!P10</f>
        <v>0</v>
      </c>
      <c r="C30" s="36">
        <f t="shared" si="2"/>
        <v>0</v>
      </c>
      <c r="D30" s="36">
        <f t="shared" si="2"/>
        <v>0</v>
      </c>
      <c r="E30" s="36">
        <f t="shared" si="2"/>
        <v>0</v>
      </c>
      <c r="F30" s="36">
        <f t="shared" si="2"/>
        <v>0</v>
      </c>
      <c r="G30" s="36">
        <f t="shared" si="2"/>
        <v>0</v>
      </c>
      <c r="H30" s="36">
        <f t="shared" si="2"/>
        <v>0</v>
      </c>
      <c r="I30" s="36">
        <f t="shared" si="2"/>
        <v>0</v>
      </c>
      <c r="J30" s="36">
        <f t="shared" si="3"/>
        <v>0</v>
      </c>
      <c r="Q30" s="1"/>
    </row>
    <row r="31" spans="1:17" x14ac:dyDescent="0.25">
      <c r="A31" s="1" t="s">
        <v>7</v>
      </c>
      <c r="B31" s="36">
        <f>'Reimbursement Rates &lt;-INPUT'!P11</f>
        <v>0</v>
      </c>
      <c r="C31" s="36">
        <f t="shared" si="2"/>
        <v>0</v>
      </c>
      <c r="D31" s="36">
        <f t="shared" si="2"/>
        <v>0</v>
      </c>
      <c r="E31" s="36">
        <f t="shared" si="2"/>
        <v>0</v>
      </c>
      <c r="F31" s="36">
        <f t="shared" si="2"/>
        <v>0</v>
      </c>
      <c r="G31" s="36">
        <f t="shared" si="2"/>
        <v>0</v>
      </c>
      <c r="H31" s="36">
        <f t="shared" si="2"/>
        <v>0</v>
      </c>
      <c r="I31" s="36">
        <f t="shared" si="2"/>
        <v>0</v>
      </c>
      <c r="J31" s="36">
        <f t="shared" si="3"/>
        <v>0</v>
      </c>
    </row>
    <row r="32" spans="1:17" x14ac:dyDescent="0.25">
      <c r="A32" s="1" t="s">
        <v>42</v>
      </c>
      <c r="B32" s="36">
        <f>'Reimbursement Rates &lt;-INPUT'!P12</f>
        <v>0</v>
      </c>
      <c r="C32" s="36">
        <f t="shared" si="2"/>
        <v>0</v>
      </c>
      <c r="D32" s="36">
        <f t="shared" si="2"/>
        <v>0</v>
      </c>
      <c r="E32" s="36">
        <f t="shared" si="2"/>
        <v>0</v>
      </c>
      <c r="F32" s="36">
        <f t="shared" si="2"/>
        <v>0</v>
      </c>
      <c r="G32" s="36">
        <f t="shared" si="2"/>
        <v>0</v>
      </c>
      <c r="H32" s="36">
        <f t="shared" si="2"/>
        <v>0</v>
      </c>
      <c r="I32" s="36">
        <f t="shared" si="2"/>
        <v>0</v>
      </c>
      <c r="J32" s="36">
        <f t="shared" si="3"/>
        <v>0</v>
      </c>
    </row>
    <row r="33" spans="1:17" x14ac:dyDescent="0.25">
      <c r="A33" s="1" t="s">
        <v>6</v>
      </c>
      <c r="B33" s="36">
        <f>'Reimbursement Rates &lt;-INPUT'!P13</f>
        <v>0</v>
      </c>
      <c r="C33" s="36">
        <f t="shared" si="2"/>
        <v>0</v>
      </c>
      <c r="D33" s="36">
        <f t="shared" si="2"/>
        <v>0</v>
      </c>
      <c r="E33" s="36">
        <f t="shared" si="2"/>
        <v>0</v>
      </c>
      <c r="F33" s="36">
        <f t="shared" si="2"/>
        <v>0</v>
      </c>
      <c r="G33" s="36">
        <f t="shared" si="2"/>
        <v>0</v>
      </c>
      <c r="H33" s="36">
        <f t="shared" si="2"/>
        <v>0</v>
      </c>
      <c r="I33" s="36">
        <f t="shared" si="2"/>
        <v>0</v>
      </c>
      <c r="J33" s="36">
        <f t="shared" si="3"/>
        <v>0</v>
      </c>
      <c r="Q33" s="1"/>
    </row>
    <row r="34" spans="1:17" x14ac:dyDescent="0.25">
      <c r="A34" s="1" t="s">
        <v>50</v>
      </c>
      <c r="B34" s="36">
        <f>'Reimbursement Rates &lt;-INPUT'!P15</f>
        <v>0</v>
      </c>
      <c r="C34" s="36">
        <f t="shared" si="2"/>
        <v>0</v>
      </c>
      <c r="D34" s="36">
        <f t="shared" si="2"/>
        <v>0</v>
      </c>
      <c r="E34" s="36">
        <f t="shared" si="2"/>
        <v>0</v>
      </c>
      <c r="F34" s="36">
        <f t="shared" si="2"/>
        <v>0</v>
      </c>
      <c r="G34" s="36">
        <f t="shared" si="2"/>
        <v>0</v>
      </c>
      <c r="H34" s="36">
        <f t="shared" si="2"/>
        <v>0</v>
      </c>
      <c r="I34" s="36">
        <f t="shared" si="2"/>
        <v>0</v>
      </c>
      <c r="J34" s="36">
        <f t="shared" si="3"/>
        <v>0</v>
      </c>
      <c r="M34" s="7"/>
    </row>
    <row r="35" spans="1:17" x14ac:dyDescent="0.25">
      <c r="A35" s="1" t="s">
        <v>89</v>
      </c>
      <c r="B35" s="36">
        <f>'Reimbursement Rates &lt;-INPUT'!P16</f>
        <v>0</v>
      </c>
      <c r="C35" s="36">
        <f t="shared" si="2"/>
        <v>0</v>
      </c>
      <c r="D35" s="36">
        <f t="shared" si="2"/>
        <v>0</v>
      </c>
      <c r="E35" s="36">
        <f t="shared" si="2"/>
        <v>0</v>
      </c>
      <c r="F35" s="36">
        <f t="shared" si="2"/>
        <v>0</v>
      </c>
      <c r="G35" s="36">
        <f t="shared" si="2"/>
        <v>0</v>
      </c>
      <c r="H35" s="36">
        <f t="shared" si="2"/>
        <v>0</v>
      </c>
      <c r="I35" s="36">
        <f t="shared" si="2"/>
        <v>0</v>
      </c>
      <c r="J35" s="36">
        <f t="shared" si="3"/>
        <v>0</v>
      </c>
      <c r="M35" s="7"/>
    </row>
    <row r="36" spans="1:17" x14ac:dyDescent="0.25">
      <c r="A36" s="1" t="s">
        <v>5</v>
      </c>
      <c r="B36" s="36">
        <f>'Reimbursement Rates &lt;-INPUT'!P17</f>
        <v>0</v>
      </c>
      <c r="C36" s="36">
        <f t="shared" si="2"/>
        <v>0</v>
      </c>
      <c r="D36" s="36">
        <f t="shared" si="2"/>
        <v>0</v>
      </c>
      <c r="E36" s="36">
        <f t="shared" si="2"/>
        <v>0</v>
      </c>
      <c r="F36" s="36">
        <f t="shared" si="2"/>
        <v>0</v>
      </c>
      <c r="G36" s="36">
        <f t="shared" si="2"/>
        <v>0</v>
      </c>
      <c r="H36" s="36">
        <f t="shared" si="2"/>
        <v>0</v>
      </c>
      <c r="I36" s="36">
        <f t="shared" si="2"/>
        <v>0</v>
      </c>
      <c r="J36" s="36">
        <f t="shared" si="3"/>
        <v>0</v>
      </c>
      <c r="M36" s="7"/>
      <c r="Q36" s="1"/>
    </row>
    <row r="37" spans="1:17" x14ac:dyDescent="0.25">
      <c r="A37" s="1" t="s">
        <v>84</v>
      </c>
      <c r="B37" s="36">
        <f>'Reimbursement Rates &lt;-INPUT'!P18</f>
        <v>0</v>
      </c>
      <c r="C37" s="36">
        <f t="shared" si="2"/>
        <v>0</v>
      </c>
      <c r="D37" s="36">
        <f t="shared" si="2"/>
        <v>0</v>
      </c>
      <c r="E37" s="36">
        <f t="shared" si="2"/>
        <v>0</v>
      </c>
      <c r="F37" s="36">
        <f t="shared" si="2"/>
        <v>0</v>
      </c>
      <c r="G37" s="36">
        <f t="shared" si="2"/>
        <v>0</v>
      </c>
      <c r="H37" s="36">
        <f t="shared" si="2"/>
        <v>0</v>
      </c>
      <c r="I37" s="36">
        <f t="shared" si="2"/>
        <v>0</v>
      </c>
      <c r="J37" s="36">
        <f t="shared" si="3"/>
        <v>0</v>
      </c>
      <c r="M37" s="7"/>
      <c r="Q37" s="1"/>
    </row>
    <row r="38" spans="1:17" x14ac:dyDescent="0.25">
      <c r="A38" s="1" t="s">
        <v>4</v>
      </c>
      <c r="B38" s="36">
        <f>'Reimbursement Rates &lt;-INPUT'!P19</f>
        <v>0</v>
      </c>
      <c r="C38" s="36">
        <f t="shared" si="2"/>
        <v>0</v>
      </c>
      <c r="D38" s="36">
        <f t="shared" si="2"/>
        <v>0</v>
      </c>
      <c r="E38" s="36">
        <f t="shared" si="2"/>
        <v>0</v>
      </c>
      <c r="F38" s="36">
        <f t="shared" si="2"/>
        <v>0</v>
      </c>
      <c r="G38" s="36">
        <f t="shared" si="2"/>
        <v>0</v>
      </c>
      <c r="H38" s="36">
        <f t="shared" si="2"/>
        <v>0</v>
      </c>
      <c r="I38" s="36">
        <f t="shared" si="2"/>
        <v>0</v>
      </c>
      <c r="J38" s="36">
        <f t="shared" si="3"/>
        <v>0</v>
      </c>
      <c r="M38" s="7"/>
    </row>
    <row r="39" spans="1:17" x14ac:dyDescent="0.25">
      <c r="A39" s="1" t="s">
        <v>51</v>
      </c>
      <c r="B39" s="36">
        <f>'Reimbursement Rates &lt;-INPUT'!P20</f>
        <v>0</v>
      </c>
      <c r="C39" s="36">
        <f t="shared" si="2"/>
        <v>0</v>
      </c>
      <c r="D39" s="36">
        <f t="shared" si="2"/>
        <v>0</v>
      </c>
      <c r="E39" s="36">
        <f t="shared" si="2"/>
        <v>0</v>
      </c>
      <c r="F39" s="36">
        <f t="shared" si="2"/>
        <v>0</v>
      </c>
      <c r="G39" s="36">
        <f t="shared" si="2"/>
        <v>0</v>
      </c>
      <c r="H39" s="36">
        <f t="shared" si="2"/>
        <v>0</v>
      </c>
      <c r="I39" s="36">
        <f t="shared" si="2"/>
        <v>0</v>
      </c>
      <c r="J39" s="36">
        <f t="shared" si="3"/>
        <v>0</v>
      </c>
      <c r="M39" s="7"/>
      <c r="Q39" s="1"/>
    </row>
    <row r="40" spans="1:17" x14ac:dyDescent="0.25">
      <c r="A40" s="1" t="s">
        <v>85</v>
      </c>
      <c r="B40" s="36">
        <f>'Reimbursement Rates &lt;-INPUT'!P22</f>
        <v>0</v>
      </c>
      <c r="C40" s="36">
        <f t="shared" si="2"/>
        <v>0</v>
      </c>
      <c r="D40" s="36">
        <f t="shared" si="2"/>
        <v>0</v>
      </c>
      <c r="E40" s="36">
        <f t="shared" si="2"/>
        <v>0</v>
      </c>
      <c r="F40" s="36">
        <f t="shared" si="2"/>
        <v>0</v>
      </c>
      <c r="G40" s="36">
        <f t="shared" si="2"/>
        <v>0</v>
      </c>
      <c r="H40" s="36">
        <f t="shared" si="2"/>
        <v>0</v>
      </c>
      <c r="I40" s="36">
        <f t="shared" si="2"/>
        <v>0</v>
      </c>
      <c r="J40" s="36">
        <f t="shared" si="3"/>
        <v>0</v>
      </c>
      <c r="M40" s="7"/>
      <c r="Q40" s="1"/>
    </row>
    <row r="41" spans="1:17" x14ac:dyDescent="0.25">
      <c r="A41" s="1" t="s">
        <v>2</v>
      </c>
      <c r="B41" s="36">
        <f>'Reimbursement Rates &lt;-INPUT'!P23</f>
        <v>0</v>
      </c>
      <c r="C41" s="36">
        <f t="shared" si="2"/>
        <v>0</v>
      </c>
      <c r="D41" s="36">
        <f t="shared" si="2"/>
        <v>0</v>
      </c>
      <c r="E41" s="36">
        <f t="shared" si="2"/>
        <v>0</v>
      </c>
      <c r="F41" s="36">
        <f t="shared" si="2"/>
        <v>0</v>
      </c>
      <c r="G41" s="36">
        <f t="shared" si="2"/>
        <v>0</v>
      </c>
      <c r="H41" s="36">
        <f t="shared" si="2"/>
        <v>0</v>
      </c>
      <c r="I41" s="36">
        <f t="shared" si="2"/>
        <v>0</v>
      </c>
      <c r="J41" s="36">
        <f t="shared" si="3"/>
        <v>0</v>
      </c>
      <c r="M41" s="7"/>
      <c r="Q41" s="1"/>
    </row>
    <row r="42" spans="1:17" x14ac:dyDescent="0.25">
      <c r="A42" s="1" t="s">
        <v>86</v>
      </c>
      <c r="B42" s="36">
        <f>'Reimbursement Rates &lt;-INPUT'!P24</f>
        <v>0</v>
      </c>
      <c r="C42" s="36">
        <f t="shared" si="2"/>
        <v>0</v>
      </c>
      <c r="D42" s="36">
        <f t="shared" si="2"/>
        <v>0</v>
      </c>
      <c r="E42" s="36">
        <f t="shared" si="2"/>
        <v>0</v>
      </c>
      <c r="F42" s="36">
        <f t="shared" si="2"/>
        <v>0</v>
      </c>
      <c r="G42" s="36">
        <f t="shared" si="2"/>
        <v>0</v>
      </c>
      <c r="H42" s="36">
        <f t="shared" si="2"/>
        <v>0</v>
      </c>
      <c r="I42" s="36">
        <f t="shared" si="2"/>
        <v>0</v>
      </c>
      <c r="J42" s="36">
        <f t="shared" si="3"/>
        <v>0</v>
      </c>
      <c r="M42" s="7"/>
    </row>
    <row r="43" spans="1:17" x14ac:dyDescent="0.25">
      <c r="A43" s="1" t="s">
        <v>29</v>
      </c>
      <c r="B43" s="36">
        <f>'Reimbursement Rates &lt;-INPUT'!P25</f>
        <v>0</v>
      </c>
      <c r="C43" s="36">
        <f t="shared" si="2"/>
        <v>0</v>
      </c>
      <c r="D43" s="36">
        <f t="shared" si="2"/>
        <v>0</v>
      </c>
      <c r="E43" s="36">
        <f t="shared" si="2"/>
        <v>0</v>
      </c>
      <c r="F43" s="36">
        <f t="shared" si="2"/>
        <v>0</v>
      </c>
      <c r="G43" s="36">
        <f t="shared" si="2"/>
        <v>0</v>
      </c>
      <c r="H43" s="36">
        <f t="shared" si="2"/>
        <v>0</v>
      </c>
      <c r="I43" s="36">
        <f t="shared" si="2"/>
        <v>0</v>
      </c>
      <c r="J43" s="36">
        <f t="shared" si="3"/>
        <v>0</v>
      </c>
      <c r="M43" s="7"/>
    </row>
    <row r="44" spans="1:17" x14ac:dyDescent="0.25">
      <c r="A44" s="1" t="s">
        <v>52</v>
      </c>
      <c r="B44" s="36">
        <f>'Reimbursement Rates &lt;-INPUT'!P26</f>
        <v>0</v>
      </c>
      <c r="C44" s="36">
        <f t="shared" si="2"/>
        <v>0</v>
      </c>
      <c r="D44" s="36">
        <f t="shared" si="2"/>
        <v>0</v>
      </c>
      <c r="E44" s="36">
        <f t="shared" si="2"/>
        <v>0</v>
      </c>
      <c r="F44" s="36">
        <f t="shared" si="2"/>
        <v>0</v>
      </c>
      <c r="G44" s="36">
        <f t="shared" si="2"/>
        <v>0</v>
      </c>
      <c r="H44" s="36">
        <f t="shared" si="2"/>
        <v>0</v>
      </c>
      <c r="I44" s="36">
        <f t="shared" si="2"/>
        <v>0</v>
      </c>
      <c r="J44" s="36">
        <f t="shared" si="3"/>
        <v>0</v>
      </c>
      <c r="M44" s="7"/>
      <c r="Q44" s="1"/>
    </row>
    <row r="45" spans="1:17" x14ac:dyDescent="0.25">
      <c r="A45" s="1" t="s">
        <v>1</v>
      </c>
      <c r="B45" s="36">
        <f>'Reimbursement Rates &lt;-INPUT'!P28</f>
        <v>0</v>
      </c>
      <c r="C45" s="36">
        <f t="shared" si="2"/>
        <v>0</v>
      </c>
      <c r="D45" s="36">
        <f t="shared" si="2"/>
        <v>0</v>
      </c>
      <c r="E45" s="36">
        <f t="shared" si="2"/>
        <v>0</v>
      </c>
      <c r="F45" s="36">
        <f t="shared" si="2"/>
        <v>0</v>
      </c>
      <c r="G45" s="36">
        <f t="shared" si="2"/>
        <v>0</v>
      </c>
      <c r="H45" s="36">
        <f t="shared" si="2"/>
        <v>0</v>
      </c>
      <c r="I45" s="36">
        <f t="shared" si="2"/>
        <v>0</v>
      </c>
      <c r="J45" s="36">
        <f t="shared" si="3"/>
        <v>0</v>
      </c>
      <c r="M45" s="7"/>
      <c r="Q45" s="1"/>
    </row>
    <row r="46" spans="1:17" ht="15.75" thickBot="1" x14ac:dyDescent="0.3">
      <c r="A46" s="1"/>
      <c r="B46" s="9"/>
      <c r="C46" s="9"/>
      <c r="D46" s="9"/>
      <c r="E46" s="9"/>
      <c r="F46" s="9"/>
      <c r="G46" s="9"/>
      <c r="H46" s="9"/>
      <c r="I46" s="9"/>
      <c r="J46" s="9"/>
      <c r="M46" s="7"/>
      <c r="Q46" s="1"/>
    </row>
    <row r="47" spans="1:17" ht="15.75" thickBot="1" x14ac:dyDescent="0.3">
      <c r="A47" s="150" t="s">
        <v>33</v>
      </c>
      <c r="B47" s="151"/>
      <c r="C47" s="151"/>
      <c r="D47" s="151"/>
      <c r="E47" s="151"/>
      <c r="F47" s="151"/>
      <c r="G47" s="151"/>
      <c r="H47" s="151"/>
      <c r="I47" s="151"/>
      <c r="J47" s="152"/>
      <c r="M47" s="7"/>
      <c r="Q47" s="1"/>
    </row>
    <row r="48" spans="1:17" x14ac:dyDescent="0.25">
      <c r="A48" s="4" t="s">
        <v>16</v>
      </c>
      <c r="B48" s="5" t="s">
        <v>15</v>
      </c>
      <c r="C48" s="5" t="s">
        <v>14</v>
      </c>
      <c r="D48" s="5" t="s">
        <v>13</v>
      </c>
      <c r="E48" s="5" t="s">
        <v>12</v>
      </c>
      <c r="F48" s="5" t="s">
        <v>94</v>
      </c>
      <c r="G48" s="5" t="s">
        <v>95</v>
      </c>
      <c r="H48" s="5" t="s">
        <v>38</v>
      </c>
      <c r="I48" s="5" t="s">
        <v>9</v>
      </c>
      <c r="J48" s="5" t="s">
        <v>0</v>
      </c>
      <c r="M48" s="7"/>
    </row>
    <row r="49" spans="1:17" x14ac:dyDescent="0.25">
      <c r="A49" s="1" t="s">
        <v>49</v>
      </c>
      <c r="B49" s="37">
        <f t="shared" ref="B49:B50" si="4">IF(B8&gt;0,B8*(1-B29),0)</f>
        <v>0</v>
      </c>
      <c r="C49" s="37">
        <f t="shared" ref="C49:I49" si="5">IF(C8&gt;0,C8*(1-C29),0)</f>
        <v>0</v>
      </c>
      <c r="D49" s="37">
        <f t="shared" si="5"/>
        <v>0</v>
      </c>
      <c r="E49" s="37">
        <f t="shared" si="5"/>
        <v>0</v>
      </c>
      <c r="F49" s="37">
        <f t="shared" si="5"/>
        <v>0</v>
      </c>
      <c r="G49" s="37">
        <f t="shared" si="5"/>
        <v>0</v>
      </c>
      <c r="H49" s="37">
        <f t="shared" si="5"/>
        <v>0</v>
      </c>
      <c r="I49" s="37">
        <f t="shared" si="5"/>
        <v>0</v>
      </c>
      <c r="J49" s="37">
        <f>SUM(B49:H49)</f>
        <v>0</v>
      </c>
      <c r="M49" s="7"/>
      <c r="Q49" s="1"/>
    </row>
    <row r="50" spans="1:17" x14ac:dyDescent="0.25">
      <c r="A50" s="1" t="s">
        <v>8</v>
      </c>
      <c r="B50" s="37">
        <f t="shared" si="4"/>
        <v>0</v>
      </c>
      <c r="C50" s="37">
        <f t="shared" ref="C50:I50" si="6">IF(C9&gt;0,C9*(1-C30),0)</f>
        <v>0</v>
      </c>
      <c r="D50" s="37">
        <f t="shared" si="6"/>
        <v>0</v>
      </c>
      <c r="E50" s="37">
        <f t="shared" si="6"/>
        <v>0</v>
      </c>
      <c r="F50" s="37">
        <f t="shared" si="6"/>
        <v>0</v>
      </c>
      <c r="G50" s="37">
        <f t="shared" si="6"/>
        <v>0</v>
      </c>
      <c r="H50" s="37">
        <f t="shared" si="6"/>
        <v>0</v>
      </c>
      <c r="I50" s="37">
        <f t="shared" si="6"/>
        <v>0</v>
      </c>
      <c r="J50" s="37">
        <f t="shared" ref="J50:J65" si="7">SUM(B50:H50)</f>
        <v>0</v>
      </c>
      <c r="M50" s="7"/>
      <c r="Q50" s="7"/>
    </row>
    <row r="51" spans="1:17" x14ac:dyDescent="0.25">
      <c r="A51" s="1" t="s">
        <v>7</v>
      </c>
      <c r="B51" s="37">
        <f>IF(B10&gt;0,B10*(1-B31),0)</f>
        <v>0</v>
      </c>
      <c r="C51" s="37">
        <f t="shared" ref="C51:I51" si="8">IF(C10&gt;0,C10*(1-C31),0)</f>
        <v>0</v>
      </c>
      <c r="D51" s="37">
        <f t="shared" si="8"/>
        <v>0</v>
      </c>
      <c r="E51" s="37">
        <f t="shared" si="8"/>
        <v>0</v>
      </c>
      <c r="F51" s="37">
        <f t="shared" si="8"/>
        <v>0</v>
      </c>
      <c r="G51" s="37">
        <f t="shared" si="8"/>
        <v>0</v>
      </c>
      <c r="H51" s="37">
        <f t="shared" si="8"/>
        <v>0</v>
      </c>
      <c r="I51" s="37">
        <f t="shared" si="8"/>
        <v>0</v>
      </c>
      <c r="J51" s="37">
        <f t="shared" si="7"/>
        <v>0</v>
      </c>
      <c r="M51" s="7"/>
    </row>
    <row r="52" spans="1:17" x14ac:dyDescent="0.25">
      <c r="A52" s="1" t="s">
        <v>42</v>
      </c>
      <c r="B52" s="37">
        <f t="shared" ref="B52:B65" si="9">IF(B11&gt;0,B11*(1-B32),0)</f>
        <v>0</v>
      </c>
      <c r="C52" s="37">
        <f t="shared" ref="C52:I52" si="10">IF(C11&gt;0,C11*(1-C32),0)</f>
        <v>0</v>
      </c>
      <c r="D52" s="37">
        <f t="shared" si="10"/>
        <v>0</v>
      </c>
      <c r="E52" s="37">
        <f t="shared" si="10"/>
        <v>0</v>
      </c>
      <c r="F52" s="37">
        <f t="shared" si="10"/>
        <v>0</v>
      </c>
      <c r="G52" s="37">
        <f t="shared" si="10"/>
        <v>0</v>
      </c>
      <c r="H52" s="37">
        <f t="shared" si="10"/>
        <v>0</v>
      </c>
      <c r="I52" s="37">
        <f t="shared" si="10"/>
        <v>0</v>
      </c>
      <c r="J52" s="37">
        <f t="shared" si="7"/>
        <v>0</v>
      </c>
      <c r="M52" s="7"/>
    </row>
    <row r="53" spans="1:17" x14ac:dyDescent="0.25">
      <c r="A53" s="1" t="s">
        <v>6</v>
      </c>
      <c r="B53" s="37">
        <f t="shared" si="9"/>
        <v>0</v>
      </c>
      <c r="C53" s="37">
        <f t="shared" ref="C53:I53" si="11">IF(C12&gt;0,C12*(1-C33),0)</f>
        <v>0</v>
      </c>
      <c r="D53" s="37">
        <f t="shared" si="11"/>
        <v>0</v>
      </c>
      <c r="E53" s="37">
        <f t="shared" si="11"/>
        <v>0</v>
      </c>
      <c r="F53" s="37">
        <f t="shared" si="11"/>
        <v>0</v>
      </c>
      <c r="G53" s="37">
        <f t="shared" si="11"/>
        <v>0</v>
      </c>
      <c r="H53" s="37">
        <f t="shared" si="11"/>
        <v>0</v>
      </c>
      <c r="I53" s="37">
        <f t="shared" si="11"/>
        <v>0</v>
      </c>
      <c r="J53" s="37">
        <f t="shared" si="7"/>
        <v>0</v>
      </c>
      <c r="M53" s="7"/>
    </row>
    <row r="54" spans="1:17" x14ac:dyDescent="0.25">
      <c r="A54" s="1" t="s">
        <v>50</v>
      </c>
      <c r="B54" s="37">
        <f t="shared" si="9"/>
        <v>0</v>
      </c>
      <c r="C54" s="37">
        <f t="shared" ref="C54:I54" si="12">IF(C13&gt;0,C13*(1-C34),0)</f>
        <v>0</v>
      </c>
      <c r="D54" s="37">
        <f t="shared" si="12"/>
        <v>0</v>
      </c>
      <c r="E54" s="37">
        <f t="shared" si="12"/>
        <v>0</v>
      </c>
      <c r="F54" s="37">
        <f t="shared" si="12"/>
        <v>0</v>
      </c>
      <c r="G54" s="37">
        <f t="shared" si="12"/>
        <v>0</v>
      </c>
      <c r="H54" s="37">
        <f t="shared" si="12"/>
        <v>0</v>
      </c>
      <c r="I54" s="37">
        <f t="shared" si="12"/>
        <v>0</v>
      </c>
      <c r="J54" s="37">
        <f t="shared" si="7"/>
        <v>0</v>
      </c>
      <c r="M54" s="7"/>
    </row>
    <row r="55" spans="1:17" x14ac:dyDescent="0.25">
      <c r="A55" s="1" t="s">
        <v>89</v>
      </c>
      <c r="B55" s="37">
        <f t="shared" si="9"/>
        <v>0</v>
      </c>
      <c r="C55" s="37">
        <f t="shared" ref="C55:I55" si="13">IF(C14&gt;0,C14*(1-C35),0)</f>
        <v>0</v>
      </c>
      <c r="D55" s="37">
        <f t="shared" si="13"/>
        <v>0</v>
      </c>
      <c r="E55" s="37">
        <f t="shared" si="13"/>
        <v>0</v>
      </c>
      <c r="F55" s="37">
        <f t="shared" si="13"/>
        <v>0</v>
      </c>
      <c r="G55" s="37">
        <f t="shared" si="13"/>
        <v>0</v>
      </c>
      <c r="H55" s="37">
        <f t="shared" si="13"/>
        <v>0</v>
      </c>
      <c r="I55" s="37">
        <f t="shared" si="13"/>
        <v>0</v>
      </c>
      <c r="J55" s="37">
        <f t="shared" si="7"/>
        <v>0</v>
      </c>
      <c r="M55" s="7"/>
    </row>
    <row r="56" spans="1:17" x14ac:dyDescent="0.25">
      <c r="A56" s="1" t="s">
        <v>5</v>
      </c>
      <c r="B56" s="37">
        <f t="shared" si="9"/>
        <v>0</v>
      </c>
      <c r="C56" s="37">
        <f t="shared" ref="C56:I56" si="14">IF(C15&gt;0,C15*(1-C36),0)</f>
        <v>0</v>
      </c>
      <c r="D56" s="37">
        <f t="shared" si="14"/>
        <v>0</v>
      </c>
      <c r="E56" s="37">
        <f t="shared" si="14"/>
        <v>0</v>
      </c>
      <c r="F56" s="37">
        <f t="shared" si="14"/>
        <v>0</v>
      </c>
      <c r="G56" s="37">
        <f t="shared" si="14"/>
        <v>0</v>
      </c>
      <c r="H56" s="37">
        <f t="shared" si="14"/>
        <v>0</v>
      </c>
      <c r="I56" s="37">
        <f t="shared" si="14"/>
        <v>0</v>
      </c>
      <c r="J56" s="37">
        <f t="shared" si="7"/>
        <v>0</v>
      </c>
      <c r="M56" s="7"/>
    </row>
    <row r="57" spans="1:17" x14ac:dyDescent="0.25">
      <c r="A57" s="1" t="s">
        <v>84</v>
      </c>
      <c r="B57" s="37">
        <f t="shared" si="9"/>
        <v>0</v>
      </c>
      <c r="C57" s="37">
        <f t="shared" ref="C57:I57" si="15">IF(C16&gt;0,C16*(1-C37),0)</f>
        <v>0</v>
      </c>
      <c r="D57" s="37">
        <f t="shared" si="15"/>
        <v>0</v>
      </c>
      <c r="E57" s="37">
        <f t="shared" si="15"/>
        <v>0</v>
      </c>
      <c r="F57" s="37">
        <f t="shared" si="15"/>
        <v>0</v>
      </c>
      <c r="G57" s="37">
        <f t="shared" si="15"/>
        <v>0</v>
      </c>
      <c r="H57" s="37">
        <f t="shared" si="15"/>
        <v>0</v>
      </c>
      <c r="I57" s="37">
        <f t="shared" si="15"/>
        <v>0</v>
      </c>
      <c r="J57" s="37">
        <f t="shared" si="7"/>
        <v>0</v>
      </c>
      <c r="M57" s="7"/>
    </row>
    <row r="58" spans="1:17" x14ac:dyDescent="0.25">
      <c r="A58" s="1" t="s">
        <v>4</v>
      </c>
      <c r="B58" s="37">
        <f t="shared" si="9"/>
        <v>0</v>
      </c>
      <c r="C58" s="37">
        <f t="shared" ref="C58:I58" si="16">IF(C17&gt;0,C17*(1-C38),0)</f>
        <v>0</v>
      </c>
      <c r="D58" s="37">
        <f t="shared" si="16"/>
        <v>0</v>
      </c>
      <c r="E58" s="37">
        <f t="shared" si="16"/>
        <v>0</v>
      </c>
      <c r="F58" s="37">
        <f t="shared" si="16"/>
        <v>0</v>
      </c>
      <c r="G58" s="37">
        <f t="shared" si="16"/>
        <v>0</v>
      </c>
      <c r="H58" s="37">
        <f t="shared" si="16"/>
        <v>0</v>
      </c>
      <c r="I58" s="37">
        <f t="shared" si="16"/>
        <v>0</v>
      </c>
      <c r="J58" s="37">
        <f t="shared" si="7"/>
        <v>0</v>
      </c>
      <c r="M58" s="7"/>
    </row>
    <row r="59" spans="1:17" x14ac:dyDescent="0.25">
      <c r="A59" s="1" t="s">
        <v>51</v>
      </c>
      <c r="B59" s="37">
        <f t="shared" si="9"/>
        <v>0</v>
      </c>
      <c r="C59" s="37">
        <f t="shared" ref="C59:I59" si="17">IF(C18&gt;0,C18*(1-C39),0)</f>
        <v>0</v>
      </c>
      <c r="D59" s="37">
        <f t="shared" si="17"/>
        <v>0</v>
      </c>
      <c r="E59" s="37">
        <f t="shared" si="17"/>
        <v>0</v>
      </c>
      <c r="F59" s="37">
        <f t="shared" si="17"/>
        <v>0</v>
      </c>
      <c r="G59" s="37">
        <f t="shared" si="17"/>
        <v>0</v>
      </c>
      <c r="H59" s="37">
        <f t="shared" si="17"/>
        <v>0</v>
      </c>
      <c r="I59" s="37">
        <f t="shared" si="17"/>
        <v>0</v>
      </c>
      <c r="J59" s="37">
        <f t="shared" si="7"/>
        <v>0</v>
      </c>
      <c r="M59" s="7"/>
    </row>
    <row r="60" spans="1:17" x14ac:dyDescent="0.25">
      <c r="A60" s="1" t="s">
        <v>85</v>
      </c>
      <c r="B60" s="37">
        <f t="shared" si="9"/>
        <v>0</v>
      </c>
      <c r="C60" s="37">
        <f t="shared" ref="C60:I60" si="18">IF(C19&gt;0,C19*(1-C40),0)</f>
        <v>0</v>
      </c>
      <c r="D60" s="37">
        <f t="shared" si="18"/>
        <v>0</v>
      </c>
      <c r="E60" s="37">
        <f t="shared" si="18"/>
        <v>0</v>
      </c>
      <c r="F60" s="37">
        <f t="shared" si="18"/>
        <v>0</v>
      </c>
      <c r="G60" s="37">
        <f t="shared" si="18"/>
        <v>0</v>
      </c>
      <c r="H60" s="37">
        <f t="shared" si="18"/>
        <v>0</v>
      </c>
      <c r="I60" s="37">
        <f t="shared" si="18"/>
        <v>0</v>
      </c>
      <c r="J60" s="37">
        <f t="shared" si="7"/>
        <v>0</v>
      </c>
      <c r="M60" s="7"/>
    </row>
    <row r="61" spans="1:17" x14ac:dyDescent="0.25">
      <c r="A61" s="1" t="s">
        <v>2</v>
      </c>
      <c r="B61" s="37">
        <f t="shared" si="9"/>
        <v>0</v>
      </c>
      <c r="C61" s="37">
        <f t="shared" ref="C61:I61" si="19">IF(C20&gt;0,C20*(1-C41),0)</f>
        <v>0</v>
      </c>
      <c r="D61" s="37">
        <f t="shared" si="19"/>
        <v>0</v>
      </c>
      <c r="E61" s="37">
        <f t="shared" si="19"/>
        <v>0</v>
      </c>
      <c r="F61" s="37">
        <f t="shared" si="19"/>
        <v>0</v>
      </c>
      <c r="G61" s="37">
        <f t="shared" si="19"/>
        <v>0</v>
      </c>
      <c r="H61" s="37">
        <f t="shared" si="19"/>
        <v>0</v>
      </c>
      <c r="I61" s="37">
        <f t="shared" si="19"/>
        <v>0</v>
      </c>
      <c r="J61" s="37">
        <f t="shared" si="7"/>
        <v>0</v>
      </c>
      <c r="M61" s="7"/>
    </row>
    <row r="62" spans="1:17" x14ac:dyDescent="0.25">
      <c r="A62" s="1" t="s">
        <v>86</v>
      </c>
      <c r="B62" s="37">
        <f t="shared" si="9"/>
        <v>0</v>
      </c>
      <c r="C62" s="37">
        <f t="shared" ref="C62:I62" si="20">IF(C21&gt;0,C21*(1-C42),0)</f>
        <v>0</v>
      </c>
      <c r="D62" s="37">
        <f t="shared" si="20"/>
        <v>0</v>
      </c>
      <c r="E62" s="37">
        <f t="shared" si="20"/>
        <v>0</v>
      </c>
      <c r="F62" s="37">
        <f t="shared" si="20"/>
        <v>0</v>
      </c>
      <c r="G62" s="37">
        <f t="shared" si="20"/>
        <v>0</v>
      </c>
      <c r="H62" s="37">
        <f t="shared" si="20"/>
        <v>0</v>
      </c>
      <c r="I62" s="37">
        <f t="shared" si="20"/>
        <v>0</v>
      </c>
      <c r="J62" s="37">
        <f t="shared" si="7"/>
        <v>0</v>
      </c>
      <c r="M62" s="168" t="s">
        <v>62</v>
      </c>
    </row>
    <row r="63" spans="1:17" x14ac:dyDescent="0.25">
      <c r="A63" s="1" t="s">
        <v>29</v>
      </c>
      <c r="B63" s="37">
        <f t="shared" si="9"/>
        <v>0</v>
      </c>
      <c r="C63" s="37">
        <f t="shared" ref="C63:I63" si="21">IF(C22&gt;0,C22*(1-C43),0)</f>
        <v>0</v>
      </c>
      <c r="D63" s="37">
        <f t="shared" si="21"/>
        <v>0</v>
      </c>
      <c r="E63" s="37">
        <f t="shared" si="21"/>
        <v>0</v>
      </c>
      <c r="F63" s="37">
        <f t="shared" si="21"/>
        <v>0</v>
      </c>
      <c r="G63" s="37">
        <f t="shared" si="21"/>
        <v>0</v>
      </c>
      <c r="H63" s="37">
        <f t="shared" si="21"/>
        <v>0</v>
      </c>
      <c r="I63" s="37">
        <f t="shared" si="21"/>
        <v>0</v>
      </c>
      <c r="J63" s="37">
        <f t="shared" si="7"/>
        <v>0</v>
      </c>
      <c r="M63" s="168"/>
    </row>
    <row r="64" spans="1:17" x14ac:dyDescent="0.25">
      <c r="A64" s="1" t="s">
        <v>52</v>
      </c>
      <c r="B64" s="37">
        <f t="shared" si="9"/>
        <v>0</v>
      </c>
      <c r="C64" s="37">
        <f t="shared" ref="C64:I64" si="22">IF(C23&gt;0,C23*(1-C44),0)</f>
        <v>0</v>
      </c>
      <c r="D64" s="37">
        <f t="shared" si="22"/>
        <v>0</v>
      </c>
      <c r="E64" s="37">
        <f t="shared" si="22"/>
        <v>0</v>
      </c>
      <c r="F64" s="37">
        <f t="shared" si="22"/>
        <v>0</v>
      </c>
      <c r="G64" s="37">
        <f t="shared" si="22"/>
        <v>0</v>
      </c>
      <c r="H64" s="37">
        <f t="shared" si="22"/>
        <v>0</v>
      </c>
      <c r="I64" s="37">
        <f t="shared" si="22"/>
        <v>0</v>
      </c>
      <c r="J64" s="37">
        <f t="shared" si="7"/>
        <v>0</v>
      </c>
      <c r="L64" s="35" t="s">
        <v>41</v>
      </c>
      <c r="M64" s="168" t="s">
        <v>63</v>
      </c>
    </row>
    <row r="65" spans="1:13" x14ac:dyDescent="0.25">
      <c r="A65" s="1" t="s">
        <v>1</v>
      </c>
      <c r="B65" s="38">
        <f t="shared" si="9"/>
        <v>0</v>
      </c>
      <c r="C65" s="38">
        <f t="shared" ref="C65:I65" si="23">IF(C24&gt;0,C24*(1-C45),0)</f>
        <v>0</v>
      </c>
      <c r="D65" s="38">
        <f t="shared" si="23"/>
        <v>0</v>
      </c>
      <c r="E65" s="38">
        <f t="shared" si="23"/>
        <v>0</v>
      </c>
      <c r="F65" s="38">
        <f t="shared" si="23"/>
        <v>0</v>
      </c>
      <c r="G65" s="38">
        <f t="shared" si="23"/>
        <v>0</v>
      </c>
      <c r="H65" s="38">
        <f t="shared" si="23"/>
        <v>0</v>
      </c>
      <c r="I65" s="38">
        <f t="shared" si="23"/>
        <v>0</v>
      </c>
      <c r="J65" s="38">
        <f t="shared" si="7"/>
        <v>0</v>
      </c>
      <c r="L65" s="42" t="s">
        <v>61</v>
      </c>
      <c r="M65" s="169"/>
    </row>
    <row r="66" spans="1:13" x14ac:dyDescent="0.25">
      <c r="A66" s="1"/>
      <c r="B66" s="9">
        <f>SUM(B49:B65)</f>
        <v>0</v>
      </c>
      <c r="C66" s="9">
        <f t="shared" ref="C66:J66" si="24">SUM(C49:C65)</f>
        <v>0</v>
      </c>
      <c r="D66" s="9">
        <f t="shared" si="24"/>
        <v>0</v>
      </c>
      <c r="E66" s="9">
        <f t="shared" si="24"/>
        <v>0</v>
      </c>
      <c r="F66" s="9">
        <f t="shared" si="24"/>
        <v>0</v>
      </c>
      <c r="G66" s="9">
        <f t="shared" si="24"/>
        <v>0</v>
      </c>
      <c r="H66" s="9">
        <f t="shared" si="24"/>
        <v>0</v>
      </c>
      <c r="I66" s="9">
        <f t="shared" si="24"/>
        <v>0</v>
      </c>
      <c r="J66" s="9">
        <f t="shared" si="24"/>
        <v>0</v>
      </c>
      <c r="L66" s="95">
        <v>60000</v>
      </c>
      <c r="M66" s="7">
        <f>J66-L66</f>
        <v>-60000</v>
      </c>
    </row>
    <row r="67" spans="1:13" ht="15.75" thickBot="1" x14ac:dyDescent="0.3">
      <c r="A67" s="1"/>
      <c r="B67" s="9"/>
      <c r="C67" s="9"/>
      <c r="D67" s="9"/>
      <c r="E67" s="9"/>
      <c r="F67" s="9"/>
      <c r="G67" s="9"/>
      <c r="H67" s="9"/>
      <c r="I67" s="9"/>
      <c r="J67" s="9"/>
      <c r="M67" s="7"/>
    </row>
    <row r="68" spans="1:13" ht="15.75" thickBot="1" x14ac:dyDescent="0.3">
      <c r="A68" s="150" t="s">
        <v>64</v>
      </c>
      <c r="B68" s="151"/>
      <c r="C68" s="151"/>
      <c r="D68" s="151"/>
      <c r="E68" s="151"/>
      <c r="F68" s="151"/>
      <c r="G68" s="151"/>
      <c r="H68" s="151"/>
      <c r="I68" s="151"/>
      <c r="J68" s="152"/>
      <c r="M68" s="7"/>
    </row>
    <row r="69" spans="1:13" x14ac:dyDescent="0.25">
      <c r="A69" s="4" t="s">
        <v>16</v>
      </c>
      <c r="B69" s="5" t="s">
        <v>15</v>
      </c>
      <c r="C69" s="5" t="s">
        <v>14</v>
      </c>
      <c r="D69" s="5" t="s">
        <v>13</v>
      </c>
      <c r="E69" s="5" t="s">
        <v>12</v>
      </c>
      <c r="F69" s="5" t="s">
        <v>94</v>
      </c>
      <c r="G69" s="5" t="s">
        <v>95</v>
      </c>
      <c r="H69" s="5" t="s">
        <v>38</v>
      </c>
      <c r="I69" s="5" t="s">
        <v>9</v>
      </c>
      <c r="J69" s="5" t="s">
        <v>0</v>
      </c>
      <c r="M69" s="7"/>
    </row>
    <row r="70" spans="1:13" x14ac:dyDescent="0.25">
      <c r="A70" s="1" t="s">
        <v>49</v>
      </c>
      <c r="B70" s="39">
        <f t="shared" ref="B70:B71" si="25">B8-B49</f>
        <v>0</v>
      </c>
      <c r="C70" s="39">
        <f t="shared" ref="C70:I70" si="26">C8-C49</f>
        <v>0</v>
      </c>
      <c r="D70" s="39">
        <f t="shared" si="26"/>
        <v>0</v>
      </c>
      <c r="E70" s="39">
        <f t="shared" si="26"/>
        <v>0</v>
      </c>
      <c r="F70" s="39">
        <f t="shared" si="26"/>
        <v>0</v>
      </c>
      <c r="G70" s="39">
        <f t="shared" si="26"/>
        <v>0</v>
      </c>
      <c r="H70" s="39">
        <f t="shared" si="26"/>
        <v>0</v>
      </c>
      <c r="I70" s="39">
        <f t="shared" si="26"/>
        <v>0</v>
      </c>
      <c r="J70" s="39">
        <f>SUM(B70:H70)</f>
        <v>0</v>
      </c>
      <c r="M70" s="7"/>
    </row>
    <row r="71" spans="1:13" x14ac:dyDescent="0.25">
      <c r="A71" s="1" t="s">
        <v>8</v>
      </c>
      <c r="B71" s="39">
        <f t="shared" si="25"/>
        <v>0</v>
      </c>
      <c r="C71" s="39">
        <f t="shared" ref="C71:I71" si="27">C9-C50</f>
        <v>0</v>
      </c>
      <c r="D71" s="39">
        <f t="shared" si="27"/>
        <v>0</v>
      </c>
      <c r="E71" s="39">
        <f t="shared" si="27"/>
        <v>0</v>
      </c>
      <c r="F71" s="39">
        <f t="shared" si="27"/>
        <v>0</v>
      </c>
      <c r="G71" s="39">
        <f t="shared" si="27"/>
        <v>0</v>
      </c>
      <c r="H71" s="39">
        <f t="shared" si="27"/>
        <v>0</v>
      </c>
      <c r="I71" s="39">
        <f t="shared" si="27"/>
        <v>0</v>
      </c>
      <c r="J71" s="39">
        <f t="shared" ref="J71:J86" si="28">SUM(B71:H71)</f>
        <v>0</v>
      </c>
      <c r="M71" s="7"/>
    </row>
    <row r="72" spans="1:13" x14ac:dyDescent="0.25">
      <c r="A72" s="1" t="s">
        <v>7</v>
      </c>
      <c r="B72" s="39">
        <f>B10-B51</f>
        <v>0</v>
      </c>
      <c r="C72" s="39">
        <f t="shared" ref="C72:I72" si="29">C10-C51</f>
        <v>0</v>
      </c>
      <c r="D72" s="39">
        <f t="shared" si="29"/>
        <v>0</v>
      </c>
      <c r="E72" s="39">
        <f t="shared" si="29"/>
        <v>0</v>
      </c>
      <c r="F72" s="39">
        <f t="shared" si="29"/>
        <v>0</v>
      </c>
      <c r="G72" s="39">
        <f t="shared" si="29"/>
        <v>0</v>
      </c>
      <c r="H72" s="39">
        <f t="shared" si="29"/>
        <v>0</v>
      </c>
      <c r="I72" s="39">
        <f t="shared" si="29"/>
        <v>0</v>
      </c>
      <c r="J72" s="39">
        <f t="shared" si="28"/>
        <v>0</v>
      </c>
      <c r="M72" s="7"/>
    </row>
    <row r="73" spans="1:13" x14ac:dyDescent="0.25">
      <c r="A73" s="1" t="s">
        <v>42</v>
      </c>
      <c r="B73" s="39">
        <f t="shared" ref="B73:B86" si="30">B11-B52</f>
        <v>0</v>
      </c>
      <c r="C73" s="39">
        <f t="shared" ref="C73:I73" si="31">C11-C52</f>
        <v>0</v>
      </c>
      <c r="D73" s="39">
        <f t="shared" si="31"/>
        <v>0</v>
      </c>
      <c r="E73" s="39">
        <f t="shared" si="31"/>
        <v>0</v>
      </c>
      <c r="F73" s="39">
        <f t="shared" si="31"/>
        <v>0</v>
      </c>
      <c r="G73" s="39">
        <f t="shared" si="31"/>
        <v>0</v>
      </c>
      <c r="H73" s="39">
        <f t="shared" si="31"/>
        <v>0</v>
      </c>
      <c r="I73" s="39">
        <f t="shared" si="31"/>
        <v>0</v>
      </c>
      <c r="J73" s="39">
        <f t="shared" si="28"/>
        <v>0</v>
      </c>
      <c r="M73" s="7"/>
    </row>
    <row r="74" spans="1:13" x14ac:dyDescent="0.25">
      <c r="A74" s="1" t="s">
        <v>6</v>
      </c>
      <c r="B74" s="39">
        <f t="shared" si="30"/>
        <v>0</v>
      </c>
      <c r="C74" s="39">
        <f t="shared" ref="C74:I74" si="32">C12-C53</f>
        <v>0</v>
      </c>
      <c r="D74" s="39">
        <f t="shared" si="32"/>
        <v>0</v>
      </c>
      <c r="E74" s="39">
        <f t="shared" si="32"/>
        <v>0</v>
      </c>
      <c r="F74" s="39">
        <f t="shared" si="32"/>
        <v>0</v>
      </c>
      <c r="G74" s="39">
        <f t="shared" si="32"/>
        <v>0</v>
      </c>
      <c r="H74" s="39">
        <f t="shared" si="32"/>
        <v>0</v>
      </c>
      <c r="I74" s="39">
        <f t="shared" si="32"/>
        <v>0</v>
      </c>
      <c r="J74" s="39">
        <f t="shared" si="28"/>
        <v>0</v>
      </c>
      <c r="M74" s="7"/>
    </row>
    <row r="75" spans="1:13" x14ac:dyDescent="0.25">
      <c r="A75" s="1" t="s">
        <v>50</v>
      </c>
      <c r="B75" s="39">
        <f t="shared" si="30"/>
        <v>0</v>
      </c>
      <c r="C75" s="39">
        <f t="shared" ref="C75:I75" si="33">C13-C54</f>
        <v>0</v>
      </c>
      <c r="D75" s="39">
        <f t="shared" si="33"/>
        <v>0</v>
      </c>
      <c r="E75" s="39">
        <f t="shared" si="33"/>
        <v>0</v>
      </c>
      <c r="F75" s="39">
        <f t="shared" si="33"/>
        <v>0</v>
      </c>
      <c r="G75" s="39">
        <f t="shared" si="33"/>
        <v>0</v>
      </c>
      <c r="H75" s="39">
        <f t="shared" si="33"/>
        <v>0</v>
      </c>
      <c r="I75" s="39">
        <f t="shared" si="33"/>
        <v>0</v>
      </c>
      <c r="J75" s="39">
        <f t="shared" si="28"/>
        <v>0</v>
      </c>
      <c r="M75" s="7"/>
    </row>
    <row r="76" spans="1:13" x14ac:dyDescent="0.25">
      <c r="A76" s="1" t="s">
        <v>89</v>
      </c>
      <c r="B76" s="39">
        <f t="shared" si="30"/>
        <v>0</v>
      </c>
      <c r="C76" s="39">
        <f t="shared" ref="C76:I76" si="34">C14-C55</f>
        <v>0</v>
      </c>
      <c r="D76" s="39">
        <f t="shared" si="34"/>
        <v>0</v>
      </c>
      <c r="E76" s="39">
        <f t="shared" si="34"/>
        <v>0</v>
      </c>
      <c r="F76" s="39">
        <f t="shared" si="34"/>
        <v>0</v>
      </c>
      <c r="G76" s="39">
        <f t="shared" si="34"/>
        <v>0</v>
      </c>
      <c r="H76" s="39">
        <f t="shared" si="34"/>
        <v>0</v>
      </c>
      <c r="I76" s="39">
        <f t="shared" si="34"/>
        <v>0</v>
      </c>
      <c r="J76" s="39">
        <f t="shared" si="28"/>
        <v>0</v>
      </c>
      <c r="M76" s="7"/>
    </row>
    <row r="77" spans="1:13" x14ac:dyDescent="0.25">
      <c r="A77" s="1" t="s">
        <v>5</v>
      </c>
      <c r="B77" s="39">
        <f t="shared" si="30"/>
        <v>0</v>
      </c>
      <c r="C77" s="39">
        <f t="shared" ref="C77:I77" si="35">C15-C56</f>
        <v>0</v>
      </c>
      <c r="D77" s="39">
        <f t="shared" si="35"/>
        <v>0</v>
      </c>
      <c r="E77" s="39">
        <f t="shared" si="35"/>
        <v>0</v>
      </c>
      <c r="F77" s="39">
        <f t="shared" si="35"/>
        <v>0</v>
      </c>
      <c r="G77" s="39">
        <f t="shared" si="35"/>
        <v>0</v>
      </c>
      <c r="H77" s="39">
        <f t="shared" si="35"/>
        <v>0</v>
      </c>
      <c r="I77" s="39">
        <f t="shared" si="35"/>
        <v>0</v>
      </c>
      <c r="J77" s="39">
        <f t="shared" si="28"/>
        <v>0</v>
      </c>
      <c r="M77" s="7"/>
    </row>
    <row r="78" spans="1:13" x14ac:dyDescent="0.25">
      <c r="A78" s="1" t="s">
        <v>84</v>
      </c>
      <c r="B78" s="39">
        <f t="shared" si="30"/>
        <v>0</v>
      </c>
      <c r="C78" s="39">
        <f t="shared" ref="C78:I78" si="36">C16-C57</f>
        <v>0</v>
      </c>
      <c r="D78" s="39">
        <f t="shared" si="36"/>
        <v>0</v>
      </c>
      <c r="E78" s="39">
        <f t="shared" si="36"/>
        <v>0</v>
      </c>
      <c r="F78" s="39">
        <f t="shared" si="36"/>
        <v>0</v>
      </c>
      <c r="G78" s="39">
        <f t="shared" si="36"/>
        <v>0</v>
      </c>
      <c r="H78" s="39">
        <f t="shared" si="36"/>
        <v>0</v>
      </c>
      <c r="I78" s="39">
        <f t="shared" si="36"/>
        <v>0</v>
      </c>
      <c r="J78" s="39">
        <f t="shared" si="28"/>
        <v>0</v>
      </c>
      <c r="M78" s="7"/>
    </row>
    <row r="79" spans="1:13" x14ac:dyDescent="0.25">
      <c r="A79" s="1" t="s">
        <v>4</v>
      </c>
      <c r="B79" s="39">
        <f t="shared" si="30"/>
        <v>0</v>
      </c>
      <c r="C79" s="39">
        <f t="shared" ref="C79:I79" si="37">C17-C58</f>
        <v>0</v>
      </c>
      <c r="D79" s="39">
        <f t="shared" si="37"/>
        <v>0</v>
      </c>
      <c r="E79" s="39">
        <f t="shared" si="37"/>
        <v>0</v>
      </c>
      <c r="F79" s="39">
        <f t="shared" si="37"/>
        <v>0</v>
      </c>
      <c r="G79" s="39">
        <f t="shared" si="37"/>
        <v>0</v>
      </c>
      <c r="H79" s="39">
        <f t="shared" si="37"/>
        <v>0</v>
      </c>
      <c r="I79" s="39">
        <f t="shared" si="37"/>
        <v>0</v>
      </c>
      <c r="J79" s="39">
        <f t="shared" si="28"/>
        <v>0</v>
      </c>
      <c r="M79" s="7"/>
    </row>
    <row r="80" spans="1:13" x14ac:dyDescent="0.25">
      <c r="A80" s="1" t="s">
        <v>51</v>
      </c>
      <c r="B80" s="39">
        <f t="shared" si="30"/>
        <v>0</v>
      </c>
      <c r="C80" s="39">
        <f t="shared" ref="C80:I80" si="38">C18-C59</f>
        <v>0</v>
      </c>
      <c r="D80" s="39">
        <f t="shared" si="38"/>
        <v>0</v>
      </c>
      <c r="E80" s="39">
        <f t="shared" si="38"/>
        <v>0</v>
      </c>
      <c r="F80" s="39">
        <f t="shared" si="38"/>
        <v>0</v>
      </c>
      <c r="G80" s="39">
        <f t="shared" si="38"/>
        <v>0</v>
      </c>
      <c r="H80" s="39">
        <f t="shared" si="38"/>
        <v>0</v>
      </c>
      <c r="I80" s="39">
        <f t="shared" si="38"/>
        <v>0</v>
      </c>
      <c r="J80" s="39">
        <f t="shared" si="28"/>
        <v>0</v>
      </c>
      <c r="M80" s="7"/>
    </row>
    <row r="81" spans="1:13" x14ac:dyDescent="0.25">
      <c r="A81" s="1" t="s">
        <v>85</v>
      </c>
      <c r="B81" s="39">
        <f t="shared" si="30"/>
        <v>0</v>
      </c>
      <c r="C81" s="39">
        <f t="shared" ref="C81:I81" si="39">C19-C60</f>
        <v>0</v>
      </c>
      <c r="D81" s="39">
        <f t="shared" si="39"/>
        <v>0</v>
      </c>
      <c r="E81" s="39">
        <f t="shared" si="39"/>
        <v>0</v>
      </c>
      <c r="F81" s="39">
        <f t="shared" si="39"/>
        <v>0</v>
      </c>
      <c r="G81" s="39">
        <f t="shared" si="39"/>
        <v>0</v>
      </c>
      <c r="H81" s="39">
        <f t="shared" si="39"/>
        <v>0</v>
      </c>
      <c r="I81" s="39">
        <f t="shared" si="39"/>
        <v>0</v>
      </c>
      <c r="J81" s="39">
        <f t="shared" si="28"/>
        <v>0</v>
      </c>
      <c r="M81" s="7"/>
    </row>
    <row r="82" spans="1:13" x14ac:dyDescent="0.25">
      <c r="A82" s="1" t="s">
        <v>2</v>
      </c>
      <c r="B82" s="39">
        <f t="shared" si="30"/>
        <v>0</v>
      </c>
      <c r="C82" s="39">
        <f t="shared" ref="C82:I82" si="40">C20-C61</f>
        <v>0</v>
      </c>
      <c r="D82" s="39">
        <f t="shared" si="40"/>
        <v>0</v>
      </c>
      <c r="E82" s="39">
        <f t="shared" si="40"/>
        <v>0</v>
      </c>
      <c r="F82" s="39">
        <f t="shared" si="40"/>
        <v>0</v>
      </c>
      <c r="G82" s="39">
        <f t="shared" si="40"/>
        <v>0</v>
      </c>
      <c r="H82" s="39">
        <f t="shared" si="40"/>
        <v>0</v>
      </c>
      <c r="I82" s="39">
        <f t="shared" si="40"/>
        <v>0</v>
      </c>
      <c r="J82" s="39">
        <f t="shared" si="28"/>
        <v>0</v>
      </c>
      <c r="M82" s="7"/>
    </row>
    <row r="83" spans="1:13" x14ac:dyDescent="0.25">
      <c r="A83" s="1" t="s">
        <v>86</v>
      </c>
      <c r="B83" s="39">
        <f t="shared" si="30"/>
        <v>0</v>
      </c>
      <c r="C83" s="39">
        <f t="shared" ref="C83:I83" si="41">C21-C62</f>
        <v>0</v>
      </c>
      <c r="D83" s="39">
        <f t="shared" si="41"/>
        <v>0</v>
      </c>
      <c r="E83" s="39">
        <f t="shared" si="41"/>
        <v>0</v>
      </c>
      <c r="F83" s="39">
        <f t="shared" si="41"/>
        <v>0</v>
      </c>
      <c r="G83" s="39">
        <f t="shared" si="41"/>
        <v>0</v>
      </c>
      <c r="H83" s="39">
        <f t="shared" si="41"/>
        <v>0</v>
      </c>
      <c r="I83" s="39">
        <f t="shared" si="41"/>
        <v>0</v>
      </c>
      <c r="J83" s="39">
        <f t="shared" si="28"/>
        <v>0</v>
      </c>
      <c r="M83" s="7"/>
    </row>
    <row r="84" spans="1:13" x14ac:dyDescent="0.25">
      <c r="A84" s="1" t="s">
        <v>29</v>
      </c>
      <c r="B84" s="39">
        <f t="shared" si="30"/>
        <v>0</v>
      </c>
      <c r="C84" s="39">
        <f t="shared" ref="C84:I84" si="42">C22-C63</f>
        <v>0</v>
      </c>
      <c r="D84" s="39">
        <f t="shared" si="42"/>
        <v>0</v>
      </c>
      <c r="E84" s="39">
        <f t="shared" si="42"/>
        <v>0</v>
      </c>
      <c r="F84" s="39">
        <f t="shared" si="42"/>
        <v>0</v>
      </c>
      <c r="G84" s="39">
        <f t="shared" si="42"/>
        <v>0</v>
      </c>
      <c r="H84" s="39">
        <f t="shared" si="42"/>
        <v>0</v>
      </c>
      <c r="I84" s="39">
        <f t="shared" si="42"/>
        <v>0</v>
      </c>
      <c r="J84" s="39">
        <f t="shared" si="28"/>
        <v>0</v>
      </c>
      <c r="M84" s="7"/>
    </row>
    <row r="85" spans="1:13" x14ac:dyDescent="0.25">
      <c r="A85" s="1" t="s">
        <v>52</v>
      </c>
      <c r="B85" s="39">
        <f t="shared" si="30"/>
        <v>0</v>
      </c>
      <c r="C85" s="39">
        <f t="shared" ref="C85:I85" si="43">C23-C64</f>
        <v>0</v>
      </c>
      <c r="D85" s="39">
        <f t="shared" si="43"/>
        <v>0</v>
      </c>
      <c r="E85" s="39">
        <f t="shared" si="43"/>
        <v>0</v>
      </c>
      <c r="F85" s="39">
        <f t="shared" si="43"/>
        <v>0</v>
      </c>
      <c r="G85" s="39">
        <f t="shared" si="43"/>
        <v>0</v>
      </c>
      <c r="H85" s="39">
        <f t="shared" si="43"/>
        <v>0</v>
      </c>
      <c r="I85" s="39">
        <f t="shared" si="43"/>
        <v>0</v>
      </c>
      <c r="J85" s="39">
        <f t="shared" si="28"/>
        <v>0</v>
      </c>
      <c r="M85" s="7"/>
    </row>
    <row r="86" spans="1:13" x14ac:dyDescent="0.25">
      <c r="A86" s="1" t="s">
        <v>1</v>
      </c>
      <c r="B86" s="40">
        <f t="shared" si="30"/>
        <v>0</v>
      </c>
      <c r="C86" s="40">
        <f t="shared" ref="C86:I86" si="44">C24-C65</f>
        <v>0</v>
      </c>
      <c r="D86" s="40">
        <f t="shared" si="44"/>
        <v>0</v>
      </c>
      <c r="E86" s="40">
        <f t="shared" si="44"/>
        <v>0</v>
      </c>
      <c r="F86" s="40">
        <f t="shared" si="44"/>
        <v>0</v>
      </c>
      <c r="G86" s="40">
        <f t="shared" si="44"/>
        <v>0</v>
      </c>
      <c r="H86" s="40">
        <f t="shared" si="44"/>
        <v>0</v>
      </c>
      <c r="I86" s="40">
        <f t="shared" si="44"/>
        <v>0</v>
      </c>
      <c r="J86" s="40">
        <f t="shared" si="28"/>
        <v>0</v>
      </c>
      <c r="M86" s="7"/>
    </row>
    <row r="87" spans="1:13" x14ac:dyDescent="0.25">
      <c r="A87" s="4"/>
      <c r="B87" s="39">
        <f>SUM(B70:B86)</f>
        <v>0</v>
      </c>
      <c r="C87" s="39">
        <f t="shared" ref="C87:J87" si="45">SUM(C70:C86)</f>
        <v>0</v>
      </c>
      <c r="D87" s="39">
        <f t="shared" si="45"/>
        <v>0</v>
      </c>
      <c r="E87" s="39">
        <f t="shared" si="45"/>
        <v>0</v>
      </c>
      <c r="F87" s="39">
        <f t="shared" si="45"/>
        <v>0</v>
      </c>
      <c r="G87" s="39">
        <f t="shared" si="45"/>
        <v>0</v>
      </c>
      <c r="H87" s="39">
        <f t="shared" si="45"/>
        <v>0</v>
      </c>
      <c r="I87" s="39">
        <f t="shared" si="45"/>
        <v>0</v>
      </c>
      <c r="J87" s="39">
        <f t="shared" si="45"/>
        <v>0</v>
      </c>
      <c r="M87" s="7"/>
    </row>
    <row r="88" spans="1:13" ht="15.75" thickBot="1" x14ac:dyDescent="0.3">
      <c r="A88" s="4"/>
      <c r="B88" s="39"/>
      <c r="C88" s="39"/>
      <c r="D88" s="39"/>
      <c r="E88" s="39"/>
      <c r="F88" s="39"/>
      <c r="G88" s="39"/>
      <c r="H88" s="39"/>
      <c r="I88" s="39"/>
      <c r="J88" s="39"/>
      <c r="M88" s="7"/>
    </row>
    <row r="89" spans="1:13" ht="15.75" thickBot="1" x14ac:dyDescent="0.3">
      <c r="A89" s="153" t="s">
        <v>59</v>
      </c>
      <c r="B89" s="154"/>
      <c r="C89" s="154"/>
      <c r="D89" s="154"/>
      <c r="E89" s="154"/>
      <c r="F89" s="154"/>
      <c r="G89" s="154"/>
      <c r="H89" s="154"/>
      <c r="I89" s="154"/>
      <c r="J89" s="155"/>
      <c r="M89" s="7"/>
    </row>
    <row r="90" spans="1:13" x14ac:dyDescent="0.25">
      <c r="A90" s="4" t="s">
        <v>16</v>
      </c>
      <c r="B90" s="5" t="s">
        <v>15</v>
      </c>
      <c r="C90" s="5" t="s">
        <v>14</v>
      </c>
      <c r="D90" s="5" t="s">
        <v>13</v>
      </c>
      <c r="E90" s="5" t="s">
        <v>12</v>
      </c>
      <c r="F90" s="5" t="s">
        <v>94</v>
      </c>
      <c r="G90" s="5" t="s">
        <v>95</v>
      </c>
      <c r="H90" s="5" t="s">
        <v>38</v>
      </c>
      <c r="I90" s="5" t="s">
        <v>9</v>
      </c>
      <c r="J90" s="5" t="s">
        <v>0</v>
      </c>
      <c r="M90" s="7"/>
    </row>
    <row r="91" spans="1:13" x14ac:dyDescent="0.25">
      <c r="A91" s="1" t="s">
        <v>49</v>
      </c>
      <c r="B91" s="41">
        <v>0</v>
      </c>
      <c r="C91" s="41">
        <v>0</v>
      </c>
      <c r="D91" s="41">
        <v>0</v>
      </c>
      <c r="E91" s="41">
        <v>0.1</v>
      </c>
      <c r="F91" s="41">
        <v>0.15</v>
      </c>
      <c r="G91" s="41">
        <v>0.15</v>
      </c>
      <c r="H91" s="41">
        <v>0.2</v>
      </c>
      <c r="I91" s="41">
        <v>1</v>
      </c>
      <c r="J91" s="39"/>
      <c r="M91" s="7"/>
    </row>
    <row r="92" spans="1:13" x14ac:dyDescent="0.25">
      <c r="A92" s="1" t="s">
        <v>8</v>
      </c>
      <c r="B92" s="41">
        <v>0</v>
      </c>
      <c r="C92" s="41">
        <v>0</v>
      </c>
      <c r="D92" s="41">
        <v>0</v>
      </c>
      <c r="E92" s="41">
        <v>0.1</v>
      </c>
      <c r="F92" s="41">
        <v>0.15</v>
      </c>
      <c r="G92" s="41">
        <v>0.15</v>
      </c>
      <c r="H92" s="41">
        <v>0.2</v>
      </c>
      <c r="I92" s="41">
        <v>1</v>
      </c>
      <c r="J92" s="39"/>
      <c r="M92" s="7"/>
    </row>
    <row r="93" spans="1:13" x14ac:dyDescent="0.25">
      <c r="A93" s="1" t="s">
        <v>7</v>
      </c>
      <c r="B93" s="41">
        <v>0</v>
      </c>
      <c r="C93" s="41">
        <v>0</v>
      </c>
      <c r="D93" s="41">
        <v>0</v>
      </c>
      <c r="E93" s="41">
        <v>0.1</v>
      </c>
      <c r="F93" s="41">
        <v>0.15</v>
      </c>
      <c r="G93" s="41">
        <v>0.15</v>
      </c>
      <c r="H93" s="41">
        <v>0.2</v>
      </c>
      <c r="I93" s="41">
        <v>1</v>
      </c>
      <c r="J93" s="39"/>
      <c r="M93" s="7"/>
    </row>
    <row r="94" spans="1:13" x14ac:dyDescent="0.25">
      <c r="A94" s="1" t="s">
        <v>42</v>
      </c>
      <c r="B94" s="41">
        <v>0</v>
      </c>
      <c r="C94" s="41">
        <v>0</v>
      </c>
      <c r="D94" s="41">
        <v>0</v>
      </c>
      <c r="E94" s="41">
        <v>0.1</v>
      </c>
      <c r="F94" s="41">
        <v>0.15</v>
      </c>
      <c r="G94" s="41">
        <v>0.15</v>
      </c>
      <c r="H94" s="41">
        <v>0.2</v>
      </c>
      <c r="I94" s="41">
        <v>1</v>
      </c>
      <c r="J94" s="39"/>
      <c r="M94" s="7"/>
    </row>
    <row r="95" spans="1:13" x14ac:dyDescent="0.25">
      <c r="A95" s="1" t="s">
        <v>6</v>
      </c>
      <c r="B95" s="41">
        <v>0</v>
      </c>
      <c r="C95" s="41">
        <v>0</v>
      </c>
      <c r="D95" s="41">
        <v>0</v>
      </c>
      <c r="E95" s="41">
        <v>0.1</v>
      </c>
      <c r="F95" s="41">
        <v>0.15</v>
      </c>
      <c r="G95" s="41">
        <v>0.15</v>
      </c>
      <c r="H95" s="41">
        <v>0.2</v>
      </c>
      <c r="I95" s="41">
        <v>1</v>
      </c>
      <c r="J95" s="39"/>
      <c r="M95" s="7"/>
    </row>
    <row r="96" spans="1:13" x14ac:dyDescent="0.25">
      <c r="A96" s="1" t="s">
        <v>50</v>
      </c>
      <c r="B96" s="41">
        <v>0</v>
      </c>
      <c r="C96" s="41">
        <v>0</v>
      </c>
      <c r="D96" s="41">
        <v>0</v>
      </c>
      <c r="E96" s="41">
        <v>0.1</v>
      </c>
      <c r="F96" s="41">
        <v>0.15</v>
      </c>
      <c r="G96" s="41">
        <v>0.15</v>
      </c>
      <c r="H96" s="41">
        <v>0.2</v>
      </c>
      <c r="I96" s="41">
        <v>1</v>
      </c>
      <c r="J96" s="39"/>
      <c r="M96" s="7"/>
    </row>
    <row r="97" spans="1:13" x14ac:dyDescent="0.25">
      <c r="A97" s="1" t="s">
        <v>89</v>
      </c>
      <c r="B97" s="41">
        <v>0</v>
      </c>
      <c r="C97" s="41">
        <v>0</v>
      </c>
      <c r="D97" s="41">
        <v>0</v>
      </c>
      <c r="E97" s="41">
        <v>0.1</v>
      </c>
      <c r="F97" s="41">
        <v>0.15</v>
      </c>
      <c r="G97" s="41">
        <v>0.15</v>
      </c>
      <c r="H97" s="41">
        <v>0.2</v>
      </c>
      <c r="I97" s="41">
        <v>1</v>
      </c>
      <c r="J97" s="39"/>
      <c r="M97" s="7"/>
    </row>
    <row r="98" spans="1:13" x14ac:dyDescent="0.25">
      <c r="A98" s="1" t="s">
        <v>5</v>
      </c>
      <c r="B98" s="41">
        <v>0</v>
      </c>
      <c r="C98" s="41">
        <v>0</v>
      </c>
      <c r="D98" s="41">
        <v>0</v>
      </c>
      <c r="E98" s="41">
        <v>0.1</v>
      </c>
      <c r="F98" s="41">
        <v>0.15</v>
      </c>
      <c r="G98" s="41">
        <v>0.15</v>
      </c>
      <c r="H98" s="41">
        <v>0.2</v>
      </c>
      <c r="I98" s="41">
        <v>1</v>
      </c>
      <c r="J98" s="39"/>
      <c r="M98" s="7"/>
    </row>
    <row r="99" spans="1:13" x14ac:dyDescent="0.25">
      <c r="A99" s="1" t="s">
        <v>84</v>
      </c>
      <c r="B99" s="41">
        <v>0</v>
      </c>
      <c r="C99" s="41">
        <v>0</v>
      </c>
      <c r="D99" s="41">
        <v>0</v>
      </c>
      <c r="E99" s="41">
        <v>0.1</v>
      </c>
      <c r="F99" s="41">
        <v>0.15</v>
      </c>
      <c r="G99" s="41">
        <v>0.15</v>
      </c>
      <c r="H99" s="41">
        <v>0.2</v>
      </c>
      <c r="I99" s="41">
        <v>1</v>
      </c>
      <c r="J99" s="39"/>
      <c r="M99" s="7"/>
    </row>
    <row r="100" spans="1:13" x14ac:dyDescent="0.25">
      <c r="A100" s="1" t="s">
        <v>4</v>
      </c>
      <c r="B100" s="41">
        <v>0</v>
      </c>
      <c r="C100" s="41">
        <v>0</v>
      </c>
      <c r="D100" s="41">
        <v>0</v>
      </c>
      <c r="E100" s="41">
        <v>0.1</v>
      </c>
      <c r="F100" s="41">
        <v>0.15</v>
      </c>
      <c r="G100" s="41">
        <v>0.15</v>
      </c>
      <c r="H100" s="41">
        <v>0.2</v>
      </c>
      <c r="I100" s="41">
        <v>1</v>
      </c>
      <c r="J100" s="39"/>
      <c r="M100" s="7"/>
    </row>
    <row r="101" spans="1:13" x14ac:dyDescent="0.25">
      <c r="A101" s="1" t="s">
        <v>51</v>
      </c>
      <c r="B101" s="41">
        <v>0</v>
      </c>
      <c r="C101" s="41">
        <v>0</v>
      </c>
      <c r="D101" s="41">
        <v>0</v>
      </c>
      <c r="E101" s="41">
        <v>0.1</v>
      </c>
      <c r="F101" s="41">
        <v>0.15</v>
      </c>
      <c r="G101" s="41">
        <v>0.15</v>
      </c>
      <c r="H101" s="41">
        <v>0.2</v>
      </c>
      <c r="I101" s="41">
        <v>1</v>
      </c>
      <c r="J101" s="39"/>
      <c r="M101" s="7"/>
    </row>
    <row r="102" spans="1:13" x14ac:dyDescent="0.25">
      <c r="A102" s="1" t="s">
        <v>85</v>
      </c>
      <c r="B102" s="41">
        <v>0</v>
      </c>
      <c r="C102" s="41">
        <v>0</v>
      </c>
      <c r="D102" s="41">
        <v>0</v>
      </c>
      <c r="E102" s="41">
        <v>0.1</v>
      </c>
      <c r="F102" s="41">
        <v>0.15</v>
      </c>
      <c r="G102" s="41">
        <v>0.15</v>
      </c>
      <c r="H102" s="41">
        <v>0.2</v>
      </c>
      <c r="I102" s="41">
        <v>1</v>
      </c>
      <c r="J102" s="39"/>
      <c r="M102" s="7"/>
    </row>
    <row r="103" spans="1:13" x14ac:dyDescent="0.25">
      <c r="A103" s="1" t="s">
        <v>2</v>
      </c>
      <c r="B103" s="41">
        <v>0</v>
      </c>
      <c r="C103" s="41">
        <v>0</v>
      </c>
      <c r="D103" s="41">
        <v>0.1</v>
      </c>
      <c r="E103" s="41">
        <v>0.5</v>
      </c>
      <c r="F103" s="41">
        <v>1</v>
      </c>
      <c r="G103" s="41">
        <v>1</v>
      </c>
      <c r="H103" s="41">
        <v>1</v>
      </c>
      <c r="I103" s="41">
        <v>1</v>
      </c>
      <c r="J103" s="39"/>
      <c r="M103" s="7"/>
    </row>
    <row r="104" spans="1:13" x14ac:dyDescent="0.25">
      <c r="A104" s="1" t="s">
        <v>86</v>
      </c>
      <c r="B104" s="41">
        <v>0</v>
      </c>
      <c r="C104" s="41">
        <v>0</v>
      </c>
      <c r="D104" s="41">
        <v>0</v>
      </c>
      <c r="E104" s="41">
        <v>0.1</v>
      </c>
      <c r="F104" s="41">
        <v>0.15</v>
      </c>
      <c r="G104" s="41">
        <v>0.15</v>
      </c>
      <c r="H104" s="41">
        <v>0.2</v>
      </c>
      <c r="I104" s="41">
        <v>1</v>
      </c>
      <c r="J104" s="39"/>
      <c r="M104" s="7"/>
    </row>
    <row r="105" spans="1:13" x14ac:dyDescent="0.25">
      <c r="A105" s="1" t="s">
        <v>29</v>
      </c>
      <c r="B105" s="41">
        <v>0</v>
      </c>
      <c r="C105" s="41">
        <v>0</v>
      </c>
      <c r="D105" s="41">
        <v>0</v>
      </c>
      <c r="E105" s="41">
        <v>0.1</v>
      </c>
      <c r="F105" s="41">
        <v>0.15</v>
      </c>
      <c r="G105" s="41">
        <v>0.15</v>
      </c>
      <c r="H105" s="41">
        <v>0.2</v>
      </c>
      <c r="I105" s="41">
        <v>1</v>
      </c>
      <c r="J105" s="39"/>
      <c r="M105" s="7"/>
    </row>
    <row r="106" spans="1:13" x14ac:dyDescent="0.25">
      <c r="A106" s="1" t="s">
        <v>52</v>
      </c>
      <c r="B106" s="41">
        <v>0</v>
      </c>
      <c r="C106" s="41">
        <v>0</v>
      </c>
      <c r="D106" s="41">
        <v>0</v>
      </c>
      <c r="E106" s="41">
        <v>0.1</v>
      </c>
      <c r="F106" s="41">
        <v>0.15</v>
      </c>
      <c r="G106" s="41">
        <v>0.15</v>
      </c>
      <c r="H106" s="41">
        <v>0.2</v>
      </c>
      <c r="I106" s="41">
        <v>1</v>
      </c>
      <c r="J106" s="39"/>
      <c r="M106" s="7"/>
    </row>
    <row r="107" spans="1:13" x14ac:dyDescent="0.25">
      <c r="A107" s="1" t="s">
        <v>1</v>
      </c>
      <c r="B107" s="41">
        <v>0</v>
      </c>
      <c r="C107" s="41">
        <v>0</v>
      </c>
      <c r="D107" s="41">
        <v>0</v>
      </c>
      <c r="E107" s="41">
        <v>0.1</v>
      </c>
      <c r="F107" s="41">
        <v>0.15</v>
      </c>
      <c r="G107" s="41">
        <v>0.15</v>
      </c>
      <c r="H107" s="41">
        <v>0.2</v>
      </c>
      <c r="I107" s="41">
        <v>1</v>
      </c>
      <c r="J107" s="39"/>
      <c r="M107" s="7"/>
    </row>
    <row r="108" spans="1:13" ht="15.75" thickBot="1" x14ac:dyDescent="0.3">
      <c r="A108" s="4"/>
      <c r="B108" s="39"/>
      <c r="C108" s="39"/>
      <c r="D108" s="39"/>
      <c r="E108" s="39"/>
      <c r="F108" s="39"/>
      <c r="G108" s="39"/>
      <c r="H108" s="39"/>
      <c r="I108" s="39"/>
      <c r="J108" s="39"/>
      <c r="M108" s="7"/>
    </row>
    <row r="109" spans="1:13" ht="15.75" thickBot="1" x14ac:dyDescent="0.3">
      <c r="A109" s="150" t="s">
        <v>60</v>
      </c>
      <c r="B109" s="151"/>
      <c r="C109" s="151"/>
      <c r="D109" s="151"/>
      <c r="E109" s="151"/>
      <c r="F109" s="151"/>
      <c r="G109" s="151"/>
      <c r="H109" s="151"/>
      <c r="I109" s="151"/>
      <c r="J109" s="152"/>
      <c r="M109" s="7"/>
    </row>
    <row r="110" spans="1:13" x14ac:dyDescent="0.25">
      <c r="A110" s="4" t="s">
        <v>16</v>
      </c>
      <c r="B110" s="5" t="s">
        <v>15</v>
      </c>
      <c r="C110" s="5" t="s">
        <v>14</v>
      </c>
      <c r="D110" s="5" t="s">
        <v>13</v>
      </c>
      <c r="E110" s="5" t="s">
        <v>12</v>
      </c>
      <c r="F110" s="5" t="s">
        <v>94</v>
      </c>
      <c r="G110" s="5" t="s">
        <v>95</v>
      </c>
      <c r="H110" s="5" t="s">
        <v>38</v>
      </c>
      <c r="I110" s="5" t="s">
        <v>9</v>
      </c>
      <c r="J110" s="5" t="s">
        <v>0</v>
      </c>
      <c r="M110" s="7"/>
    </row>
    <row r="111" spans="1:13" x14ac:dyDescent="0.25">
      <c r="A111" s="1" t="s">
        <v>49</v>
      </c>
      <c r="B111" s="66">
        <f>IF(B70&gt;0,B70*B91,0)</f>
        <v>0</v>
      </c>
      <c r="C111" s="66">
        <f t="shared" ref="C111:I111" si="46">IF(C70&gt;0,C70*C91,0)</f>
        <v>0</v>
      </c>
      <c r="D111" s="66">
        <f t="shared" si="46"/>
        <v>0</v>
      </c>
      <c r="E111" s="66">
        <f t="shared" si="46"/>
        <v>0</v>
      </c>
      <c r="F111" s="66">
        <f t="shared" si="46"/>
        <v>0</v>
      </c>
      <c r="G111" s="66">
        <f t="shared" si="46"/>
        <v>0</v>
      </c>
      <c r="H111" s="66">
        <f t="shared" si="46"/>
        <v>0</v>
      </c>
      <c r="I111" s="66">
        <f t="shared" si="46"/>
        <v>0</v>
      </c>
      <c r="J111" s="39">
        <f>SUM(B111:H111)</f>
        <v>0</v>
      </c>
      <c r="M111" s="7"/>
    </row>
    <row r="112" spans="1:13" x14ac:dyDescent="0.25">
      <c r="A112" s="1" t="s">
        <v>8</v>
      </c>
      <c r="B112" s="39">
        <f>IF(B71&gt;0,B71*B92,0)</f>
        <v>0</v>
      </c>
      <c r="C112" s="39">
        <f t="shared" ref="C112:I112" si="47">IF(C71&gt;0,C71*C92,0)</f>
        <v>0</v>
      </c>
      <c r="D112" s="39">
        <f t="shared" si="47"/>
        <v>0</v>
      </c>
      <c r="E112" s="39">
        <f t="shared" si="47"/>
        <v>0</v>
      </c>
      <c r="F112" s="39">
        <f t="shared" si="47"/>
        <v>0</v>
      </c>
      <c r="G112" s="39">
        <f t="shared" si="47"/>
        <v>0</v>
      </c>
      <c r="H112" s="39">
        <f t="shared" si="47"/>
        <v>0</v>
      </c>
      <c r="I112" s="39">
        <f t="shared" si="47"/>
        <v>0</v>
      </c>
      <c r="J112" s="39">
        <f t="shared" ref="J112:J127" si="48">SUM(B112:H112)</f>
        <v>0</v>
      </c>
      <c r="M112" s="7"/>
    </row>
    <row r="113" spans="1:13" x14ac:dyDescent="0.25">
      <c r="A113" s="1" t="s">
        <v>7</v>
      </c>
      <c r="B113" s="39">
        <f>IF(B72&gt;0,B72*B93,0)</f>
        <v>0</v>
      </c>
      <c r="C113" s="39">
        <f t="shared" ref="C113:I113" si="49">IF(C72&gt;0,C72*C93,0)</f>
        <v>0</v>
      </c>
      <c r="D113" s="39">
        <f t="shared" si="49"/>
        <v>0</v>
      </c>
      <c r="E113" s="39">
        <f t="shared" si="49"/>
        <v>0</v>
      </c>
      <c r="F113" s="39">
        <f t="shared" si="49"/>
        <v>0</v>
      </c>
      <c r="G113" s="39">
        <f t="shared" si="49"/>
        <v>0</v>
      </c>
      <c r="H113" s="39">
        <f t="shared" si="49"/>
        <v>0</v>
      </c>
      <c r="I113" s="39">
        <f t="shared" si="49"/>
        <v>0</v>
      </c>
      <c r="J113" s="39">
        <f t="shared" si="48"/>
        <v>0</v>
      </c>
      <c r="M113" s="7"/>
    </row>
    <row r="114" spans="1:13" x14ac:dyDescent="0.25">
      <c r="A114" s="1" t="s">
        <v>42</v>
      </c>
      <c r="B114" s="39">
        <f t="shared" ref="B114:B127" si="50">IF(B73&gt;0,B73*B94,0)</f>
        <v>0</v>
      </c>
      <c r="C114" s="39">
        <f t="shared" ref="C114:I114" si="51">IF(C73&gt;0,C73*C94,0)</f>
        <v>0</v>
      </c>
      <c r="D114" s="39">
        <f t="shared" si="51"/>
        <v>0</v>
      </c>
      <c r="E114" s="39">
        <f t="shared" si="51"/>
        <v>0</v>
      </c>
      <c r="F114" s="39">
        <f t="shared" si="51"/>
        <v>0</v>
      </c>
      <c r="G114" s="39">
        <f t="shared" si="51"/>
        <v>0</v>
      </c>
      <c r="H114" s="39">
        <f t="shared" si="51"/>
        <v>0</v>
      </c>
      <c r="I114" s="39">
        <f t="shared" si="51"/>
        <v>0</v>
      </c>
      <c r="J114" s="39">
        <f t="shared" si="48"/>
        <v>0</v>
      </c>
      <c r="M114" s="7"/>
    </row>
    <row r="115" spans="1:13" x14ac:dyDescent="0.25">
      <c r="A115" s="1" t="s">
        <v>6</v>
      </c>
      <c r="B115" s="39">
        <f t="shared" si="50"/>
        <v>0</v>
      </c>
      <c r="C115" s="39">
        <f t="shared" ref="C115:I115" si="52">IF(C74&gt;0,C74*C95,0)</f>
        <v>0</v>
      </c>
      <c r="D115" s="39">
        <f t="shared" si="52"/>
        <v>0</v>
      </c>
      <c r="E115" s="39">
        <f t="shared" si="52"/>
        <v>0</v>
      </c>
      <c r="F115" s="39">
        <f t="shared" si="52"/>
        <v>0</v>
      </c>
      <c r="G115" s="39">
        <f t="shared" si="52"/>
        <v>0</v>
      </c>
      <c r="H115" s="39">
        <f t="shared" si="52"/>
        <v>0</v>
      </c>
      <c r="I115" s="39">
        <f t="shared" si="52"/>
        <v>0</v>
      </c>
      <c r="J115" s="39">
        <f t="shared" si="48"/>
        <v>0</v>
      </c>
      <c r="M115" s="7"/>
    </row>
    <row r="116" spans="1:13" x14ac:dyDescent="0.25">
      <c r="A116" s="1" t="s">
        <v>50</v>
      </c>
      <c r="B116" s="39">
        <f t="shared" si="50"/>
        <v>0</v>
      </c>
      <c r="C116" s="39">
        <f t="shared" ref="C116:I116" si="53">IF(C75&gt;0,C75*C96,0)</f>
        <v>0</v>
      </c>
      <c r="D116" s="39">
        <f t="shared" si="53"/>
        <v>0</v>
      </c>
      <c r="E116" s="39">
        <f t="shared" si="53"/>
        <v>0</v>
      </c>
      <c r="F116" s="39">
        <f t="shared" si="53"/>
        <v>0</v>
      </c>
      <c r="G116" s="39">
        <f t="shared" si="53"/>
        <v>0</v>
      </c>
      <c r="H116" s="39">
        <f t="shared" si="53"/>
        <v>0</v>
      </c>
      <c r="I116" s="39">
        <f t="shared" si="53"/>
        <v>0</v>
      </c>
      <c r="J116" s="39">
        <f t="shared" si="48"/>
        <v>0</v>
      </c>
      <c r="M116" s="7"/>
    </row>
    <row r="117" spans="1:13" x14ac:dyDescent="0.25">
      <c r="A117" s="1" t="s">
        <v>89</v>
      </c>
      <c r="B117" s="39">
        <f t="shared" si="50"/>
        <v>0</v>
      </c>
      <c r="C117" s="39">
        <f t="shared" ref="C117:I117" si="54">IF(C76&gt;0,C76*C97,0)</f>
        <v>0</v>
      </c>
      <c r="D117" s="39">
        <f t="shared" si="54"/>
        <v>0</v>
      </c>
      <c r="E117" s="39">
        <f t="shared" si="54"/>
        <v>0</v>
      </c>
      <c r="F117" s="39">
        <f t="shared" si="54"/>
        <v>0</v>
      </c>
      <c r="G117" s="39">
        <f t="shared" si="54"/>
        <v>0</v>
      </c>
      <c r="H117" s="39">
        <f t="shared" si="54"/>
        <v>0</v>
      </c>
      <c r="I117" s="39">
        <f t="shared" si="54"/>
        <v>0</v>
      </c>
      <c r="J117" s="39">
        <f t="shared" si="48"/>
        <v>0</v>
      </c>
      <c r="M117" s="7"/>
    </row>
    <row r="118" spans="1:13" x14ac:dyDescent="0.25">
      <c r="A118" s="1" t="s">
        <v>5</v>
      </c>
      <c r="B118" s="39">
        <f t="shared" si="50"/>
        <v>0</v>
      </c>
      <c r="C118" s="39">
        <f t="shared" ref="C118:I118" si="55">IF(C77&gt;0,C77*C98,0)</f>
        <v>0</v>
      </c>
      <c r="D118" s="39">
        <f t="shared" si="55"/>
        <v>0</v>
      </c>
      <c r="E118" s="39">
        <f t="shared" si="55"/>
        <v>0</v>
      </c>
      <c r="F118" s="39">
        <f t="shared" si="55"/>
        <v>0</v>
      </c>
      <c r="G118" s="39">
        <f t="shared" si="55"/>
        <v>0</v>
      </c>
      <c r="H118" s="39">
        <f t="shared" si="55"/>
        <v>0</v>
      </c>
      <c r="I118" s="39">
        <f t="shared" si="55"/>
        <v>0</v>
      </c>
      <c r="J118" s="39">
        <f t="shared" si="48"/>
        <v>0</v>
      </c>
      <c r="M118" s="7"/>
    </row>
    <row r="119" spans="1:13" x14ac:dyDescent="0.25">
      <c r="A119" s="1" t="s">
        <v>84</v>
      </c>
      <c r="B119" s="39">
        <f t="shared" si="50"/>
        <v>0</v>
      </c>
      <c r="C119" s="39">
        <f t="shared" ref="C119:I119" si="56">IF(C78&gt;0,C78*C99,0)</f>
        <v>0</v>
      </c>
      <c r="D119" s="39">
        <f t="shared" si="56"/>
        <v>0</v>
      </c>
      <c r="E119" s="39">
        <f t="shared" si="56"/>
        <v>0</v>
      </c>
      <c r="F119" s="39">
        <f t="shared" si="56"/>
        <v>0</v>
      </c>
      <c r="G119" s="39">
        <f t="shared" si="56"/>
        <v>0</v>
      </c>
      <c r="H119" s="39">
        <f t="shared" si="56"/>
        <v>0</v>
      </c>
      <c r="I119" s="39">
        <f t="shared" si="56"/>
        <v>0</v>
      </c>
      <c r="J119" s="39">
        <f t="shared" si="48"/>
        <v>0</v>
      </c>
      <c r="M119" s="7"/>
    </row>
    <row r="120" spans="1:13" x14ac:dyDescent="0.25">
      <c r="A120" s="1" t="s">
        <v>4</v>
      </c>
      <c r="B120" s="39">
        <f t="shared" si="50"/>
        <v>0</v>
      </c>
      <c r="C120" s="39">
        <f t="shared" ref="C120:I120" si="57">IF(C79&gt;0,C79*C100,0)</f>
        <v>0</v>
      </c>
      <c r="D120" s="39">
        <f t="shared" si="57"/>
        <v>0</v>
      </c>
      <c r="E120" s="39">
        <f t="shared" si="57"/>
        <v>0</v>
      </c>
      <c r="F120" s="39">
        <f t="shared" si="57"/>
        <v>0</v>
      </c>
      <c r="G120" s="39">
        <f t="shared" si="57"/>
        <v>0</v>
      </c>
      <c r="H120" s="39">
        <f t="shared" si="57"/>
        <v>0</v>
      </c>
      <c r="I120" s="39">
        <f t="shared" si="57"/>
        <v>0</v>
      </c>
      <c r="J120" s="39">
        <f t="shared" si="48"/>
        <v>0</v>
      </c>
      <c r="M120" s="7"/>
    </row>
    <row r="121" spans="1:13" x14ac:dyDescent="0.25">
      <c r="A121" s="1" t="s">
        <v>51</v>
      </c>
      <c r="B121" s="39">
        <f t="shared" si="50"/>
        <v>0</v>
      </c>
      <c r="C121" s="39">
        <f t="shared" ref="C121:I121" si="58">IF(C80&gt;0,C80*C101,0)</f>
        <v>0</v>
      </c>
      <c r="D121" s="39">
        <f t="shared" si="58"/>
        <v>0</v>
      </c>
      <c r="E121" s="39">
        <f t="shared" si="58"/>
        <v>0</v>
      </c>
      <c r="F121" s="39">
        <f t="shared" si="58"/>
        <v>0</v>
      </c>
      <c r="G121" s="39">
        <f t="shared" si="58"/>
        <v>0</v>
      </c>
      <c r="H121" s="39">
        <f t="shared" si="58"/>
        <v>0</v>
      </c>
      <c r="I121" s="39">
        <f t="shared" si="58"/>
        <v>0</v>
      </c>
      <c r="J121" s="39">
        <f t="shared" si="48"/>
        <v>0</v>
      </c>
      <c r="M121" s="7"/>
    </row>
    <row r="122" spans="1:13" x14ac:dyDescent="0.25">
      <c r="A122" s="1" t="s">
        <v>85</v>
      </c>
      <c r="B122" s="39">
        <f t="shared" si="50"/>
        <v>0</v>
      </c>
      <c r="C122" s="39">
        <f t="shared" ref="C122:I122" si="59">IF(C81&gt;0,C81*C102,0)</f>
        <v>0</v>
      </c>
      <c r="D122" s="39">
        <f t="shared" si="59"/>
        <v>0</v>
      </c>
      <c r="E122" s="39">
        <f t="shared" si="59"/>
        <v>0</v>
      </c>
      <c r="F122" s="39">
        <f t="shared" si="59"/>
        <v>0</v>
      </c>
      <c r="G122" s="39">
        <f t="shared" si="59"/>
        <v>0</v>
      </c>
      <c r="H122" s="39">
        <f t="shared" si="59"/>
        <v>0</v>
      </c>
      <c r="I122" s="39">
        <f t="shared" si="59"/>
        <v>0</v>
      </c>
      <c r="J122" s="39">
        <f t="shared" si="48"/>
        <v>0</v>
      </c>
      <c r="M122" s="7"/>
    </row>
    <row r="123" spans="1:13" x14ac:dyDescent="0.25">
      <c r="A123" s="1" t="s">
        <v>2</v>
      </c>
      <c r="B123" s="39">
        <f t="shared" si="50"/>
        <v>0</v>
      </c>
      <c r="C123" s="39">
        <f t="shared" ref="C123:I123" si="60">IF(C82&gt;0,C82*C103,0)</f>
        <v>0</v>
      </c>
      <c r="D123" s="39">
        <f t="shared" si="60"/>
        <v>0</v>
      </c>
      <c r="E123" s="39">
        <f t="shared" si="60"/>
        <v>0</v>
      </c>
      <c r="F123" s="39">
        <f t="shared" si="60"/>
        <v>0</v>
      </c>
      <c r="G123" s="39">
        <f t="shared" si="60"/>
        <v>0</v>
      </c>
      <c r="H123" s="39">
        <f t="shared" si="60"/>
        <v>0</v>
      </c>
      <c r="I123" s="39">
        <f t="shared" si="60"/>
        <v>0</v>
      </c>
      <c r="J123" s="39">
        <f t="shared" si="48"/>
        <v>0</v>
      </c>
      <c r="M123" s="7"/>
    </row>
    <row r="124" spans="1:13" x14ac:dyDescent="0.25">
      <c r="A124" s="1" t="s">
        <v>86</v>
      </c>
      <c r="B124" s="39">
        <f t="shared" si="50"/>
        <v>0</v>
      </c>
      <c r="C124" s="39">
        <f t="shared" ref="C124:I124" si="61">IF(C83&gt;0,C83*C104,0)</f>
        <v>0</v>
      </c>
      <c r="D124" s="39">
        <f t="shared" si="61"/>
        <v>0</v>
      </c>
      <c r="E124" s="39">
        <f t="shared" si="61"/>
        <v>0</v>
      </c>
      <c r="F124" s="39">
        <f t="shared" si="61"/>
        <v>0</v>
      </c>
      <c r="G124" s="39">
        <f t="shared" si="61"/>
        <v>0</v>
      </c>
      <c r="H124" s="39">
        <f t="shared" si="61"/>
        <v>0</v>
      </c>
      <c r="I124" s="39">
        <f t="shared" si="61"/>
        <v>0</v>
      </c>
      <c r="J124" s="39">
        <f t="shared" si="48"/>
        <v>0</v>
      </c>
      <c r="M124" s="168" t="s">
        <v>62</v>
      </c>
    </row>
    <row r="125" spans="1:13" x14ac:dyDescent="0.25">
      <c r="A125" s="1" t="s">
        <v>29</v>
      </c>
      <c r="B125" s="39">
        <f t="shared" si="50"/>
        <v>0</v>
      </c>
      <c r="C125" s="39">
        <f t="shared" ref="C125:I125" si="62">IF(C84&gt;0,C84*C105,0)</f>
        <v>0</v>
      </c>
      <c r="D125" s="39">
        <f t="shared" si="62"/>
        <v>0</v>
      </c>
      <c r="E125" s="39">
        <f t="shared" si="62"/>
        <v>0</v>
      </c>
      <c r="F125" s="39">
        <f t="shared" si="62"/>
        <v>0</v>
      </c>
      <c r="G125" s="39">
        <f t="shared" si="62"/>
        <v>0</v>
      </c>
      <c r="H125" s="39">
        <f t="shared" si="62"/>
        <v>0</v>
      </c>
      <c r="I125" s="39">
        <f t="shared" si="62"/>
        <v>0</v>
      </c>
      <c r="J125" s="39">
        <f t="shared" si="48"/>
        <v>0</v>
      </c>
      <c r="M125" s="168"/>
    </row>
    <row r="126" spans="1:13" x14ac:dyDescent="0.25">
      <c r="A126" s="1" t="s">
        <v>52</v>
      </c>
      <c r="B126" s="39">
        <f t="shared" si="50"/>
        <v>0</v>
      </c>
      <c r="C126" s="39">
        <f t="shared" ref="C126:I126" si="63">IF(C85&gt;0,C85*C106,0)</f>
        <v>0</v>
      </c>
      <c r="D126" s="39">
        <f t="shared" si="63"/>
        <v>0</v>
      </c>
      <c r="E126" s="39">
        <f t="shared" si="63"/>
        <v>0</v>
      </c>
      <c r="F126" s="39">
        <f t="shared" si="63"/>
        <v>0</v>
      </c>
      <c r="G126" s="39">
        <f t="shared" si="63"/>
        <v>0</v>
      </c>
      <c r="H126" s="39">
        <f t="shared" si="63"/>
        <v>0</v>
      </c>
      <c r="I126" s="39">
        <f t="shared" si="63"/>
        <v>0</v>
      </c>
      <c r="J126" s="39">
        <f t="shared" si="48"/>
        <v>0</v>
      </c>
      <c r="L126" s="35" t="s">
        <v>152</v>
      </c>
      <c r="M126" s="168" t="s">
        <v>63</v>
      </c>
    </row>
    <row r="127" spans="1:13" x14ac:dyDescent="0.25">
      <c r="A127" s="1" t="s">
        <v>1</v>
      </c>
      <c r="B127" s="40">
        <f t="shared" si="50"/>
        <v>0</v>
      </c>
      <c r="C127" s="40">
        <f t="shared" ref="C127:I127" si="64">IF(C86&gt;0,C86*C107,0)</f>
        <v>0</v>
      </c>
      <c r="D127" s="40">
        <f t="shared" si="64"/>
        <v>0</v>
      </c>
      <c r="E127" s="40">
        <f t="shared" si="64"/>
        <v>0</v>
      </c>
      <c r="F127" s="40">
        <f t="shared" si="64"/>
        <v>0</v>
      </c>
      <c r="G127" s="40">
        <f t="shared" si="64"/>
        <v>0</v>
      </c>
      <c r="H127" s="40">
        <f t="shared" si="64"/>
        <v>0</v>
      </c>
      <c r="I127" s="40">
        <f t="shared" si="64"/>
        <v>0</v>
      </c>
      <c r="J127" s="40">
        <f t="shared" si="48"/>
        <v>0</v>
      </c>
      <c r="L127" s="42" t="s">
        <v>61</v>
      </c>
      <c r="M127" s="169"/>
    </row>
    <row r="128" spans="1:13" x14ac:dyDescent="0.25">
      <c r="A128" s="4"/>
      <c r="B128" s="39">
        <f>SUM(B111:B127)</f>
        <v>0</v>
      </c>
      <c r="C128" s="39">
        <f t="shared" ref="C128:J128" si="65">SUM(C111:C127)</f>
        <v>0</v>
      </c>
      <c r="D128" s="39">
        <f t="shared" si="65"/>
        <v>0</v>
      </c>
      <c r="E128" s="39">
        <f t="shared" si="65"/>
        <v>0</v>
      </c>
      <c r="F128" s="39">
        <f t="shared" si="65"/>
        <v>0</v>
      </c>
      <c r="G128" s="39">
        <f t="shared" si="65"/>
        <v>0</v>
      </c>
      <c r="H128" s="39">
        <f t="shared" si="65"/>
        <v>0</v>
      </c>
      <c r="I128" s="39">
        <f t="shared" si="65"/>
        <v>0</v>
      </c>
      <c r="J128" s="39">
        <f t="shared" si="65"/>
        <v>0</v>
      </c>
      <c r="L128" s="95">
        <v>60000</v>
      </c>
      <c r="M128" s="7">
        <f>J128-L128</f>
        <v>-60000</v>
      </c>
    </row>
    <row r="129" spans="1:13" ht="15.75" thickBot="1" x14ac:dyDescent="0.3">
      <c r="A129" s="4"/>
      <c r="B129" s="39"/>
      <c r="C129" s="39"/>
      <c r="D129" s="39"/>
      <c r="E129" s="39"/>
      <c r="F129" s="39"/>
      <c r="G129" s="39"/>
      <c r="H129" s="39"/>
      <c r="I129" s="39"/>
      <c r="J129" s="39"/>
      <c r="M129" s="7"/>
    </row>
    <row r="130" spans="1:13" ht="15.75" thickBot="1" x14ac:dyDescent="0.3">
      <c r="A130" s="150" t="s">
        <v>30</v>
      </c>
      <c r="B130" s="151"/>
      <c r="C130" s="151"/>
      <c r="D130" s="151"/>
      <c r="E130" s="151"/>
      <c r="F130" s="151"/>
      <c r="G130" s="151"/>
      <c r="H130" s="151"/>
      <c r="I130" s="151"/>
      <c r="J130" s="152"/>
      <c r="M130" s="7"/>
    </row>
    <row r="131" spans="1:13" x14ac:dyDescent="0.25">
      <c r="A131" s="4" t="s">
        <v>16</v>
      </c>
      <c r="B131" s="5" t="s">
        <v>15</v>
      </c>
      <c r="C131" s="5" t="s">
        <v>14</v>
      </c>
      <c r="D131" s="5" t="s">
        <v>13</v>
      </c>
      <c r="E131" s="5" t="s">
        <v>12</v>
      </c>
      <c r="F131" s="5" t="s">
        <v>94</v>
      </c>
      <c r="G131" s="5" t="s">
        <v>95</v>
      </c>
      <c r="H131" s="5" t="s">
        <v>38</v>
      </c>
      <c r="I131" s="5" t="s">
        <v>9</v>
      </c>
      <c r="J131" s="5" t="s">
        <v>0</v>
      </c>
      <c r="M131" s="7"/>
    </row>
    <row r="132" spans="1:13" x14ac:dyDescent="0.25">
      <c r="A132" s="1" t="s">
        <v>49</v>
      </c>
      <c r="B132" s="39">
        <f>B70-B111</f>
        <v>0</v>
      </c>
      <c r="C132" s="39">
        <f t="shared" ref="C132:I132" si="66">C70-C111</f>
        <v>0</v>
      </c>
      <c r="D132" s="39">
        <f t="shared" si="66"/>
        <v>0</v>
      </c>
      <c r="E132" s="39">
        <f t="shared" si="66"/>
        <v>0</v>
      </c>
      <c r="F132" s="39">
        <f t="shared" si="66"/>
        <v>0</v>
      </c>
      <c r="G132" s="39">
        <f t="shared" si="66"/>
        <v>0</v>
      </c>
      <c r="H132" s="39">
        <f t="shared" si="66"/>
        <v>0</v>
      </c>
      <c r="I132" s="39">
        <f t="shared" si="66"/>
        <v>0</v>
      </c>
      <c r="J132" s="39">
        <f>SUM(B132:H132)</f>
        <v>0</v>
      </c>
      <c r="M132" s="7"/>
    </row>
    <row r="133" spans="1:13" x14ac:dyDescent="0.25">
      <c r="A133" s="1" t="s">
        <v>8</v>
      </c>
      <c r="B133" s="39">
        <f>B71-B112</f>
        <v>0</v>
      </c>
      <c r="C133" s="39">
        <f t="shared" ref="C133:I133" si="67">C71-C112</f>
        <v>0</v>
      </c>
      <c r="D133" s="39">
        <f t="shared" si="67"/>
        <v>0</v>
      </c>
      <c r="E133" s="39">
        <f t="shared" si="67"/>
        <v>0</v>
      </c>
      <c r="F133" s="39">
        <f t="shared" si="67"/>
        <v>0</v>
      </c>
      <c r="G133" s="39">
        <f t="shared" si="67"/>
        <v>0</v>
      </c>
      <c r="H133" s="39">
        <f t="shared" si="67"/>
        <v>0</v>
      </c>
      <c r="I133" s="39">
        <f t="shared" si="67"/>
        <v>0</v>
      </c>
      <c r="J133" s="39">
        <f t="shared" ref="J133:J148" si="68">SUM(B133:H133)</f>
        <v>0</v>
      </c>
      <c r="M133" s="7"/>
    </row>
    <row r="134" spans="1:13" x14ac:dyDescent="0.25">
      <c r="A134" s="1" t="s">
        <v>7</v>
      </c>
      <c r="B134" s="39">
        <f>B72-B113</f>
        <v>0</v>
      </c>
      <c r="C134" s="39">
        <f t="shared" ref="C134:I134" si="69">C72-C113</f>
        <v>0</v>
      </c>
      <c r="D134" s="39">
        <f t="shared" si="69"/>
        <v>0</v>
      </c>
      <c r="E134" s="39">
        <f t="shared" si="69"/>
        <v>0</v>
      </c>
      <c r="F134" s="39">
        <f t="shared" si="69"/>
        <v>0</v>
      </c>
      <c r="G134" s="39">
        <f t="shared" si="69"/>
        <v>0</v>
      </c>
      <c r="H134" s="39">
        <f t="shared" si="69"/>
        <v>0</v>
      </c>
      <c r="I134" s="39">
        <f t="shared" si="69"/>
        <v>0</v>
      </c>
      <c r="J134" s="39">
        <f t="shared" si="68"/>
        <v>0</v>
      </c>
      <c r="M134" s="7"/>
    </row>
    <row r="135" spans="1:13" x14ac:dyDescent="0.25">
      <c r="A135" s="1" t="s">
        <v>42</v>
      </c>
      <c r="B135" s="39">
        <f t="shared" ref="B135:B148" si="70">B73-B114</f>
        <v>0</v>
      </c>
      <c r="C135" s="39">
        <f t="shared" ref="C135:I135" si="71">C73-C114</f>
        <v>0</v>
      </c>
      <c r="D135" s="39">
        <f t="shared" si="71"/>
        <v>0</v>
      </c>
      <c r="E135" s="39">
        <f t="shared" si="71"/>
        <v>0</v>
      </c>
      <c r="F135" s="39">
        <f t="shared" si="71"/>
        <v>0</v>
      </c>
      <c r="G135" s="39">
        <f t="shared" si="71"/>
        <v>0</v>
      </c>
      <c r="H135" s="39">
        <f t="shared" si="71"/>
        <v>0</v>
      </c>
      <c r="I135" s="39">
        <f t="shared" si="71"/>
        <v>0</v>
      </c>
      <c r="J135" s="39">
        <f t="shared" si="68"/>
        <v>0</v>
      </c>
      <c r="M135" s="7"/>
    </row>
    <row r="136" spans="1:13" x14ac:dyDescent="0.25">
      <c r="A136" s="1" t="s">
        <v>6</v>
      </c>
      <c r="B136" s="39">
        <f t="shared" si="70"/>
        <v>0</v>
      </c>
      <c r="C136" s="39">
        <f t="shared" ref="C136:I136" si="72">C74-C115</f>
        <v>0</v>
      </c>
      <c r="D136" s="39">
        <f t="shared" si="72"/>
        <v>0</v>
      </c>
      <c r="E136" s="39">
        <f t="shared" si="72"/>
        <v>0</v>
      </c>
      <c r="F136" s="39">
        <f t="shared" si="72"/>
        <v>0</v>
      </c>
      <c r="G136" s="39">
        <f t="shared" si="72"/>
        <v>0</v>
      </c>
      <c r="H136" s="39">
        <f t="shared" si="72"/>
        <v>0</v>
      </c>
      <c r="I136" s="39">
        <f t="shared" si="72"/>
        <v>0</v>
      </c>
      <c r="J136" s="39">
        <f t="shared" si="68"/>
        <v>0</v>
      </c>
      <c r="M136" s="7"/>
    </row>
    <row r="137" spans="1:13" x14ac:dyDescent="0.25">
      <c r="A137" s="1" t="s">
        <v>50</v>
      </c>
      <c r="B137" s="39">
        <f t="shared" si="70"/>
        <v>0</v>
      </c>
      <c r="C137" s="39">
        <f t="shared" ref="C137:I137" si="73">C75-C116</f>
        <v>0</v>
      </c>
      <c r="D137" s="39">
        <f t="shared" si="73"/>
        <v>0</v>
      </c>
      <c r="E137" s="39">
        <f t="shared" si="73"/>
        <v>0</v>
      </c>
      <c r="F137" s="39">
        <f t="shared" si="73"/>
        <v>0</v>
      </c>
      <c r="G137" s="39">
        <f t="shared" si="73"/>
        <v>0</v>
      </c>
      <c r="H137" s="39">
        <f t="shared" si="73"/>
        <v>0</v>
      </c>
      <c r="I137" s="39">
        <f t="shared" si="73"/>
        <v>0</v>
      </c>
      <c r="J137" s="39">
        <f t="shared" si="68"/>
        <v>0</v>
      </c>
      <c r="M137" s="7"/>
    </row>
    <row r="138" spans="1:13" x14ac:dyDescent="0.25">
      <c r="A138" s="1" t="s">
        <v>89</v>
      </c>
      <c r="B138" s="39">
        <f t="shared" si="70"/>
        <v>0</v>
      </c>
      <c r="C138" s="39">
        <f t="shared" ref="C138:I138" si="74">C76-C117</f>
        <v>0</v>
      </c>
      <c r="D138" s="39">
        <f t="shared" si="74"/>
        <v>0</v>
      </c>
      <c r="E138" s="39">
        <f t="shared" si="74"/>
        <v>0</v>
      </c>
      <c r="F138" s="39">
        <f t="shared" si="74"/>
        <v>0</v>
      </c>
      <c r="G138" s="39">
        <f t="shared" si="74"/>
        <v>0</v>
      </c>
      <c r="H138" s="39">
        <f t="shared" si="74"/>
        <v>0</v>
      </c>
      <c r="I138" s="39">
        <f t="shared" si="74"/>
        <v>0</v>
      </c>
      <c r="J138" s="39">
        <f t="shared" si="68"/>
        <v>0</v>
      </c>
      <c r="M138" s="7"/>
    </row>
    <row r="139" spans="1:13" x14ac:dyDescent="0.25">
      <c r="A139" s="1" t="s">
        <v>5</v>
      </c>
      <c r="B139" s="39">
        <f t="shared" si="70"/>
        <v>0</v>
      </c>
      <c r="C139" s="39">
        <f t="shared" ref="C139:I139" si="75">C77-C118</f>
        <v>0</v>
      </c>
      <c r="D139" s="39">
        <f t="shared" si="75"/>
        <v>0</v>
      </c>
      <c r="E139" s="39">
        <f t="shared" si="75"/>
        <v>0</v>
      </c>
      <c r="F139" s="39">
        <f t="shared" si="75"/>
        <v>0</v>
      </c>
      <c r="G139" s="39">
        <f t="shared" si="75"/>
        <v>0</v>
      </c>
      <c r="H139" s="39">
        <f t="shared" si="75"/>
        <v>0</v>
      </c>
      <c r="I139" s="39">
        <f t="shared" si="75"/>
        <v>0</v>
      </c>
      <c r="J139" s="39">
        <f t="shared" si="68"/>
        <v>0</v>
      </c>
      <c r="M139" s="7"/>
    </row>
    <row r="140" spans="1:13" x14ac:dyDescent="0.25">
      <c r="A140" s="1" t="s">
        <v>84</v>
      </c>
      <c r="B140" s="39">
        <f t="shared" si="70"/>
        <v>0</v>
      </c>
      <c r="C140" s="39">
        <f t="shared" ref="C140:I140" si="76">C78-C119</f>
        <v>0</v>
      </c>
      <c r="D140" s="39">
        <f t="shared" si="76"/>
        <v>0</v>
      </c>
      <c r="E140" s="39">
        <f t="shared" si="76"/>
        <v>0</v>
      </c>
      <c r="F140" s="39">
        <f t="shared" si="76"/>
        <v>0</v>
      </c>
      <c r="G140" s="39">
        <f t="shared" si="76"/>
        <v>0</v>
      </c>
      <c r="H140" s="39">
        <f t="shared" si="76"/>
        <v>0</v>
      </c>
      <c r="I140" s="39">
        <f t="shared" si="76"/>
        <v>0</v>
      </c>
      <c r="J140" s="39">
        <f t="shared" si="68"/>
        <v>0</v>
      </c>
      <c r="M140" s="7"/>
    </row>
    <row r="141" spans="1:13" x14ac:dyDescent="0.25">
      <c r="A141" s="1" t="s">
        <v>4</v>
      </c>
      <c r="B141" s="39">
        <f t="shared" si="70"/>
        <v>0</v>
      </c>
      <c r="C141" s="39">
        <f t="shared" ref="C141:I141" si="77">C79-C120</f>
        <v>0</v>
      </c>
      <c r="D141" s="39">
        <f t="shared" si="77"/>
        <v>0</v>
      </c>
      <c r="E141" s="39">
        <f t="shared" si="77"/>
        <v>0</v>
      </c>
      <c r="F141" s="39">
        <f t="shared" si="77"/>
        <v>0</v>
      </c>
      <c r="G141" s="39">
        <f t="shared" si="77"/>
        <v>0</v>
      </c>
      <c r="H141" s="39">
        <f t="shared" si="77"/>
        <v>0</v>
      </c>
      <c r="I141" s="39">
        <f t="shared" si="77"/>
        <v>0</v>
      </c>
      <c r="J141" s="39">
        <f t="shared" si="68"/>
        <v>0</v>
      </c>
      <c r="M141" s="7"/>
    </row>
    <row r="142" spans="1:13" x14ac:dyDescent="0.25">
      <c r="A142" s="1" t="s">
        <v>51</v>
      </c>
      <c r="B142" s="39">
        <f t="shared" si="70"/>
        <v>0</v>
      </c>
      <c r="C142" s="39">
        <f t="shared" ref="C142:I142" si="78">C80-C121</f>
        <v>0</v>
      </c>
      <c r="D142" s="39">
        <f t="shared" si="78"/>
        <v>0</v>
      </c>
      <c r="E142" s="39">
        <f t="shared" si="78"/>
        <v>0</v>
      </c>
      <c r="F142" s="39">
        <f t="shared" si="78"/>
        <v>0</v>
      </c>
      <c r="G142" s="39">
        <f t="shared" si="78"/>
        <v>0</v>
      </c>
      <c r="H142" s="39">
        <f t="shared" si="78"/>
        <v>0</v>
      </c>
      <c r="I142" s="39">
        <f t="shared" si="78"/>
        <v>0</v>
      </c>
      <c r="J142" s="39">
        <f t="shared" si="68"/>
        <v>0</v>
      </c>
      <c r="M142" s="7"/>
    </row>
    <row r="143" spans="1:13" x14ac:dyDescent="0.25">
      <c r="A143" s="1" t="s">
        <v>85</v>
      </c>
      <c r="B143" s="39">
        <f t="shared" si="70"/>
        <v>0</v>
      </c>
      <c r="C143" s="39">
        <f t="shared" ref="C143:I143" si="79">C81-C122</f>
        <v>0</v>
      </c>
      <c r="D143" s="39">
        <f t="shared" si="79"/>
        <v>0</v>
      </c>
      <c r="E143" s="39">
        <f t="shared" si="79"/>
        <v>0</v>
      </c>
      <c r="F143" s="39">
        <f t="shared" si="79"/>
        <v>0</v>
      </c>
      <c r="G143" s="39">
        <f t="shared" si="79"/>
        <v>0</v>
      </c>
      <c r="H143" s="39">
        <f t="shared" si="79"/>
        <v>0</v>
      </c>
      <c r="I143" s="39">
        <f t="shared" si="79"/>
        <v>0</v>
      </c>
      <c r="J143" s="39">
        <f t="shared" si="68"/>
        <v>0</v>
      </c>
      <c r="M143" s="7"/>
    </row>
    <row r="144" spans="1:13" x14ac:dyDescent="0.25">
      <c r="A144" s="1" t="s">
        <v>2</v>
      </c>
      <c r="B144" s="39">
        <f t="shared" si="70"/>
        <v>0</v>
      </c>
      <c r="C144" s="39">
        <f t="shared" ref="C144:I144" si="80">C82-C123</f>
        <v>0</v>
      </c>
      <c r="D144" s="39">
        <f t="shared" si="80"/>
        <v>0</v>
      </c>
      <c r="E144" s="39">
        <f t="shared" si="80"/>
        <v>0</v>
      </c>
      <c r="F144" s="39">
        <f t="shared" si="80"/>
        <v>0</v>
      </c>
      <c r="G144" s="39">
        <f t="shared" si="80"/>
        <v>0</v>
      </c>
      <c r="H144" s="39">
        <f t="shared" si="80"/>
        <v>0</v>
      </c>
      <c r="I144" s="39">
        <f t="shared" si="80"/>
        <v>0</v>
      </c>
      <c r="J144" s="39">
        <f t="shared" si="68"/>
        <v>0</v>
      </c>
      <c r="M144" s="7"/>
    </row>
    <row r="145" spans="1:13" x14ac:dyDescent="0.25">
      <c r="A145" s="1" t="s">
        <v>86</v>
      </c>
      <c r="B145" s="39">
        <f t="shared" si="70"/>
        <v>0</v>
      </c>
      <c r="C145" s="39">
        <f t="shared" ref="C145:I145" si="81">C83-C124</f>
        <v>0</v>
      </c>
      <c r="D145" s="39">
        <f t="shared" si="81"/>
        <v>0</v>
      </c>
      <c r="E145" s="39">
        <f t="shared" si="81"/>
        <v>0</v>
      </c>
      <c r="F145" s="39">
        <f t="shared" si="81"/>
        <v>0</v>
      </c>
      <c r="G145" s="39">
        <f t="shared" si="81"/>
        <v>0</v>
      </c>
      <c r="H145" s="39">
        <f t="shared" si="81"/>
        <v>0</v>
      </c>
      <c r="I145" s="39">
        <f t="shared" si="81"/>
        <v>0</v>
      </c>
      <c r="J145" s="39">
        <f t="shared" si="68"/>
        <v>0</v>
      </c>
      <c r="M145" s="7"/>
    </row>
    <row r="146" spans="1:13" x14ac:dyDescent="0.25">
      <c r="A146" s="1" t="s">
        <v>29</v>
      </c>
      <c r="B146" s="39">
        <f t="shared" si="70"/>
        <v>0</v>
      </c>
      <c r="C146" s="39">
        <f t="shared" ref="C146:I146" si="82">C84-C125</f>
        <v>0</v>
      </c>
      <c r="D146" s="39">
        <f t="shared" si="82"/>
        <v>0</v>
      </c>
      <c r="E146" s="39">
        <f t="shared" si="82"/>
        <v>0</v>
      </c>
      <c r="F146" s="39">
        <f t="shared" si="82"/>
        <v>0</v>
      </c>
      <c r="G146" s="39">
        <f t="shared" si="82"/>
        <v>0</v>
      </c>
      <c r="H146" s="39">
        <f t="shared" si="82"/>
        <v>0</v>
      </c>
      <c r="I146" s="39">
        <f t="shared" si="82"/>
        <v>0</v>
      </c>
      <c r="J146" s="39">
        <f t="shared" si="68"/>
        <v>0</v>
      </c>
      <c r="M146" s="7"/>
    </row>
    <row r="147" spans="1:13" x14ac:dyDescent="0.25">
      <c r="A147" s="1" t="s">
        <v>52</v>
      </c>
      <c r="B147" s="39">
        <f t="shared" si="70"/>
        <v>0</v>
      </c>
      <c r="C147" s="39">
        <f t="shared" ref="C147:I147" si="83">C85-C126</f>
        <v>0</v>
      </c>
      <c r="D147" s="39">
        <f t="shared" si="83"/>
        <v>0</v>
      </c>
      <c r="E147" s="39">
        <f t="shared" si="83"/>
        <v>0</v>
      </c>
      <c r="F147" s="39">
        <f t="shared" si="83"/>
        <v>0</v>
      </c>
      <c r="G147" s="39">
        <f t="shared" si="83"/>
        <v>0</v>
      </c>
      <c r="H147" s="39">
        <f t="shared" si="83"/>
        <v>0</v>
      </c>
      <c r="I147" s="39">
        <f t="shared" si="83"/>
        <v>0</v>
      </c>
      <c r="J147" s="39">
        <f t="shared" si="68"/>
        <v>0</v>
      </c>
      <c r="M147" s="7"/>
    </row>
    <row r="148" spans="1:13" x14ac:dyDescent="0.25">
      <c r="A148" s="1" t="s">
        <v>1</v>
      </c>
      <c r="B148" s="40">
        <f t="shared" si="70"/>
        <v>0</v>
      </c>
      <c r="C148" s="40">
        <f t="shared" ref="C148:I148" si="84">C86-C127</f>
        <v>0</v>
      </c>
      <c r="D148" s="40">
        <f t="shared" si="84"/>
        <v>0</v>
      </c>
      <c r="E148" s="40">
        <f t="shared" si="84"/>
        <v>0</v>
      </c>
      <c r="F148" s="40">
        <f t="shared" si="84"/>
        <v>0</v>
      </c>
      <c r="G148" s="40">
        <f t="shared" si="84"/>
        <v>0</v>
      </c>
      <c r="H148" s="40">
        <f t="shared" si="84"/>
        <v>0</v>
      </c>
      <c r="I148" s="40">
        <f t="shared" si="84"/>
        <v>0</v>
      </c>
      <c r="J148" s="40">
        <f t="shared" si="68"/>
        <v>0</v>
      </c>
      <c r="M148" s="7"/>
    </row>
    <row r="149" spans="1:13" x14ac:dyDescent="0.25">
      <c r="A149" s="4"/>
      <c r="B149" s="39">
        <f>SUM(B132:B148)</f>
        <v>0</v>
      </c>
      <c r="C149" s="39">
        <f t="shared" ref="C149:J149" si="85">SUM(C132:C148)</f>
        <v>0</v>
      </c>
      <c r="D149" s="39">
        <f t="shared" si="85"/>
        <v>0</v>
      </c>
      <c r="E149" s="39">
        <f t="shared" si="85"/>
        <v>0</v>
      </c>
      <c r="F149" s="39">
        <f t="shared" si="85"/>
        <v>0</v>
      </c>
      <c r="G149" s="39">
        <f t="shared" si="85"/>
        <v>0</v>
      </c>
      <c r="H149" s="39">
        <f t="shared" si="85"/>
        <v>0</v>
      </c>
      <c r="I149" s="39">
        <f t="shared" si="85"/>
        <v>0</v>
      </c>
      <c r="J149" s="39">
        <f t="shared" si="85"/>
        <v>0</v>
      </c>
      <c r="M149" s="7"/>
    </row>
    <row r="150" spans="1:13" x14ac:dyDescent="0.25">
      <c r="A150" s="4"/>
      <c r="B150" s="39"/>
      <c r="C150" s="39"/>
      <c r="D150" s="39"/>
      <c r="E150" s="39"/>
      <c r="F150" s="39"/>
      <c r="G150" s="39"/>
      <c r="H150" s="39"/>
      <c r="I150" s="39"/>
      <c r="J150" s="39"/>
      <c r="M150" s="7"/>
    </row>
    <row r="151" spans="1:13" x14ac:dyDescent="0.25">
      <c r="A151" s="4"/>
      <c r="B151" s="39"/>
      <c r="C151" s="39"/>
      <c r="D151" s="39"/>
      <c r="E151" s="39"/>
      <c r="F151" s="39"/>
      <c r="G151" s="39"/>
      <c r="H151" s="39"/>
      <c r="I151" s="39"/>
      <c r="J151" s="39"/>
      <c r="M151" s="7"/>
    </row>
    <row r="152" spans="1:13" x14ac:dyDescent="0.25">
      <c r="A152" s="4"/>
      <c r="B152" s="39"/>
      <c r="C152" s="39"/>
      <c r="D152" s="39"/>
      <c r="E152" s="39"/>
      <c r="F152" s="39"/>
      <c r="G152" s="39"/>
      <c r="H152" s="39"/>
      <c r="I152" s="39"/>
      <c r="J152" s="39"/>
      <c r="M152" s="7"/>
    </row>
    <row r="153" spans="1:13" x14ac:dyDescent="0.25">
      <c r="A153" s="4"/>
      <c r="B153" s="39"/>
      <c r="C153" s="39"/>
      <c r="D153" s="39"/>
      <c r="E153" s="39"/>
      <c r="F153" s="39"/>
      <c r="G153" s="39"/>
      <c r="H153" s="39"/>
      <c r="I153" s="39"/>
      <c r="J153" s="39"/>
      <c r="M153" s="7"/>
    </row>
    <row r="154" spans="1:13" x14ac:dyDescent="0.25">
      <c r="A154" s="4"/>
      <c r="B154" s="39"/>
      <c r="C154" s="39"/>
      <c r="D154" s="39"/>
      <c r="E154" s="39"/>
      <c r="F154" s="39"/>
      <c r="G154" s="39"/>
      <c r="H154" s="39"/>
      <c r="I154" s="39"/>
      <c r="J154" s="39"/>
      <c r="M154" s="7"/>
    </row>
    <row r="155" spans="1:13" x14ac:dyDescent="0.25">
      <c r="A155" s="4"/>
      <c r="B155" s="39"/>
      <c r="C155" s="39"/>
      <c r="D155" s="39"/>
      <c r="E155" s="39"/>
      <c r="F155" s="39"/>
      <c r="G155" s="39"/>
      <c r="H155" s="39"/>
      <c r="I155" s="39"/>
      <c r="J155" s="39"/>
      <c r="M155" s="7"/>
    </row>
    <row r="156" spans="1:13" x14ac:dyDescent="0.25">
      <c r="A156" s="4"/>
      <c r="B156" s="39"/>
      <c r="C156" s="39"/>
      <c r="D156" s="39"/>
      <c r="E156" s="39"/>
      <c r="F156" s="39"/>
      <c r="G156" s="39"/>
      <c r="H156" s="39"/>
      <c r="I156" s="39"/>
      <c r="J156" s="39"/>
      <c r="M156" s="7"/>
    </row>
    <row r="157" spans="1:13" x14ac:dyDescent="0.25">
      <c r="A157" s="1"/>
      <c r="B157" s="9"/>
      <c r="C157" s="9"/>
      <c r="D157" s="9"/>
      <c r="E157" s="9"/>
      <c r="F157" s="9"/>
      <c r="G157" s="9"/>
      <c r="H157" s="9"/>
      <c r="I157" s="9"/>
      <c r="J157" s="9"/>
      <c r="M157" s="7"/>
    </row>
    <row r="158" spans="1:13" x14ac:dyDescent="0.25">
      <c r="A158" s="1"/>
      <c r="B158" s="9"/>
      <c r="C158" s="9"/>
      <c r="D158" s="9"/>
      <c r="E158" s="9"/>
      <c r="F158" s="9"/>
      <c r="G158" s="9"/>
      <c r="H158" s="9"/>
      <c r="I158" s="9"/>
      <c r="J158" s="9"/>
      <c r="M158" s="7"/>
    </row>
  </sheetData>
  <mergeCells count="16">
    <mergeCell ref="A109:J109"/>
    <mergeCell ref="M124:M125"/>
    <mergeCell ref="M126:M127"/>
    <mergeCell ref="A130:J130"/>
    <mergeCell ref="A27:J27"/>
    <mergeCell ref="A47:J47"/>
    <mergeCell ref="M62:M63"/>
    <mergeCell ref="M64:M65"/>
    <mergeCell ref="A68:J68"/>
    <mergeCell ref="A89:J89"/>
    <mergeCell ref="A1:M1"/>
    <mergeCell ref="A2:M2"/>
    <mergeCell ref="A3:M3"/>
    <mergeCell ref="A4:M4"/>
    <mergeCell ref="A6:J6"/>
    <mergeCell ref="L6:M6"/>
  </mergeCells>
  <pageMargins left="0.7" right="0.7" top="0.75" bottom="0.75" header="0.3" footer="0.3"/>
  <pageSetup scale="3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6"/>
  </sheetPr>
  <dimension ref="A1:BA55"/>
  <sheetViews>
    <sheetView workbookViewId="0">
      <selection sqref="A1:AY1"/>
    </sheetView>
  </sheetViews>
  <sheetFormatPr defaultRowHeight="15" x14ac:dyDescent="0.25"/>
  <cols>
    <col min="1" max="1" width="19.85546875" bestFit="1" customWidth="1"/>
    <col min="2" max="2" width="12.42578125" bestFit="1" customWidth="1"/>
    <col min="3" max="3" width="22.42578125" customWidth="1"/>
    <col min="4" max="15" width="9.7109375" hidden="1" customWidth="1"/>
    <col min="16" max="16" width="8.7109375" hidden="1" customWidth="1"/>
    <col min="17" max="17" width="11.7109375" customWidth="1"/>
    <col min="19" max="19" width="12.42578125" bestFit="1" customWidth="1"/>
    <col min="20" max="20" width="18" bestFit="1" customWidth="1"/>
    <col min="21" max="33" width="9.7109375" hidden="1" customWidth="1"/>
    <col min="34" max="34" width="11.7109375" customWidth="1"/>
    <col min="36" max="36" width="14.42578125" customWidth="1"/>
    <col min="37" max="37" width="20.140625" customWidth="1"/>
    <col min="38" max="50" width="9.7109375" hidden="1" customWidth="1"/>
    <col min="51" max="51" width="11.7109375" customWidth="1"/>
  </cols>
  <sheetData>
    <row r="1" spans="1:53" ht="18.75" x14ac:dyDescent="0.3">
      <c r="A1" s="162" t="s">
        <v>17</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BA1" s="31"/>
    </row>
    <row r="2" spans="1:53" ht="15.75" x14ac:dyDescent="0.25">
      <c r="A2" s="163" t="str">
        <f>'Company Summary'!A2:J2</f>
        <v>Amato PT</v>
      </c>
      <c r="B2" s="163"/>
      <c r="C2" s="163"/>
      <c r="D2" s="163"/>
      <c r="E2" s="163"/>
      <c r="F2" s="163"/>
      <c r="G2" s="163"/>
      <c r="H2" s="163"/>
      <c r="I2" s="163"/>
      <c r="J2" s="163"/>
      <c r="K2" s="163"/>
      <c r="L2" s="163"/>
      <c r="M2" s="163"/>
      <c r="N2" s="163"/>
      <c r="O2" s="163"/>
      <c r="P2" s="163"/>
      <c r="Q2" s="163"/>
      <c r="R2" s="163"/>
      <c r="S2" s="163"/>
      <c r="T2" s="163"/>
      <c r="U2" s="163"/>
      <c r="V2" s="163"/>
      <c r="W2" s="163"/>
      <c r="X2" s="163"/>
      <c r="Y2" s="163"/>
      <c r="Z2" s="163"/>
      <c r="AA2" s="163"/>
      <c r="AB2" s="163"/>
      <c r="AC2" s="163"/>
      <c r="AD2" s="163"/>
      <c r="AE2" s="163"/>
      <c r="AF2" s="163"/>
      <c r="AG2" s="163"/>
      <c r="AH2" s="163"/>
      <c r="AI2" s="163"/>
      <c r="AJ2" s="163"/>
      <c r="AK2" s="163"/>
      <c r="AL2" s="163"/>
      <c r="AM2" s="163"/>
      <c r="AN2" s="163"/>
      <c r="AO2" s="163"/>
      <c r="AP2" s="163"/>
      <c r="AQ2" s="163"/>
      <c r="AR2" s="163"/>
      <c r="AS2" s="163"/>
      <c r="AT2" s="163"/>
      <c r="AU2" s="163"/>
      <c r="AV2" s="163"/>
      <c r="AW2" s="163"/>
      <c r="AX2" s="163"/>
      <c r="AY2" s="163"/>
      <c r="BA2" s="31"/>
    </row>
    <row r="3" spans="1:53" x14ac:dyDescent="0.25">
      <c r="A3" s="164" t="s">
        <v>55</v>
      </c>
      <c r="B3" s="164"/>
      <c r="C3" s="164"/>
      <c r="D3" s="164"/>
      <c r="E3" s="164"/>
      <c r="F3" s="164"/>
      <c r="G3" s="164"/>
      <c r="H3" s="164"/>
      <c r="I3" s="164"/>
      <c r="J3" s="164"/>
      <c r="K3" s="164"/>
      <c r="L3" s="164"/>
      <c r="M3" s="164"/>
      <c r="N3" s="164"/>
      <c r="O3" s="164"/>
      <c r="P3" s="164"/>
      <c r="Q3" s="164"/>
      <c r="R3" s="164"/>
      <c r="S3" s="164"/>
      <c r="T3" s="164"/>
      <c r="U3" s="164"/>
      <c r="V3" s="164"/>
      <c r="W3" s="164"/>
      <c r="X3" s="164"/>
      <c r="Y3" s="164"/>
      <c r="Z3" s="164"/>
      <c r="AA3" s="164"/>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row>
    <row r="4" spans="1:53" x14ac:dyDescent="0.25">
      <c r="A4" s="35"/>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row>
    <row r="5" spans="1:53" x14ac:dyDescent="0.25">
      <c r="A5" s="35"/>
      <c r="B5" s="164" t="s">
        <v>58</v>
      </c>
      <c r="C5" s="164"/>
      <c r="D5" s="164"/>
      <c r="E5" s="164"/>
      <c r="F5" s="164"/>
      <c r="G5" s="164"/>
      <c r="H5" s="164"/>
      <c r="I5" s="164"/>
      <c r="J5" s="164"/>
      <c r="K5" s="164"/>
      <c r="L5" s="164"/>
      <c r="M5" s="164"/>
      <c r="N5" s="164"/>
      <c r="O5" s="164"/>
      <c r="P5" s="164"/>
      <c r="Q5" s="164"/>
      <c r="R5" s="35"/>
      <c r="S5" s="164" t="s">
        <v>57</v>
      </c>
      <c r="T5" s="164"/>
      <c r="U5" s="164"/>
      <c r="V5" s="164"/>
      <c r="W5" s="164"/>
      <c r="X5" s="164"/>
      <c r="Y5" s="164"/>
      <c r="Z5" s="164"/>
      <c r="AA5" s="164"/>
      <c r="AB5" s="164"/>
      <c r="AC5" s="164"/>
      <c r="AD5" s="164"/>
      <c r="AE5" s="164"/>
      <c r="AF5" s="164"/>
      <c r="AG5" s="164"/>
      <c r="AH5" s="164"/>
      <c r="AI5" s="35"/>
      <c r="AJ5" s="164" t="s">
        <v>57</v>
      </c>
      <c r="AK5" s="164"/>
      <c r="AL5" s="164"/>
      <c r="AM5" s="164"/>
      <c r="AN5" s="164"/>
      <c r="AO5" s="164"/>
      <c r="AP5" s="164"/>
      <c r="AQ5" s="164"/>
      <c r="AR5" s="164"/>
      <c r="AS5" s="164"/>
      <c r="AT5" s="164"/>
      <c r="AU5" s="164"/>
      <c r="AV5" s="164"/>
      <c r="AW5" s="164"/>
      <c r="AX5" s="164"/>
      <c r="AY5" s="164"/>
      <c r="BA5" s="31"/>
    </row>
    <row r="6" spans="1:53" x14ac:dyDescent="0.25">
      <c r="B6" s="177" t="s">
        <v>483</v>
      </c>
      <c r="C6" s="177"/>
      <c r="D6" s="177"/>
      <c r="E6" s="177"/>
      <c r="F6" s="177"/>
      <c r="G6" s="177"/>
      <c r="H6" s="177"/>
      <c r="I6" s="177"/>
      <c r="J6" s="177"/>
      <c r="K6" s="177"/>
      <c r="L6" s="177"/>
      <c r="M6" s="177"/>
      <c r="N6" s="177"/>
      <c r="O6" s="177"/>
      <c r="P6" s="177"/>
      <c r="Q6" s="177"/>
      <c r="S6" s="177" t="s">
        <v>401</v>
      </c>
      <c r="T6" s="177"/>
      <c r="U6" s="177"/>
      <c r="V6" s="177"/>
      <c r="W6" s="177"/>
      <c r="X6" s="177"/>
      <c r="Y6" s="177"/>
      <c r="Z6" s="177"/>
      <c r="AA6" s="177"/>
      <c r="AB6" s="177"/>
      <c r="AC6" s="177"/>
      <c r="AD6" s="177"/>
      <c r="AE6" s="177"/>
      <c r="AF6" s="177"/>
      <c r="AG6" s="177"/>
      <c r="AH6" s="177"/>
      <c r="AJ6" s="164" t="s">
        <v>92</v>
      </c>
      <c r="AK6" s="164"/>
      <c r="AL6" s="164"/>
      <c r="AM6" s="164"/>
      <c r="AN6" s="164"/>
      <c r="AO6" s="164"/>
      <c r="AP6" s="164"/>
      <c r="AQ6" s="164"/>
      <c r="AR6" s="164"/>
      <c r="AS6" s="164"/>
      <c r="AT6" s="164"/>
      <c r="AU6" s="164"/>
      <c r="AV6" s="164"/>
      <c r="AW6" s="164"/>
      <c r="AX6" s="164"/>
      <c r="AY6" s="164"/>
    </row>
    <row r="7" spans="1:53" ht="15.75" thickBot="1" x14ac:dyDescent="0.3">
      <c r="B7" s="43" t="str">
        <f>'Creve Coeur'!C2</f>
        <v>Creve Coeur</v>
      </c>
      <c r="C7" s="43" t="str">
        <f>CWE!C2</f>
        <v>Central West End</v>
      </c>
      <c r="D7" s="43" t="s">
        <v>118</v>
      </c>
      <c r="E7" s="43" t="s">
        <v>119</v>
      </c>
      <c r="F7" s="43" t="s">
        <v>120</v>
      </c>
      <c r="G7" s="43" t="s">
        <v>121</v>
      </c>
      <c r="H7" s="43" t="s">
        <v>122</v>
      </c>
      <c r="I7" s="43" t="s">
        <v>123</v>
      </c>
      <c r="J7" s="43" t="s">
        <v>124</v>
      </c>
      <c r="K7" s="43" t="s">
        <v>125</v>
      </c>
      <c r="L7" s="43" t="s">
        <v>126</v>
      </c>
      <c r="M7" s="43" t="s">
        <v>127</v>
      </c>
      <c r="N7" s="43" t="s">
        <v>128</v>
      </c>
      <c r="O7" s="43" t="s">
        <v>129</v>
      </c>
      <c r="P7" s="43" t="s">
        <v>130</v>
      </c>
      <c r="Q7" s="43" t="s">
        <v>56</v>
      </c>
      <c r="R7" s="35"/>
      <c r="S7" s="43" t="str">
        <f>B7</f>
        <v>Creve Coeur</v>
      </c>
      <c r="T7" s="43" t="str">
        <f>C7</f>
        <v>Central West End</v>
      </c>
      <c r="U7" s="43" t="s">
        <v>118</v>
      </c>
      <c r="V7" s="43" t="s">
        <v>119</v>
      </c>
      <c r="W7" s="43" t="s">
        <v>120</v>
      </c>
      <c r="X7" s="43" t="s">
        <v>121</v>
      </c>
      <c r="Y7" s="43" t="s">
        <v>122</v>
      </c>
      <c r="Z7" s="43" t="s">
        <v>123</v>
      </c>
      <c r="AA7" s="43" t="s">
        <v>124</v>
      </c>
      <c r="AB7" s="43" t="s">
        <v>125</v>
      </c>
      <c r="AC7" s="43" t="s">
        <v>126</v>
      </c>
      <c r="AD7" s="43" t="s">
        <v>127</v>
      </c>
      <c r="AE7" s="43" t="s">
        <v>128</v>
      </c>
      <c r="AF7" s="43" t="s">
        <v>129</v>
      </c>
      <c r="AG7" s="43" t="s">
        <v>130</v>
      </c>
      <c r="AH7" s="43" t="s">
        <v>56</v>
      </c>
      <c r="AJ7" s="43" t="str">
        <f>B7</f>
        <v>Creve Coeur</v>
      </c>
      <c r="AK7" s="43" t="str">
        <f t="shared" ref="AK7:AX7" si="0">C7</f>
        <v>Central West End</v>
      </c>
      <c r="AL7" s="43" t="str">
        <f t="shared" si="0"/>
        <v>Clinic 3</v>
      </c>
      <c r="AM7" s="43" t="str">
        <f t="shared" si="0"/>
        <v>Clinic 4</v>
      </c>
      <c r="AN7" s="43" t="str">
        <f t="shared" si="0"/>
        <v>Clinic 5</v>
      </c>
      <c r="AO7" s="43" t="str">
        <f t="shared" si="0"/>
        <v>Clinic 6</v>
      </c>
      <c r="AP7" s="43" t="str">
        <f t="shared" si="0"/>
        <v>Clinic 7</v>
      </c>
      <c r="AQ7" s="43" t="str">
        <f t="shared" si="0"/>
        <v>Clinic 8</v>
      </c>
      <c r="AR7" s="43" t="str">
        <f t="shared" si="0"/>
        <v>Clinic 9</v>
      </c>
      <c r="AS7" s="43" t="str">
        <f t="shared" si="0"/>
        <v>Clinic 10</v>
      </c>
      <c r="AT7" s="43" t="str">
        <f t="shared" si="0"/>
        <v>Clinic 11</v>
      </c>
      <c r="AU7" s="43" t="str">
        <f t="shared" si="0"/>
        <v>Clinic 12</v>
      </c>
      <c r="AV7" s="43" t="str">
        <f t="shared" si="0"/>
        <v>Clinic 13</v>
      </c>
      <c r="AW7" s="43" t="str">
        <f t="shared" si="0"/>
        <v>Clinic 14</v>
      </c>
      <c r="AX7" s="43" t="str">
        <f t="shared" si="0"/>
        <v>Clinic 15</v>
      </c>
      <c r="AY7" s="43" t="s">
        <v>56</v>
      </c>
    </row>
    <row r="8" spans="1:53" x14ac:dyDescent="0.25">
      <c r="A8" s="4" t="s">
        <v>16</v>
      </c>
    </row>
    <row r="9" spans="1:53" x14ac:dyDescent="0.25">
      <c r="A9" s="1" t="s">
        <v>49</v>
      </c>
      <c r="B9" s="82"/>
      <c r="C9" s="81"/>
      <c r="D9" s="81"/>
      <c r="E9" s="81"/>
      <c r="F9" s="81"/>
      <c r="G9" s="81"/>
      <c r="H9" s="81"/>
      <c r="I9" s="81"/>
      <c r="J9" s="81"/>
      <c r="K9" s="81"/>
      <c r="L9" s="81"/>
      <c r="M9" s="81"/>
      <c r="N9" s="81"/>
      <c r="O9" s="81"/>
      <c r="P9" s="81"/>
      <c r="Q9" s="82"/>
      <c r="S9" s="82"/>
      <c r="T9" s="81"/>
      <c r="U9" s="81"/>
      <c r="V9" s="81"/>
      <c r="W9" s="81"/>
      <c r="X9" s="81"/>
      <c r="Y9" s="81"/>
      <c r="Z9" s="81"/>
      <c r="AA9" s="81"/>
      <c r="AB9" s="81"/>
      <c r="AC9" s="81"/>
      <c r="AD9" s="81"/>
      <c r="AE9" s="81"/>
      <c r="AF9" s="81"/>
      <c r="AG9" s="81"/>
      <c r="AH9" s="82"/>
      <c r="AJ9" s="34">
        <f>B9-S9</f>
        <v>0</v>
      </c>
      <c r="AK9" s="34">
        <f t="shared" ref="AK9:AY24" si="1">C9-T9</f>
        <v>0</v>
      </c>
      <c r="AL9" s="34">
        <f t="shared" si="1"/>
        <v>0</v>
      </c>
      <c r="AM9" s="34">
        <f t="shared" si="1"/>
        <v>0</v>
      </c>
      <c r="AN9" s="34">
        <f t="shared" si="1"/>
        <v>0</v>
      </c>
      <c r="AO9" s="34">
        <f t="shared" si="1"/>
        <v>0</v>
      </c>
      <c r="AP9" s="34">
        <f t="shared" si="1"/>
        <v>0</v>
      </c>
      <c r="AQ9" s="34">
        <f t="shared" si="1"/>
        <v>0</v>
      </c>
      <c r="AR9" s="34">
        <f t="shared" si="1"/>
        <v>0</v>
      </c>
      <c r="AS9" s="34">
        <f t="shared" si="1"/>
        <v>0</v>
      </c>
      <c r="AT9" s="34">
        <f t="shared" si="1"/>
        <v>0</v>
      </c>
      <c r="AU9" s="34">
        <f t="shared" si="1"/>
        <v>0</v>
      </c>
      <c r="AV9" s="34">
        <f t="shared" si="1"/>
        <v>0</v>
      </c>
      <c r="AW9" s="34">
        <f t="shared" si="1"/>
        <v>0</v>
      </c>
      <c r="AX9" s="34">
        <f t="shared" si="1"/>
        <v>0</v>
      </c>
      <c r="AY9" s="34">
        <f t="shared" si="1"/>
        <v>0</v>
      </c>
    </row>
    <row r="10" spans="1:53" x14ac:dyDescent="0.25">
      <c r="A10" s="1" t="s">
        <v>8</v>
      </c>
      <c r="B10" s="141">
        <f>$Q10</f>
        <v>1</v>
      </c>
      <c r="C10" s="141">
        <f>$Q10</f>
        <v>1</v>
      </c>
      <c r="D10" s="82"/>
      <c r="E10" s="82"/>
      <c r="F10" s="82"/>
      <c r="G10" s="82"/>
      <c r="H10" s="82"/>
      <c r="I10" s="82"/>
      <c r="J10" s="82"/>
      <c r="K10" s="82"/>
      <c r="L10" s="82"/>
      <c r="M10" s="82"/>
      <c r="N10" s="82"/>
      <c r="O10" s="82"/>
      <c r="P10" s="82"/>
      <c r="Q10" s="147">
        <f>AH10</f>
        <v>1</v>
      </c>
      <c r="S10" s="141">
        <v>1</v>
      </c>
      <c r="T10" s="141">
        <v>1</v>
      </c>
      <c r="U10" s="82"/>
      <c r="V10" s="82"/>
      <c r="W10" s="82"/>
      <c r="X10" s="82"/>
      <c r="Y10" s="82"/>
      <c r="Z10" s="82"/>
      <c r="AA10" s="82"/>
      <c r="AB10" s="82"/>
      <c r="AC10" s="82"/>
      <c r="AD10" s="82"/>
      <c r="AE10" s="82"/>
      <c r="AF10" s="82"/>
      <c r="AG10" s="82"/>
      <c r="AH10" s="147">
        <v>1</v>
      </c>
      <c r="AJ10" s="34">
        <f t="shared" ref="AJ10:AJ28" si="2">B10-S10</f>
        <v>0</v>
      </c>
      <c r="AK10" s="34">
        <f t="shared" si="1"/>
        <v>0</v>
      </c>
      <c r="AL10" s="34">
        <f t="shared" si="1"/>
        <v>0</v>
      </c>
      <c r="AM10" s="34">
        <f t="shared" si="1"/>
        <v>0</v>
      </c>
      <c r="AN10" s="34">
        <f t="shared" si="1"/>
        <v>0</v>
      </c>
      <c r="AO10" s="34">
        <f t="shared" si="1"/>
        <v>0</v>
      </c>
      <c r="AP10" s="34">
        <f t="shared" si="1"/>
        <v>0</v>
      </c>
      <c r="AQ10" s="34">
        <f t="shared" si="1"/>
        <v>0</v>
      </c>
      <c r="AR10" s="34">
        <f t="shared" si="1"/>
        <v>0</v>
      </c>
      <c r="AS10" s="34">
        <f t="shared" si="1"/>
        <v>0</v>
      </c>
      <c r="AT10" s="34">
        <f t="shared" si="1"/>
        <v>0</v>
      </c>
      <c r="AU10" s="34">
        <f t="shared" si="1"/>
        <v>0</v>
      </c>
      <c r="AV10" s="34">
        <f t="shared" si="1"/>
        <v>0</v>
      </c>
      <c r="AW10" s="34">
        <f t="shared" si="1"/>
        <v>0</v>
      </c>
      <c r="AX10" s="34">
        <f t="shared" si="1"/>
        <v>0</v>
      </c>
      <c r="AY10" s="34">
        <f t="shared" si="1"/>
        <v>0</v>
      </c>
    </row>
    <row r="11" spans="1:53" x14ac:dyDescent="0.25">
      <c r="A11" s="1" t="s">
        <v>7</v>
      </c>
      <c r="B11" s="141">
        <f>$Q11</f>
        <v>0</v>
      </c>
      <c r="C11" s="141">
        <f>$Q11</f>
        <v>0</v>
      </c>
      <c r="D11" s="83"/>
      <c r="E11" s="83"/>
      <c r="F11" s="83"/>
      <c r="G11" s="83"/>
      <c r="H11" s="83"/>
      <c r="I11" s="83"/>
      <c r="J11" s="83"/>
      <c r="K11" s="83"/>
      <c r="L11" s="83"/>
      <c r="M11" s="83"/>
      <c r="N11" s="83"/>
      <c r="O11" s="83"/>
      <c r="P11" s="83"/>
      <c r="Q11" s="82">
        <f>AH11</f>
        <v>0</v>
      </c>
      <c r="S11" s="141">
        <v>0</v>
      </c>
      <c r="T11" s="141">
        <v>0</v>
      </c>
      <c r="U11" s="83"/>
      <c r="V11" s="83"/>
      <c r="W11" s="83"/>
      <c r="X11" s="83"/>
      <c r="Y11" s="83"/>
      <c r="Z11" s="83"/>
      <c r="AA11" s="83"/>
      <c r="AB11" s="83"/>
      <c r="AC11" s="83"/>
      <c r="AD11" s="83"/>
      <c r="AE11" s="83"/>
      <c r="AF11" s="83"/>
      <c r="AG11" s="83"/>
      <c r="AH11" s="82">
        <v>0</v>
      </c>
      <c r="AJ11" s="34">
        <f t="shared" si="2"/>
        <v>0</v>
      </c>
      <c r="AK11" s="34">
        <f t="shared" si="1"/>
        <v>0</v>
      </c>
      <c r="AL11" s="34">
        <f t="shared" si="1"/>
        <v>0</v>
      </c>
      <c r="AM11" s="34">
        <f t="shared" si="1"/>
        <v>0</v>
      </c>
      <c r="AN11" s="34">
        <f t="shared" si="1"/>
        <v>0</v>
      </c>
      <c r="AO11" s="34">
        <f t="shared" si="1"/>
        <v>0</v>
      </c>
      <c r="AP11" s="34">
        <f t="shared" si="1"/>
        <v>0</v>
      </c>
      <c r="AQ11" s="34">
        <f t="shared" si="1"/>
        <v>0</v>
      </c>
      <c r="AR11" s="34">
        <f t="shared" si="1"/>
        <v>0</v>
      </c>
      <c r="AS11" s="34">
        <f t="shared" si="1"/>
        <v>0</v>
      </c>
      <c r="AT11" s="34">
        <f t="shared" si="1"/>
        <v>0</v>
      </c>
      <c r="AU11" s="34">
        <f t="shared" si="1"/>
        <v>0</v>
      </c>
      <c r="AV11" s="34">
        <f t="shared" si="1"/>
        <v>0</v>
      </c>
      <c r="AW11" s="34">
        <f t="shared" si="1"/>
        <v>0</v>
      </c>
      <c r="AX11" s="34">
        <f t="shared" si="1"/>
        <v>0</v>
      </c>
      <c r="AY11" s="34">
        <f t="shared" si="1"/>
        <v>0</v>
      </c>
    </row>
    <row r="12" spans="1:53" x14ac:dyDescent="0.25">
      <c r="A12" s="1" t="s">
        <v>42</v>
      </c>
      <c r="B12" s="82"/>
      <c r="C12" s="82"/>
      <c r="D12" s="83"/>
      <c r="E12" s="83"/>
      <c r="F12" s="83"/>
      <c r="G12" s="83"/>
      <c r="H12" s="83"/>
      <c r="I12" s="83"/>
      <c r="J12" s="83"/>
      <c r="K12" s="83"/>
      <c r="L12" s="83"/>
      <c r="M12" s="83"/>
      <c r="N12" s="83"/>
      <c r="O12" s="83"/>
      <c r="P12" s="83"/>
      <c r="Q12" s="83"/>
      <c r="S12" s="82"/>
      <c r="T12" s="82"/>
      <c r="U12" s="83"/>
      <c r="V12" s="83"/>
      <c r="W12" s="83"/>
      <c r="X12" s="83"/>
      <c r="Y12" s="83"/>
      <c r="Z12" s="83"/>
      <c r="AA12" s="83"/>
      <c r="AB12" s="83"/>
      <c r="AC12" s="83"/>
      <c r="AD12" s="83"/>
      <c r="AE12" s="83"/>
      <c r="AF12" s="83"/>
      <c r="AG12" s="83"/>
      <c r="AH12" s="83"/>
      <c r="AJ12" s="34">
        <f t="shared" si="2"/>
        <v>0</v>
      </c>
      <c r="AK12" s="34">
        <f t="shared" si="1"/>
        <v>0</v>
      </c>
      <c r="AL12" s="34">
        <f t="shared" si="1"/>
        <v>0</v>
      </c>
      <c r="AM12" s="34">
        <f t="shared" si="1"/>
        <v>0</v>
      </c>
      <c r="AN12" s="34">
        <f t="shared" si="1"/>
        <v>0</v>
      </c>
      <c r="AO12" s="34">
        <f t="shared" si="1"/>
        <v>0</v>
      </c>
      <c r="AP12" s="34">
        <f t="shared" si="1"/>
        <v>0</v>
      </c>
      <c r="AQ12" s="34">
        <f t="shared" si="1"/>
        <v>0</v>
      </c>
      <c r="AR12" s="34">
        <f t="shared" si="1"/>
        <v>0</v>
      </c>
      <c r="AS12" s="34">
        <f t="shared" si="1"/>
        <v>0</v>
      </c>
      <c r="AT12" s="34">
        <f t="shared" si="1"/>
        <v>0</v>
      </c>
      <c r="AU12" s="34">
        <f t="shared" si="1"/>
        <v>0</v>
      </c>
      <c r="AV12" s="34">
        <f t="shared" si="1"/>
        <v>0</v>
      </c>
      <c r="AW12" s="34">
        <f t="shared" si="1"/>
        <v>0</v>
      </c>
      <c r="AX12" s="34">
        <f t="shared" si="1"/>
        <v>0</v>
      </c>
      <c r="AY12" s="34">
        <f t="shared" si="1"/>
        <v>0</v>
      </c>
    </row>
    <row r="13" spans="1:53" x14ac:dyDescent="0.25">
      <c r="A13" s="1" t="s">
        <v>6</v>
      </c>
      <c r="B13" s="141">
        <f>$Q13</f>
        <v>0</v>
      </c>
      <c r="C13" s="141">
        <f>Q13</f>
        <v>0</v>
      </c>
      <c r="D13" s="83"/>
      <c r="E13" s="83"/>
      <c r="F13" s="83"/>
      <c r="G13" s="83"/>
      <c r="H13" s="83"/>
      <c r="I13" s="83"/>
      <c r="J13" s="83"/>
      <c r="K13" s="83"/>
      <c r="L13" s="83"/>
      <c r="M13" s="83"/>
      <c r="N13" s="83"/>
      <c r="O13" s="83"/>
      <c r="P13" s="83"/>
      <c r="Q13" s="82">
        <f>AH13</f>
        <v>0</v>
      </c>
      <c r="S13" s="141">
        <v>0</v>
      </c>
      <c r="T13" s="141">
        <v>0</v>
      </c>
      <c r="U13" s="83"/>
      <c r="V13" s="83"/>
      <c r="W13" s="83"/>
      <c r="X13" s="83"/>
      <c r="Y13" s="83"/>
      <c r="Z13" s="83"/>
      <c r="AA13" s="83"/>
      <c r="AB13" s="83"/>
      <c r="AC13" s="83"/>
      <c r="AD13" s="83"/>
      <c r="AE13" s="83"/>
      <c r="AF13" s="83"/>
      <c r="AG13" s="83"/>
      <c r="AH13" s="82">
        <v>0</v>
      </c>
      <c r="AJ13" s="34">
        <f t="shared" si="2"/>
        <v>0</v>
      </c>
      <c r="AK13" s="34">
        <f t="shared" si="1"/>
        <v>0</v>
      </c>
      <c r="AL13" s="34">
        <f t="shared" si="1"/>
        <v>0</v>
      </c>
      <c r="AM13" s="34">
        <f t="shared" si="1"/>
        <v>0</v>
      </c>
      <c r="AN13" s="34">
        <f t="shared" si="1"/>
        <v>0</v>
      </c>
      <c r="AO13" s="34">
        <f t="shared" si="1"/>
        <v>0</v>
      </c>
      <c r="AP13" s="34">
        <f t="shared" si="1"/>
        <v>0</v>
      </c>
      <c r="AQ13" s="34">
        <f t="shared" si="1"/>
        <v>0</v>
      </c>
      <c r="AR13" s="34">
        <f t="shared" si="1"/>
        <v>0</v>
      </c>
      <c r="AS13" s="34">
        <f t="shared" si="1"/>
        <v>0</v>
      </c>
      <c r="AT13" s="34">
        <f t="shared" si="1"/>
        <v>0</v>
      </c>
      <c r="AU13" s="34">
        <f t="shared" si="1"/>
        <v>0</v>
      </c>
      <c r="AV13" s="34">
        <f t="shared" si="1"/>
        <v>0</v>
      </c>
      <c r="AW13" s="34">
        <f t="shared" si="1"/>
        <v>0</v>
      </c>
      <c r="AX13" s="34">
        <f t="shared" si="1"/>
        <v>0</v>
      </c>
      <c r="AY13" s="34">
        <f t="shared" si="1"/>
        <v>0</v>
      </c>
    </row>
    <row r="14" spans="1:53" x14ac:dyDescent="0.25">
      <c r="A14" s="1" t="s">
        <v>90</v>
      </c>
      <c r="B14" s="77"/>
      <c r="C14" s="77"/>
      <c r="D14" s="77"/>
      <c r="E14" s="77"/>
      <c r="F14" s="77"/>
      <c r="G14" s="77"/>
      <c r="H14" s="77"/>
      <c r="I14" s="77"/>
      <c r="J14" s="77"/>
      <c r="K14" s="77"/>
      <c r="L14" s="77"/>
      <c r="M14" s="77"/>
      <c r="N14" s="77"/>
      <c r="O14" s="77"/>
      <c r="P14" s="77"/>
      <c r="Q14" s="77"/>
      <c r="S14" s="77"/>
      <c r="T14" s="77"/>
      <c r="U14" s="77"/>
      <c r="V14" s="77"/>
      <c r="W14" s="77"/>
      <c r="X14" s="77"/>
      <c r="Y14" s="77"/>
      <c r="Z14" s="77"/>
      <c r="AA14" s="77"/>
      <c r="AB14" s="77"/>
      <c r="AC14" s="77"/>
      <c r="AD14" s="77"/>
      <c r="AE14" s="77"/>
      <c r="AF14" s="77"/>
      <c r="AG14" s="77"/>
      <c r="AH14" s="77"/>
      <c r="AJ14" s="77">
        <f t="shared" si="2"/>
        <v>0</v>
      </c>
      <c r="AK14" s="77">
        <f t="shared" si="1"/>
        <v>0</v>
      </c>
      <c r="AL14" s="77">
        <f t="shared" si="1"/>
        <v>0</v>
      </c>
      <c r="AM14" s="77">
        <f t="shared" si="1"/>
        <v>0</v>
      </c>
      <c r="AN14" s="77">
        <f t="shared" si="1"/>
        <v>0</v>
      </c>
      <c r="AO14" s="77">
        <f t="shared" si="1"/>
        <v>0</v>
      </c>
      <c r="AP14" s="77">
        <f t="shared" si="1"/>
        <v>0</v>
      </c>
      <c r="AQ14" s="77">
        <f t="shared" si="1"/>
        <v>0</v>
      </c>
      <c r="AR14" s="77">
        <f t="shared" si="1"/>
        <v>0</v>
      </c>
      <c r="AS14" s="77">
        <f t="shared" si="1"/>
        <v>0</v>
      </c>
      <c r="AT14" s="77">
        <f t="shared" si="1"/>
        <v>0</v>
      </c>
      <c r="AU14" s="77">
        <f t="shared" si="1"/>
        <v>0</v>
      </c>
      <c r="AV14" s="77">
        <f t="shared" si="1"/>
        <v>0</v>
      </c>
      <c r="AW14" s="77">
        <f t="shared" si="1"/>
        <v>0</v>
      </c>
      <c r="AX14" s="77">
        <f t="shared" si="1"/>
        <v>0</v>
      </c>
      <c r="AY14" s="77">
        <f t="shared" si="1"/>
        <v>0</v>
      </c>
    </row>
    <row r="15" spans="1:53" x14ac:dyDescent="0.25">
      <c r="A15" s="1" t="s">
        <v>50</v>
      </c>
      <c r="B15" s="141">
        <f>$Q15</f>
        <v>0</v>
      </c>
      <c r="C15" s="141">
        <f>$Q15</f>
        <v>0</v>
      </c>
      <c r="D15" s="83"/>
      <c r="E15" s="83"/>
      <c r="F15" s="83"/>
      <c r="G15" s="83"/>
      <c r="H15" s="83"/>
      <c r="I15" s="83"/>
      <c r="J15" s="83"/>
      <c r="K15" s="83"/>
      <c r="L15" s="83"/>
      <c r="M15" s="83"/>
      <c r="N15" s="83"/>
      <c r="O15" s="83"/>
      <c r="P15" s="83"/>
      <c r="Q15" s="82">
        <f>AH15</f>
        <v>0</v>
      </c>
      <c r="S15" s="141">
        <v>0</v>
      </c>
      <c r="T15" s="141">
        <v>0</v>
      </c>
      <c r="U15" s="83"/>
      <c r="V15" s="83"/>
      <c r="W15" s="83"/>
      <c r="X15" s="83"/>
      <c r="Y15" s="83"/>
      <c r="Z15" s="83"/>
      <c r="AA15" s="83"/>
      <c r="AB15" s="83"/>
      <c r="AC15" s="83"/>
      <c r="AD15" s="83"/>
      <c r="AE15" s="83"/>
      <c r="AF15" s="83"/>
      <c r="AG15" s="83"/>
      <c r="AH15" s="82">
        <v>0</v>
      </c>
      <c r="AJ15" s="34">
        <f t="shared" si="2"/>
        <v>0</v>
      </c>
      <c r="AK15" s="34">
        <f t="shared" si="1"/>
        <v>0</v>
      </c>
      <c r="AL15" s="34">
        <f t="shared" si="1"/>
        <v>0</v>
      </c>
      <c r="AM15" s="34">
        <f t="shared" si="1"/>
        <v>0</v>
      </c>
      <c r="AN15" s="34">
        <f t="shared" si="1"/>
        <v>0</v>
      </c>
      <c r="AO15" s="34">
        <f t="shared" si="1"/>
        <v>0</v>
      </c>
      <c r="AP15" s="34">
        <f t="shared" si="1"/>
        <v>0</v>
      </c>
      <c r="AQ15" s="34">
        <f t="shared" si="1"/>
        <v>0</v>
      </c>
      <c r="AR15" s="34">
        <f t="shared" si="1"/>
        <v>0</v>
      </c>
      <c r="AS15" s="34">
        <f t="shared" si="1"/>
        <v>0</v>
      </c>
      <c r="AT15" s="34">
        <f t="shared" si="1"/>
        <v>0</v>
      </c>
      <c r="AU15" s="34">
        <f t="shared" si="1"/>
        <v>0</v>
      </c>
      <c r="AV15" s="34">
        <f t="shared" si="1"/>
        <v>0</v>
      </c>
      <c r="AW15" s="34">
        <f t="shared" si="1"/>
        <v>0</v>
      </c>
      <c r="AX15" s="34">
        <f t="shared" si="1"/>
        <v>0</v>
      </c>
      <c r="AY15" s="34">
        <f t="shared" si="1"/>
        <v>0</v>
      </c>
    </row>
    <row r="16" spans="1:53" x14ac:dyDescent="0.25">
      <c r="A16" s="1" t="s">
        <v>89</v>
      </c>
      <c r="B16" s="83"/>
      <c r="C16" s="83"/>
      <c r="D16" s="83"/>
      <c r="E16" s="83"/>
      <c r="F16" s="83"/>
      <c r="G16" s="83"/>
      <c r="H16" s="83"/>
      <c r="I16" s="83"/>
      <c r="J16" s="83"/>
      <c r="K16" s="83"/>
      <c r="L16" s="83"/>
      <c r="M16" s="83"/>
      <c r="N16" s="83"/>
      <c r="O16" s="83"/>
      <c r="P16" s="83"/>
      <c r="Q16" s="83"/>
      <c r="S16" s="83"/>
      <c r="T16" s="83"/>
      <c r="U16" s="83"/>
      <c r="V16" s="83"/>
      <c r="W16" s="83"/>
      <c r="X16" s="83"/>
      <c r="Y16" s="83"/>
      <c r="Z16" s="83"/>
      <c r="AA16" s="83"/>
      <c r="AB16" s="83"/>
      <c r="AC16" s="83"/>
      <c r="AD16" s="83"/>
      <c r="AE16" s="83"/>
      <c r="AF16" s="83"/>
      <c r="AG16" s="83"/>
      <c r="AH16" s="83"/>
      <c r="AJ16" s="34">
        <f t="shared" si="2"/>
        <v>0</v>
      </c>
      <c r="AK16" s="34">
        <f t="shared" si="1"/>
        <v>0</v>
      </c>
      <c r="AL16" s="34">
        <f t="shared" si="1"/>
        <v>0</v>
      </c>
      <c r="AM16" s="34">
        <f t="shared" si="1"/>
        <v>0</v>
      </c>
      <c r="AN16" s="34">
        <f t="shared" si="1"/>
        <v>0</v>
      </c>
      <c r="AO16" s="34">
        <f t="shared" si="1"/>
        <v>0</v>
      </c>
      <c r="AP16" s="34">
        <f t="shared" si="1"/>
        <v>0</v>
      </c>
      <c r="AQ16" s="34">
        <f t="shared" si="1"/>
        <v>0</v>
      </c>
      <c r="AR16" s="34">
        <f t="shared" si="1"/>
        <v>0</v>
      </c>
      <c r="AS16" s="34">
        <f t="shared" si="1"/>
        <v>0</v>
      </c>
      <c r="AT16" s="34">
        <f t="shared" si="1"/>
        <v>0</v>
      </c>
      <c r="AU16" s="34">
        <f t="shared" si="1"/>
        <v>0</v>
      </c>
      <c r="AV16" s="34">
        <f t="shared" si="1"/>
        <v>0</v>
      </c>
      <c r="AW16" s="34">
        <f t="shared" si="1"/>
        <v>0</v>
      </c>
      <c r="AX16" s="34">
        <f t="shared" si="1"/>
        <v>0</v>
      </c>
      <c r="AY16" s="34">
        <f t="shared" si="1"/>
        <v>0</v>
      </c>
    </row>
    <row r="17" spans="1:51" x14ac:dyDescent="0.25">
      <c r="A17" s="1" t="s">
        <v>5</v>
      </c>
      <c r="B17" s="140">
        <f>$Q17</f>
        <v>0</v>
      </c>
      <c r="C17" s="140">
        <f>$Q17</f>
        <v>0</v>
      </c>
      <c r="D17" s="140"/>
      <c r="E17" s="140"/>
      <c r="F17" s="140"/>
      <c r="G17" s="140"/>
      <c r="H17" s="140"/>
      <c r="I17" s="140"/>
      <c r="J17" s="140"/>
      <c r="K17" s="140"/>
      <c r="L17" s="140"/>
      <c r="M17" s="140"/>
      <c r="N17" s="140"/>
      <c r="O17" s="140"/>
      <c r="P17" s="140"/>
      <c r="Q17" s="140">
        <f>AH17</f>
        <v>0</v>
      </c>
      <c r="S17" s="140">
        <v>0</v>
      </c>
      <c r="T17" s="140">
        <v>0</v>
      </c>
      <c r="U17" s="140"/>
      <c r="V17" s="140"/>
      <c r="W17" s="140"/>
      <c r="X17" s="140"/>
      <c r="Y17" s="140"/>
      <c r="Z17" s="140"/>
      <c r="AA17" s="140"/>
      <c r="AB17" s="140"/>
      <c r="AC17" s="140"/>
      <c r="AD17" s="140"/>
      <c r="AE17" s="140"/>
      <c r="AF17" s="140"/>
      <c r="AG17" s="140"/>
      <c r="AH17" s="140">
        <v>0</v>
      </c>
      <c r="AJ17" s="34">
        <f t="shared" si="2"/>
        <v>0</v>
      </c>
      <c r="AK17" s="34">
        <f t="shared" si="1"/>
        <v>0</v>
      </c>
      <c r="AL17" s="34">
        <f t="shared" si="1"/>
        <v>0</v>
      </c>
      <c r="AM17" s="34">
        <f t="shared" si="1"/>
        <v>0</v>
      </c>
      <c r="AN17" s="34">
        <f t="shared" si="1"/>
        <v>0</v>
      </c>
      <c r="AO17" s="34">
        <f t="shared" si="1"/>
        <v>0</v>
      </c>
      <c r="AP17" s="34">
        <f t="shared" si="1"/>
        <v>0</v>
      </c>
      <c r="AQ17" s="34">
        <f t="shared" si="1"/>
        <v>0</v>
      </c>
      <c r="AR17" s="34">
        <f t="shared" si="1"/>
        <v>0</v>
      </c>
      <c r="AS17" s="34">
        <f t="shared" si="1"/>
        <v>0</v>
      </c>
      <c r="AT17" s="34">
        <f t="shared" si="1"/>
        <v>0</v>
      </c>
      <c r="AU17" s="34">
        <f t="shared" si="1"/>
        <v>0</v>
      </c>
      <c r="AV17" s="34">
        <f t="shared" si="1"/>
        <v>0</v>
      </c>
      <c r="AW17" s="34">
        <f t="shared" si="1"/>
        <v>0</v>
      </c>
      <c r="AX17" s="34">
        <f t="shared" si="1"/>
        <v>0</v>
      </c>
      <c r="AY17" s="34">
        <f t="shared" si="1"/>
        <v>0</v>
      </c>
    </row>
    <row r="18" spans="1:51" x14ac:dyDescent="0.25">
      <c r="A18" s="1" t="s">
        <v>84</v>
      </c>
      <c r="B18" s="141">
        <f>$Q18</f>
        <v>0</v>
      </c>
      <c r="C18" s="141">
        <f>$Q18</f>
        <v>0</v>
      </c>
      <c r="D18" s="82"/>
      <c r="E18" s="82"/>
      <c r="F18" s="82"/>
      <c r="G18" s="82"/>
      <c r="H18" s="82"/>
      <c r="I18" s="82"/>
      <c r="J18" s="82"/>
      <c r="K18" s="82"/>
      <c r="L18" s="82"/>
      <c r="M18" s="82"/>
      <c r="N18" s="82"/>
      <c r="O18" s="82"/>
      <c r="P18" s="82"/>
      <c r="Q18" s="82">
        <f>AH18</f>
        <v>0</v>
      </c>
      <c r="S18" s="141">
        <v>0</v>
      </c>
      <c r="T18" s="141">
        <v>0</v>
      </c>
      <c r="U18" s="82"/>
      <c r="V18" s="82"/>
      <c r="W18" s="82"/>
      <c r="X18" s="82"/>
      <c r="Y18" s="82"/>
      <c r="Z18" s="82"/>
      <c r="AA18" s="82"/>
      <c r="AB18" s="82"/>
      <c r="AC18" s="82"/>
      <c r="AD18" s="82"/>
      <c r="AE18" s="82"/>
      <c r="AF18" s="82"/>
      <c r="AG18" s="82"/>
      <c r="AH18" s="82">
        <v>0</v>
      </c>
      <c r="AJ18" s="34">
        <f t="shared" si="2"/>
        <v>0</v>
      </c>
      <c r="AK18" s="34">
        <f t="shared" si="1"/>
        <v>0</v>
      </c>
      <c r="AL18" s="34">
        <f t="shared" si="1"/>
        <v>0</v>
      </c>
      <c r="AM18" s="34">
        <f t="shared" si="1"/>
        <v>0</v>
      </c>
      <c r="AN18" s="34">
        <f t="shared" si="1"/>
        <v>0</v>
      </c>
      <c r="AO18" s="34">
        <f t="shared" si="1"/>
        <v>0</v>
      </c>
      <c r="AP18" s="34">
        <f t="shared" si="1"/>
        <v>0</v>
      </c>
      <c r="AQ18" s="34">
        <f t="shared" si="1"/>
        <v>0</v>
      </c>
      <c r="AR18" s="34">
        <f t="shared" si="1"/>
        <v>0</v>
      </c>
      <c r="AS18" s="34">
        <f t="shared" si="1"/>
        <v>0</v>
      </c>
      <c r="AT18" s="34">
        <f t="shared" si="1"/>
        <v>0</v>
      </c>
      <c r="AU18" s="34">
        <f t="shared" si="1"/>
        <v>0</v>
      </c>
      <c r="AV18" s="34">
        <f t="shared" si="1"/>
        <v>0</v>
      </c>
      <c r="AW18" s="34">
        <f t="shared" si="1"/>
        <v>0</v>
      </c>
      <c r="AX18" s="34">
        <f t="shared" si="1"/>
        <v>0</v>
      </c>
      <c r="AY18" s="34">
        <f t="shared" si="1"/>
        <v>0</v>
      </c>
    </row>
    <row r="19" spans="1:51" x14ac:dyDescent="0.25">
      <c r="A19" s="1" t="s">
        <v>4</v>
      </c>
      <c r="B19" s="82">
        <v>0</v>
      </c>
      <c r="C19" s="82">
        <v>0</v>
      </c>
      <c r="D19" s="83"/>
      <c r="E19" s="83"/>
      <c r="F19" s="83"/>
      <c r="G19" s="83"/>
      <c r="H19" s="83"/>
      <c r="I19" s="83"/>
      <c r="J19" s="83"/>
      <c r="K19" s="83"/>
      <c r="L19" s="83"/>
      <c r="M19" s="83"/>
      <c r="N19" s="83"/>
      <c r="O19" s="83"/>
      <c r="P19" s="83"/>
      <c r="Q19" s="82">
        <f>AH19</f>
        <v>0</v>
      </c>
      <c r="S19" s="82">
        <v>0</v>
      </c>
      <c r="T19" s="82">
        <v>0</v>
      </c>
      <c r="U19" s="83"/>
      <c r="V19" s="83"/>
      <c r="W19" s="83"/>
      <c r="X19" s="83"/>
      <c r="Y19" s="83"/>
      <c r="Z19" s="83"/>
      <c r="AA19" s="83"/>
      <c r="AB19" s="83"/>
      <c r="AC19" s="83"/>
      <c r="AD19" s="83"/>
      <c r="AE19" s="83"/>
      <c r="AF19" s="83"/>
      <c r="AG19" s="83"/>
      <c r="AH19" s="82">
        <v>0</v>
      </c>
      <c r="AJ19" s="34">
        <f t="shared" si="2"/>
        <v>0</v>
      </c>
      <c r="AK19" s="34">
        <f t="shared" si="1"/>
        <v>0</v>
      </c>
      <c r="AL19" s="34">
        <f t="shared" si="1"/>
        <v>0</v>
      </c>
      <c r="AM19" s="34">
        <f t="shared" si="1"/>
        <v>0</v>
      </c>
      <c r="AN19" s="34">
        <f t="shared" si="1"/>
        <v>0</v>
      </c>
      <c r="AO19" s="34">
        <f t="shared" si="1"/>
        <v>0</v>
      </c>
      <c r="AP19" s="34">
        <f t="shared" si="1"/>
        <v>0</v>
      </c>
      <c r="AQ19" s="34">
        <f t="shared" si="1"/>
        <v>0</v>
      </c>
      <c r="AR19" s="34">
        <f t="shared" si="1"/>
        <v>0</v>
      </c>
      <c r="AS19" s="34">
        <f t="shared" si="1"/>
        <v>0</v>
      </c>
      <c r="AT19" s="34">
        <f t="shared" si="1"/>
        <v>0</v>
      </c>
      <c r="AU19" s="34">
        <f t="shared" si="1"/>
        <v>0</v>
      </c>
      <c r="AV19" s="34">
        <f t="shared" si="1"/>
        <v>0</v>
      </c>
      <c r="AW19" s="34">
        <f t="shared" si="1"/>
        <v>0</v>
      </c>
      <c r="AX19" s="34">
        <f t="shared" si="1"/>
        <v>0</v>
      </c>
      <c r="AY19" s="34">
        <f t="shared" si="1"/>
        <v>0</v>
      </c>
    </row>
    <row r="20" spans="1:51" x14ac:dyDescent="0.25">
      <c r="A20" s="1" t="s">
        <v>51</v>
      </c>
      <c r="B20" s="141">
        <f>$Q20</f>
        <v>0</v>
      </c>
      <c r="C20" s="141">
        <f>$Q20</f>
        <v>0</v>
      </c>
      <c r="D20" s="83"/>
      <c r="E20" s="83"/>
      <c r="F20" s="83"/>
      <c r="G20" s="83"/>
      <c r="H20" s="83"/>
      <c r="I20" s="83"/>
      <c r="J20" s="83"/>
      <c r="K20" s="83"/>
      <c r="L20" s="83"/>
      <c r="M20" s="83"/>
      <c r="N20" s="83"/>
      <c r="O20" s="83"/>
      <c r="P20" s="83"/>
      <c r="Q20" s="82">
        <f>AH20</f>
        <v>0</v>
      </c>
      <c r="S20" s="141">
        <v>0</v>
      </c>
      <c r="T20" s="141">
        <v>0</v>
      </c>
      <c r="U20" s="83"/>
      <c r="V20" s="83"/>
      <c r="W20" s="83"/>
      <c r="X20" s="83"/>
      <c r="Y20" s="83"/>
      <c r="Z20" s="83"/>
      <c r="AA20" s="83"/>
      <c r="AB20" s="83"/>
      <c r="AC20" s="83"/>
      <c r="AD20" s="83"/>
      <c r="AE20" s="83"/>
      <c r="AF20" s="83"/>
      <c r="AG20" s="83"/>
      <c r="AH20" s="82">
        <v>0</v>
      </c>
      <c r="AJ20" s="34">
        <f t="shared" si="2"/>
        <v>0</v>
      </c>
      <c r="AK20" s="34">
        <f t="shared" si="1"/>
        <v>0</v>
      </c>
      <c r="AL20" s="34">
        <f t="shared" si="1"/>
        <v>0</v>
      </c>
      <c r="AM20" s="34">
        <f t="shared" si="1"/>
        <v>0</v>
      </c>
      <c r="AN20" s="34">
        <f t="shared" si="1"/>
        <v>0</v>
      </c>
      <c r="AO20" s="34">
        <f t="shared" si="1"/>
        <v>0</v>
      </c>
      <c r="AP20" s="34">
        <f t="shared" si="1"/>
        <v>0</v>
      </c>
      <c r="AQ20" s="34">
        <f t="shared" si="1"/>
        <v>0</v>
      </c>
      <c r="AR20" s="34">
        <f t="shared" si="1"/>
        <v>0</v>
      </c>
      <c r="AS20" s="34">
        <f t="shared" si="1"/>
        <v>0</v>
      </c>
      <c r="AT20" s="34">
        <f t="shared" si="1"/>
        <v>0</v>
      </c>
      <c r="AU20" s="34">
        <f t="shared" si="1"/>
        <v>0</v>
      </c>
      <c r="AV20" s="34">
        <f t="shared" si="1"/>
        <v>0</v>
      </c>
      <c r="AW20" s="34">
        <f t="shared" si="1"/>
        <v>0</v>
      </c>
      <c r="AX20" s="34">
        <f t="shared" si="1"/>
        <v>0</v>
      </c>
      <c r="AY20" s="34">
        <f t="shared" si="1"/>
        <v>0</v>
      </c>
    </row>
    <row r="21" spans="1:51" x14ac:dyDescent="0.25">
      <c r="A21" s="1" t="s">
        <v>87</v>
      </c>
      <c r="B21" s="77"/>
      <c r="C21" s="77"/>
      <c r="D21" s="77"/>
      <c r="E21" s="77"/>
      <c r="F21" s="77"/>
      <c r="G21" s="77"/>
      <c r="H21" s="77"/>
      <c r="I21" s="77"/>
      <c r="J21" s="77"/>
      <c r="K21" s="77"/>
      <c r="L21" s="77"/>
      <c r="M21" s="77"/>
      <c r="N21" s="77"/>
      <c r="O21" s="77"/>
      <c r="P21" s="77"/>
      <c r="Q21" s="77"/>
      <c r="S21" s="77"/>
      <c r="T21" s="77"/>
      <c r="U21" s="77"/>
      <c r="V21" s="77"/>
      <c r="W21" s="77"/>
      <c r="X21" s="77"/>
      <c r="Y21" s="77"/>
      <c r="Z21" s="77"/>
      <c r="AA21" s="77"/>
      <c r="AB21" s="77"/>
      <c r="AC21" s="77"/>
      <c r="AD21" s="77"/>
      <c r="AE21" s="77"/>
      <c r="AF21" s="77"/>
      <c r="AG21" s="77"/>
      <c r="AH21" s="77"/>
      <c r="AJ21" s="77">
        <f t="shared" si="2"/>
        <v>0</v>
      </c>
      <c r="AK21" s="77">
        <f t="shared" si="1"/>
        <v>0</v>
      </c>
      <c r="AL21" s="77">
        <f t="shared" si="1"/>
        <v>0</v>
      </c>
      <c r="AM21" s="77">
        <f t="shared" si="1"/>
        <v>0</v>
      </c>
      <c r="AN21" s="77">
        <f t="shared" si="1"/>
        <v>0</v>
      </c>
      <c r="AO21" s="77">
        <f t="shared" si="1"/>
        <v>0</v>
      </c>
      <c r="AP21" s="77">
        <f t="shared" si="1"/>
        <v>0</v>
      </c>
      <c r="AQ21" s="77">
        <f t="shared" si="1"/>
        <v>0</v>
      </c>
      <c r="AR21" s="77">
        <f t="shared" si="1"/>
        <v>0</v>
      </c>
      <c r="AS21" s="77">
        <f t="shared" si="1"/>
        <v>0</v>
      </c>
      <c r="AT21" s="77">
        <f t="shared" si="1"/>
        <v>0</v>
      </c>
      <c r="AU21" s="77">
        <f t="shared" si="1"/>
        <v>0</v>
      </c>
      <c r="AV21" s="77">
        <f t="shared" si="1"/>
        <v>0</v>
      </c>
      <c r="AW21" s="77">
        <f t="shared" si="1"/>
        <v>0</v>
      </c>
      <c r="AX21" s="77">
        <f t="shared" si="1"/>
        <v>0</v>
      </c>
      <c r="AY21" s="77">
        <f t="shared" si="1"/>
        <v>0</v>
      </c>
    </row>
    <row r="22" spans="1:51" x14ac:dyDescent="0.25">
      <c r="A22" s="1" t="s">
        <v>85</v>
      </c>
      <c r="B22" s="83"/>
      <c r="C22" s="83"/>
      <c r="D22" s="83"/>
      <c r="E22" s="83"/>
      <c r="F22" s="83"/>
      <c r="G22" s="83"/>
      <c r="H22" s="83"/>
      <c r="I22" s="83"/>
      <c r="J22" s="83"/>
      <c r="K22" s="83"/>
      <c r="L22" s="83"/>
      <c r="M22" s="83"/>
      <c r="N22" s="83"/>
      <c r="O22" s="83"/>
      <c r="P22" s="83"/>
      <c r="Q22" s="83"/>
      <c r="S22" s="83"/>
      <c r="T22" s="83"/>
      <c r="U22" s="83"/>
      <c r="V22" s="83"/>
      <c r="W22" s="83"/>
      <c r="X22" s="83"/>
      <c r="Y22" s="83"/>
      <c r="Z22" s="83"/>
      <c r="AA22" s="83"/>
      <c r="AB22" s="83"/>
      <c r="AC22" s="83"/>
      <c r="AD22" s="83"/>
      <c r="AE22" s="83"/>
      <c r="AF22" s="83"/>
      <c r="AG22" s="83"/>
      <c r="AH22" s="83"/>
      <c r="AJ22" s="34">
        <f t="shared" si="2"/>
        <v>0</v>
      </c>
      <c r="AK22" s="34">
        <f t="shared" si="1"/>
        <v>0</v>
      </c>
      <c r="AL22" s="34">
        <f t="shared" si="1"/>
        <v>0</v>
      </c>
      <c r="AM22" s="34">
        <f t="shared" si="1"/>
        <v>0</v>
      </c>
      <c r="AN22" s="34">
        <f t="shared" si="1"/>
        <v>0</v>
      </c>
      <c r="AO22" s="34">
        <f t="shared" si="1"/>
        <v>0</v>
      </c>
      <c r="AP22" s="34">
        <f t="shared" si="1"/>
        <v>0</v>
      </c>
      <c r="AQ22" s="34">
        <f t="shared" si="1"/>
        <v>0</v>
      </c>
      <c r="AR22" s="34">
        <f t="shared" si="1"/>
        <v>0</v>
      </c>
      <c r="AS22" s="34">
        <f t="shared" si="1"/>
        <v>0</v>
      </c>
      <c r="AT22" s="34">
        <f t="shared" si="1"/>
        <v>0</v>
      </c>
      <c r="AU22" s="34">
        <f t="shared" si="1"/>
        <v>0</v>
      </c>
      <c r="AV22" s="34">
        <f t="shared" si="1"/>
        <v>0</v>
      </c>
      <c r="AW22" s="34">
        <f t="shared" si="1"/>
        <v>0</v>
      </c>
      <c r="AX22" s="34">
        <f t="shared" si="1"/>
        <v>0</v>
      </c>
      <c r="AY22" s="34">
        <f t="shared" si="1"/>
        <v>0</v>
      </c>
    </row>
    <row r="23" spans="1:51" x14ac:dyDescent="0.25">
      <c r="A23" s="1" t="s">
        <v>2</v>
      </c>
      <c r="B23" s="141">
        <f t="shared" ref="B23:C28" si="3">$Q23</f>
        <v>1</v>
      </c>
      <c r="C23" s="141">
        <f t="shared" si="3"/>
        <v>1</v>
      </c>
      <c r="D23" s="83"/>
      <c r="E23" s="83"/>
      <c r="F23" s="83"/>
      <c r="G23" s="83"/>
      <c r="H23" s="83"/>
      <c r="I23" s="83"/>
      <c r="J23" s="83"/>
      <c r="K23" s="83"/>
      <c r="L23" s="83"/>
      <c r="M23" s="83"/>
      <c r="N23" s="83"/>
      <c r="O23" s="83"/>
      <c r="P23" s="83"/>
      <c r="Q23" s="147">
        <f>AH23</f>
        <v>1</v>
      </c>
      <c r="S23" s="141">
        <v>1</v>
      </c>
      <c r="T23" s="141">
        <v>1</v>
      </c>
      <c r="U23" s="83"/>
      <c r="V23" s="83"/>
      <c r="W23" s="83"/>
      <c r="X23" s="83"/>
      <c r="Y23" s="83"/>
      <c r="Z23" s="83"/>
      <c r="AA23" s="83"/>
      <c r="AB23" s="83"/>
      <c r="AC23" s="83"/>
      <c r="AD23" s="83"/>
      <c r="AE23" s="83"/>
      <c r="AF23" s="83"/>
      <c r="AG23" s="83"/>
      <c r="AH23" s="147">
        <v>1</v>
      </c>
      <c r="AJ23" s="34">
        <f t="shared" si="2"/>
        <v>0</v>
      </c>
      <c r="AK23" s="34">
        <f t="shared" si="1"/>
        <v>0</v>
      </c>
      <c r="AL23" s="34">
        <f t="shared" si="1"/>
        <v>0</v>
      </c>
      <c r="AM23" s="34">
        <f t="shared" si="1"/>
        <v>0</v>
      </c>
      <c r="AN23" s="34">
        <f t="shared" si="1"/>
        <v>0</v>
      </c>
      <c r="AO23" s="34">
        <f t="shared" si="1"/>
        <v>0</v>
      </c>
      <c r="AP23" s="34">
        <f t="shared" si="1"/>
        <v>0</v>
      </c>
      <c r="AQ23" s="34">
        <f t="shared" si="1"/>
        <v>0</v>
      </c>
      <c r="AR23" s="34">
        <f t="shared" si="1"/>
        <v>0</v>
      </c>
      <c r="AS23" s="34">
        <f t="shared" si="1"/>
        <v>0</v>
      </c>
      <c r="AT23" s="34">
        <f t="shared" si="1"/>
        <v>0</v>
      </c>
      <c r="AU23" s="34">
        <f t="shared" si="1"/>
        <v>0</v>
      </c>
      <c r="AV23" s="34">
        <f t="shared" si="1"/>
        <v>0</v>
      </c>
      <c r="AW23" s="34">
        <f t="shared" si="1"/>
        <v>0</v>
      </c>
      <c r="AX23" s="34">
        <f t="shared" si="1"/>
        <v>0</v>
      </c>
      <c r="AY23" s="34">
        <f t="shared" si="1"/>
        <v>0</v>
      </c>
    </row>
    <row r="24" spans="1:51" x14ac:dyDescent="0.25">
      <c r="A24" s="1" t="s">
        <v>86</v>
      </c>
      <c r="B24" s="141">
        <f t="shared" si="3"/>
        <v>0</v>
      </c>
      <c r="C24" s="141">
        <f t="shared" si="3"/>
        <v>0</v>
      </c>
      <c r="D24" s="83"/>
      <c r="E24" s="83"/>
      <c r="F24" s="83"/>
      <c r="G24" s="83"/>
      <c r="H24" s="83"/>
      <c r="I24" s="83"/>
      <c r="J24" s="83"/>
      <c r="K24" s="83"/>
      <c r="L24" s="83"/>
      <c r="M24" s="83"/>
      <c r="N24" s="83"/>
      <c r="O24" s="83"/>
      <c r="P24" s="83"/>
      <c r="Q24" s="82">
        <f>AH24</f>
        <v>0</v>
      </c>
      <c r="S24" s="141">
        <v>0</v>
      </c>
      <c r="T24" s="141">
        <v>0</v>
      </c>
      <c r="U24" s="83"/>
      <c r="V24" s="83"/>
      <c r="W24" s="83"/>
      <c r="X24" s="83"/>
      <c r="Y24" s="83"/>
      <c r="Z24" s="83"/>
      <c r="AA24" s="83"/>
      <c r="AB24" s="83"/>
      <c r="AC24" s="83"/>
      <c r="AD24" s="83"/>
      <c r="AE24" s="83"/>
      <c r="AF24" s="83"/>
      <c r="AG24" s="83"/>
      <c r="AH24" s="82">
        <v>0</v>
      </c>
      <c r="AJ24" s="34">
        <f t="shared" si="2"/>
        <v>0</v>
      </c>
      <c r="AK24" s="34">
        <f t="shared" si="1"/>
        <v>0</v>
      </c>
      <c r="AL24" s="34">
        <f t="shared" si="1"/>
        <v>0</v>
      </c>
      <c r="AM24" s="34">
        <f t="shared" si="1"/>
        <v>0</v>
      </c>
      <c r="AN24" s="34">
        <f t="shared" si="1"/>
        <v>0</v>
      </c>
      <c r="AO24" s="34">
        <f t="shared" si="1"/>
        <v>0</v>
      </c>
      <c r="AP24" s="34">
        <f t="shared" si="1"/>
        <v>0</v>
      </c>
      <c r="AQ24" s="34">
        <f t="shared" si="1"/>
        <v>0</v>
      </c>
      <c r="AR24" s="34">
        <f t="shared" si="1"/>
        <v>0</v>
      </c>
      <c r="AS24" s="34">
        <f t="shared" si="1"/>
        <v>0</v>
      </c>
      <c r="AT24" s="34">
        <f t="shared" si="1"/>
        <v>0</v>
      </c>
      <c r="AU24" s="34">
        <f t="shared" si="1"/>
        <v>0</v>
      </c>
      <c r="AV24" s="34">
        <f t="shared" si="1"/>
        <v>0</v>
      </c>
      <c r="AW24" s="34">
        <f t="shared" si="1"/>
        <v>0</v>
      </c>
      <c r="AX24" s="34">
        <f t="shared" si="1"/>
        <v>0</v>
      </c>
      <c r="AY24" s="34">
        <f t="shared" si="1"/>
        <v>0</v>
      </c>
    </row>
    <row r="25" spans="1:51" x14ac:dyDescent="0.25">
      <c r="A25" s="1" t="s">
        <v>29</v>
      </c>
      <c r="B25" s="141">
        <f t="shared" si="3"/>
        <v>0</v>
      </c>
      <c r="C25" s="141">
        <f t="shared" si="3"/>
        <v>0</v>
      </c>
      <c r="D25" s="81"/>
      <c r="E25" s="81"/>
      <c r="F25" s="81"/>
      <c r="G25" s="81"/>
      <c r="H25" s="81"/>
      <c r="I25" s="81"/>
      <c r="J25" s="81"/>
      <c r="K25" s="81"/>
      <c r="L25" s="81"/>
      <c r="M25" s="81"/>
      <c r="N25" s="81"/>
      <c r="O25" s="81"/>
      <c r="P25" s="81"/>
      <c r="Q25" s="82">
        <f t="shared" ref="Q25:Q28" si="4">AH25</f>
        <v>0</v>
      </c>
      <c r="S25" s="141">
        <v>0</v>
      </c>
      <c r="T25" s="141">
        <v>0</v>
      </c>
      <c r="U25" s="81"/>
      <c r="V25" s="81"/>
      <c r="W25" s="81"/>
      <c r="X25" s="81"/>
      <c r="Y25" s="81"/>
      <c r="Z25" s="81"/>
      <c r="AA25" s="81"/>
      <c r="AB25" s="81"/>
      <c r="AC25" s="81"/>
      <c r="AD25" s="81"/>
      <c r="AE25" s="81"/>
      <c r="AF25" s="81"/>
      <c r="AG25" s="81"/>
      <c r="AH25" s="82">
        <v>0</v>
      </c>
      <c r="AJ25" s="34">
        <f t="shared" si="2"/>
        <v>0</v>
      </c>
      <c r="AK25" s="34">
        <f t="shared" ref="AK25:AK28" si="5">C25-T25</f>
        <v>0</v>
      </c>
      <c r="AL25" s="34">
        <f t="shared" ref="AL25:AL28" si="6">D25-U25</f>
        <v>0</v>
      </c>
      <c r="AM25" s="34">
        <f t="shared" ref="AM25:AM28" si="7">E25-V25</f>
        <v>0</v>
      </c>
      <c r="AN25" s="34">
        <f t="shared" ref="AN25:AN28" si="8">F25-W25</f>
        <v>0</v>
      </c>
      <c r="AO25" s="34">
        <f t="shared" ref="AO25:AO28" si="9">G25-X25</f>
        <v>0</v>
      </c>
      <c r="AP25" s="34">
        <f t="shared" ref="AP25:AP28" si="10">H25-Y25</f>
        <v>0</v>
      </c>
      <c r="AQ25" s="34">
        <f t="shared" ref="AQ25:AQ28" si="11">I25-Z25</f>
        <v>0</v>
      </c>
      <c r="AR25" s="34">
        <f t="shared" ref="AR25:AR28" si="12">J25-AA25</f>
        <v>0</v>
      </c>
      <c r="AS25" s="34">
        <f t="shared" ref="AS25:AS28" si="13">K25-AB25</f>
        <v>0</v>
      </c>
      <c r="AT25" s="34">
        <f t="shared" ref="AT25:AT28" si="14">L25-AC25</f>
        <v>0</v>
      </c>
      <c r="AU25" s="34">
        <f t="shared" ref="AU25:AU28" si="15">M25-AD25</f>
        <v>0</v>
      </c>
      <c r="AV25" s="34">
        <f t="shared" ref="AV25:AV28" si="16">N25-AE25</f>
        <v>0</v>
      </c>
      <c r="AW25" s="34">
        <f t="shared" ref="AW25:AW28" si="17">O25-AF25</f>
        <v>0</v>
      </c>
      <c r="AX25" s="34">
        <f t="shared" ref="AX25:AX28" si="18">P25-AG25</f>
        <v>0</v>
      </c>
      <c r="AY25" s="34">
        <f t="shared" ref="AY25:AY28" si="19">Q25-AH25</f>
        <v>0</v>
      </c>
    </row>
    <row r="26" spans="1:51" x14ac:dyDescent="0.25">
      <c r="A26" s="1" t="s">
        <v>52</v>
      </c>
      <c r="B26" s="141">
        <f t="shared" si="3"/>
        <v>0</v>
      </c>
      <c r="C26" s="141">
        <f t="shared" si="3"/>
        <v>0</v>
      </c>
      <c r="D26" s="81"/>
      <c r="E26" s="81"/>
      <c r="F26" s="81"/>
      <c r="G26" s="81"/>
      <c r="H26" s="81"/>
      <c r="I26" s="81"/>
      <c r="J26" s="81"/>
      <c r="K26" s="81"/>
      <c r="L26" s="81"/>
      <c r="M26" s="81"/>
      <c r="N26" s="81"/>
      <c r="O26" s="81"/>
      <c r="P26" s="81"/>
      <c r="Q26" s="82">
        <f t="shared" si="4"/>
        <v>0</v>
      </c>
      <c r="S26" s="141">
        <v>0</v>
      </c>
      <c r="T26" s="141">
        <v>0</v>
      </c>
      <c r="U26" s="81"/>
      <c r="V26" s="81"/>
      <c r="W26" s="81"/>
      <c r="X26" s="81"/>
      <c r="Y26" s="81"/>
      <c r="Z26" s="81"/>
      <c r="AA26" s="81"/>
      <c r="AB26" s="81"/>
      <c r="AC26" s="81"/>
      <c r="AD26" s="81"/>
      <c r="AE26" s="81"/>
      <c r="AF26" s="81"/>
      <c r="AG26" s="81"/>
      <c r="AH26" s="82">
        <v>0</v>
      </c>
      <c r="AJ26" s="34">
        <f t="shared" si="2"/>
        <v>0</v>
      </c>
      <c r="AK26" s="34">
        <f t="shared" si="5"/>
        <v>0</v>
      </c>
      <c r="AL26" s="34">
        <f t="shared" si="6"/>
        <v>0</v>
      </c>
      <c r="AM26" s="34">
        <f t="shared" si="7"/>
        <v>0</v>
      </c>
      <c r="AN26" s="34">
        <f t="shared" si="8"/>
        <v>0</v>
      </c>
      <c r="AO26" s="34">
        <f t="shared" si="9"/>
        <v>0</v>
      </c>
      <c r="AP26" s="34">
        <f t="shared" si="10"/>
        <v>0</v>
      </c>
      <c r="AQ26" s="34">
        <f t="shared" si="11"/>
        <v>0</v>
      </c>
      <c r="AR26" s="34">
        <f t="shared" si="12"/>
        <v>0</v>
      </c>
      <c r="AS26" s="34">
        <f t="shared" si="13"/>
        <v>0</v>
      </c>
      <c r="AT26" s="34">
        <f t="shared" si="14"/>
        <v>0</v>
      </c>
      <c r="AU26" s="34">
        <f t="shared" si="15"/>
        <v>0</v>
      </c>
      <c r="AV26" s="34">
        <f t="shared" si="16"/>
        <v>0</v>
      </c>
      <c r="AW26" s="34">
        <f t="shared" si="17"/>
        <v>0</v>
      </c>
      <c r="AX26" s="34">
        <f t="shared" si="18"/>
        <v>0</v>
      </c>
      <c r="AY26" s="34">
        <f t="shared" si="19"/>
        <v>0</v>
      </c>
    </row>
    <row r="27" spans="1:51" x14ac:dyDescent="0.25">
      <c r="A27" s="1" t="s">
        <v>88</v>
      </c>
      <c r="B27" s="77"/>
      <c r="C27" s="77"/>
      <c r="D27" s="78"/>
      <c r="E27" s="78"/>
      <c r="F27" s="78"/>
      <c r="G27" s="78"/>
      <c r="H27" s="78"/>
      <c r="I27" s="78"/>
      <c r="J27" s="78"/>
      <c r="K27" s="78"/>
      <c r="L27" s="78"/>
      <c r="M27" s="78"/>
      <c r="N27" s="78"/>
      <c r="O27" s="78"/>
      <c r="P27" s="78"/>
      <c r="Q27" s="77">
        <v>0.55800000000000005</v>
      </c>
      <c r="S27" s="77"/>
      <c r="T27" s="77"/>
      <c r="U27" s="78"/>
      <c r="V27" s="78"/>
      <c r="W27" s="78"/>
      <c r="X27" s="78"/>
      <c r="Y27" s="78"/>
      <c r="Z27" s="78"/>
      <c r="AA27" s="78"/>
      <c r="AB27" s="78"/>
      <c r="AC27" s="78"/>
      <c r="AD27" s="78"/>
      <c r="AE27" s="78"/>
      <c r="AF27" s="78"/>
      <c r="AG27" s="78"/>
      <c r="AH27" s="77">
        <v>0.55800000000000005</v>
      </c>
      <c r="AJ27" s="77">
        <f t="shared" si="2"/>
        <v>0</v>
      </c>
      <c r="AK27" s="77">
        <f t="shared" si="5"/>
        <v>0</v>
      </c>
      <c r="AL27" s="77">
        <f t="shared" si="6"/>
        <v>0</v>
      </c>
      <c r="AM27" s="77">
        <f t="shared" si="7"/>
        <v>0</v>
      </c>
      <c r="AN27" s="77">
        <f t="shared" si="8"/>
        <v>0</v>
      </c>
      <c r="AO27" s="77">
        <f t="shared" si="9"/>
        <v>0</v>
      </c>
      <c r="AP27" s="77">
        <f t="shared" si="10"/>
        <v>0</v>
      </c>
      <c r="AQ27" s="77">
        <f t="shared" si="11"/>
        <v>0</v>
      </c>
      <c r="AR27" s="77">
        <f t="shared" si="12"/>
        <v>0</v>
      </c>
      <c r="AS27" s="77">
        <f t="shared" si="13"/>
        <v>0</v>
      </c>
      <c r="AT27" s="77">
        <f t="shared" si="14"/>
        <v>0</v>
      </c>
      <c r="AU27" s="77">
        <f t="shared" si="15"/>
        <v>0</v>
      </c>
      <c r="AV27" s="77">
        <f t="shared" si="16"/>
        <v>0</v>
      </c>
      <c r="AW27" s="77">
        <f t="shared" si="17"/>
        <v>0</v>
      </c>
      <c r="AX27" s="77">
        <f t="shared" si="18"/>
        <v>0</v>
      </c>
      <c r="AY27" s="77">
        <f t="shared" si="19"/>
        <v>0</v>
      </c>
    </row>
    <row r="28" spans="1:51" x14ac:dyDescent="0.25">
      <c r="A28" s="1" t="s">
        <v>1</v>
      </c>
      <c r="B28" s="141">
        <f t="shared" si="3"/>
        <v>0</v>
      </c>
      <c r="C28" s="141">
        <f>Q28</f>
        <v>0</v>
      </c>
      <c r="D28" s="81"/>
      <c r="E28" s="81"/>
      <c r="F28" s="81"/>
      <c r="G28" s="81"/>
      <c r="H28" s="81"/>
      <c r="I28" s="81"/>
      <c r="J28" s="81"/>
      <c r="K28" s="81"/>
      <c r="L28" s="81"/>
      <c r="M28" s="81"/>
      <c r="N28" s="81"/>
      <c r="O28" s="81"/>
      <c r="P28" s="81"/>
      <c r="Q28" s="82">
        <f t="shared" si="4"/>
        <v>0</v>
      </c>
      <c r="S28" s="141">
        <v>0</v>
      </c>
      <c r="T28" s="141">
        <v>0</v>
      </c>
      <c r="U28" s="81"/>
      <c r="V28" s="81"/>
      <c r="W28" s="81"/>
      <c r="X28" s="81"/>
      <c r="Y28" s="81"/>
      <c r="Z28" s="81"/>
      <c r="AA28" s="81"/>
      <c r="AB28" s="81"/>
      <c r="AC28" s="81"/>
      <c r="AD28" s="81"/>
      <c r="AE28" s="81"/>
      <c r="AF28" s="81"/>
      <c r="AG28" s="81"/>
      <c r="AH28" s="82">
        <v>0</v>
      </c>
      <c r="AJ28" s="34">
        <f t="shared" si="2"/>
        <v>0</v>
      </c>
      <c r="AK28" s="34">
        <f t="shared" si="5"/>
        <v>0</v>
      </c>
      <c r="AL28" s="34">
        <f t="shared" si="6"/>
        <v>0</v>
      </c>
      <c r="AM28" s="34">
        <f t="shared" si="7"/>
        <v>0</v>
      </c>
      <c r="AN28" s="34">
        <f t="shared" si="8"/>
        <v>0</v>
      </c>
      <c r="AO28" s="34">
        <f t="shared" si="9"/>
        <v>0</v>
      </c>
      <c r="AP28" s="34">
        <f t="shared" si="10"/>
        <v>0</v>
      </c>
      <c r="AQ28" s="34">
        <f t="shared" si="11"/>
        <v>0</v>
      </c>
      <c r="AR28" s="34">
        <f t="shared" si="12"/>
        <v>0</v>
      </c>
      <c r="AS28" s="34">
        <f t="shared" si="13"/>
        <v>0</v>
      </c>
      <c r="AT28" s="34">
        <f t="shared" si="14"/>
        <v>0</v>
      </c>
      <c r="AU28" s="34">
        <f t="shared" si="15"/>
        <v>0</v>
      </c>
      <c r="AV28" s="34">
        <f t="shared" si="16"/>
        <v>0</v>
      </c>
      <c r="AW28" s="34">
        <f t="shared" si="17"/>
        <v>0</v>
      </c>
      <c r="AX28" s="34">
        <f t="shared" si="18"/>
        <v>0</v>
      </c>
      <c r="AY28" s="34">
        <f t="shared" si="19"/>
        <v>0</v>
      </c>
    </row>
    <row r="29" spans="1:51" ht="15.75" thickBot="1" x14ac:dyDescent="0.3"/>
    <row r="30" spans="1:51" ht="15.75" thickBot="1" x14ac:dyDescent="0.3">
      <c r="B30" s="103"/>
      <c r="C30" s="1" t="s">
        <v>91</v>
      </c>
      <c r="AJ30" s="1" t="s">
        <v>132</v>
      </c>
    </row>
    <row r="32" spans="1:51" x14ac:dyDescent="0.25">
      <c r="B32" s="139"/>
      <c r="C32" s="1" t="s">
        <v>273</v>
      </c>
    </row>
    <row r="33" spans="1:17" ht="15.75" thickBot="1" x14ac:dyDescent="0.3"/>
    <row r="34" spans="1:17" ht="15.75" thickBot="1" x14ac:dyDescent="0.3">
      <c r="A34" s="174" t="s">
        <v>131</v>
      </c>
      <c r="B34" s="175"/>
      <c r="C34" s="175"/>
      <c r="D34" s="175"/>
      <c r="E34" s="175"/>
      <c r="F34" s="175"/>
      <c r="G34" s="175"/>
      <c r="H34" s="175"/>
      <c r="I34" s="175"/>
      <c r="J34" s="175"/>
      <c r="K34" s="175"/>
      <c r="L34" s="175"/>
      <c r="M34" s="175"/>
      <c r="N34" s="175"/>
      <c r="O34" s="175"/>
      <c r="P34" s="175"/>
      <c r="Q34" s="176"/>
    </row>
    <row r="36" spans="1:17" x14ac:dyDescent="0.25">
      <c r="A36" s="65" t="s">
        <v>135</v>
      </c>
    </row>
    <row r="37" spans="1:17" x14ac:dyDescent="0.25">
      <c r="A37" s="84" t="s">
        <v>133</v>
      </c>
    </row>
    <row r="38" spans="1:17" x14ac:dyDescent="0.25">
      <c r="A38" s="84" t="s">
        <v>134</v>
      </c>
    </row>
    <row r="39" spans="1:17" x14ac:dyDescent="0.25">
      <c r="A39" s="84" t="s">
        <v>137</v>
      </c>
    </row>
    <row r="40" spans="1:17" x14ac:dyDescent="0.25">
      <c r="A40" s="84" t="s">
        <v>138</v>
      </c>
    </row>
    <row r="41" spans="1:17" x14ac:dyDescent="0.25">
      <c r="A41" s="84" t="s">
        <v>139</v>
      </c>
    </row>
    <row r="42" spans="1:17" x14ac:dyDescent="0.25">
      <c r="A42" s="84" t="s">
        <v>140</v>
      </c>
    </row>
    <row r="43" spans="1:17" x14ac:dyDescent="0.25">
      <c r="A43" s="84" t="s">
        <v>227</v>
      </c>
    </row>
    <row r="45" spans="1:17" x14ac:dyDescent="0.25">
      <c r="A45" s="65" t="s">
        <v>136</v>
      </c>
    </row>
    <row r="46" spans="1:17" x14ac:dyDescent="0.25">
      <c r="A46" s="85" t="s">
        <v>141</v>
      </c>
    </row>
    <row r="47" spans="1:17" x14ac:dyDescent="0.25">
      <c r="A47" s="85" t="s">
        <v>142</v>
      </c>
    </row>
    <row r="48" spans="1:17" x14ac:dyDescent="0.25">
      <c r="A48" s="85" t="s">
        <v>143</v>
      </c>
    </row>
    <row r="49" spans="1:1" x14ac:dyDescent="0.25">
      <c r="A49" s="85" t="s">
        <v>228</v>
      </c>
    </row>
    <row r="50" spans="1:1" x14ac:dyDescent="0.25">
      <c r="A50" s="85" t="s">
        <v>144</v>
      </c>
    </row>
    <row r="51" spans="1:1" x14ac:dyDescent="0.25">
      <c r="A51" s="65"/>
    </row>
    <row r="52" spans="1:1" x14ac:dyDescent="0.25">
      <c r="A52" s="65"/>
    </row>
    <row r="54" spans="1:1" x14ac:dyDescent="0.25">
      <c r="A54" s="31"/>
    </row>
    <row r="55" spans="1:1" x14ac:dyDescent="0.25">
      <c r="A55" s="31"/>
    </row>
  </sheetData>
  <mergeCells count="10">
    <mergeCell ref="A34:Q34"/>
    <mergeCell ref="A1:AY1"/>
    <mergeCell ref="A2:AY2"/>
    <mergeCell ref="A3:AY3"/>
    <mergeCell ref="B6:Q6"/>
    <mergeCell ref="S6:AH6"/>
    <mergeCell ref="S5:AH5"/>
    <mergeCell ref="B5:Q5"/>
    <mergeCell ref="AJ6:AY6"/>
    <mergeCell ref="AJ5:AY5"/>
  </mergeCells>
  <conditionalFormatting sqref="AJ9:AY13">
    <cfRule type="cellIs" dxfId="26" priority="21" operator="lessThan">
      <formula>-0.05</formula>
    </cfRule>
    <cfRule type="cellIs" dxfId="25" priority="22" operator="greaterThan">
      <formula>0.05</formula>
    </cfRule>
  </conditionalFormatting>
  <conditionalFormatting sqref="AJ15:AY20">
    <cfRule type="cellIs" dxfId="24" priority="19" operator="lessThan">
      <formula>-0.05</formula>
    </cfRule>
    <cfRule type="cellIs" dxfId="23" priority="20" operator="greaterThan">
      <formula>0.05</formula>
    </cfRule>
  </conditionalFormatting>
  <conditionalFormatting sqref="AJ22:AY26 AJ28:AY28">
    <cfRule type="cellIs" dxfId="22" priority="17" operator="lessThan">
      <formula>-0.05</formula>
    </cfRule>
    <cfRule type="cellIs" dxfId="21" priority="18" operator="greaterThan">
      <formula>0.05</formula>
    </cfRule>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theme="6"/>
  </sheetPr>
  <dimension ref="A1:AG435"/>
  <sheetViews>
    <sheetView topLeftCell="B1" zoomScale="85" zoomScaleNormal="85" workbookViewId="0">
      <selection activeCell="B1" sqref="B1:N1"/>
    </sheetView>
  </sheetViews>
  <sheetFormatPr defaultRowHeight="15" x14ac:dyDescent="0.25"/>
  <cols>
    <col min="1" max="1" width="23.85546875" hidden="1" customWidth="1"/>
    <col min="2" max="2" width="23.42578125" customWidth="1"/>
    <col min="3" max="11" width="12.7109375" customWidth="1"/>
    <col min="12" max="12" width="11.7109375" customWidth="1"/>
    <col min="13" max="13" width="19.85546875" bestFit="1" customWidth="1"/>
    <col min="14" max="22" width="12.7109375" customWidth="1"/>
    <col min="24" max="24" width="19.85546875" bestFit="1" customWidth="1"/>
    <col min="25" max="33" width="12.7109375" customWidth="1"/>
  </cols>
  <sheetData>
    <row r="1" spans="2:18" ht="18.75" x14ac:dyDescent="0.3">
      <c r="B1" s="162" t="s">
        <v>17</v>
      </c>
      <c r="C1" s="162"/>
      <c r="D1" s="162"/>
      <c r="E1" s="162"/>
      <c r="F1" s="162"/>
      <c r="G1" s="162"/>
      <c r="H1" s="162"/>
      <c r="I1" s="162"/>
      <c r="J1" s="162"/>
      <c r="K1" s="162"/>
      <c r="L1" s="162"/>
      <c r="M1" s="162"/>
      <c r="N1" s="162"/>
      <c r="P1" s="31"/>
    </row>
    <row r="2" spans="2:18" ht="15.75" x14ac:dyDescent="0.25">
      <c r="B2" s="163" t="str">
        <f>'Company Summary'!A2</f>
        <v>Amato PT</v>
      </c>
      <c r="C2" s="163"/>
      <c r="D2" s="163"/>
      <c r="E2" s="163"/>
      <c r="F2" s="163"/>
      <c r="G2" s="163"/>
      <c r="H2" s="163"/>
      <c r="I2" s="163"/>
      <c r="J2" s="163"/>
      <c r="K2" s="163"/>
      <c r="L2" s="163"/>
      <c r="M2" s="163"/>
      <c r="N2" s="163"/>
      <c r="P2" s="31"/>
    </row>
    <row r="3" spans="2:18" x14ac:dyDescent="0.25">
      <c r="B3" s="164" t="s">
        <v>93</v>
      </c>
      <c r="C3" s="164"/>
      <c r="D3" s="164"/>
      <c r="E3" s="164"/>
      <c r="F3" s="164"/>
      <c r="G3" s="164"/>
      <c r="H3" s="164"/>
      <c r="I3" s="164"/>
      <c r="J3" s="164"/>
      <c r="K3" s="164"/>
      <c r="L3" s="164"/>
      <c r="M3" s="164"/>
      <c r="N3" s="164"/>
      <c r="P3" s="31"/>
    </row>
    <row r="4" spans="2:18" ht="15.75" thickBot="1" x14ac:dyDescent="0.3">
      <c r="B4" s="35"/>
      <c r="C4" s="35"/>
      <c r="D4" s="35"/>
      <c r="E4" s="35"/>
      <c r="F4" s="35"/>
      <c r="G4" s="35"/>
      <c r="H4" s="35"/>
      <c r="I4" s="35"/>
      <c r="J4" s="35"/>
      <c r="K4" s="35"/>
      <c r="L4" s="35"/>
      <c r="M4" s="35"/>
      <c r="N4" s="35"/>
      <c r="P4" s="31"/>
    </row>
    <row r="5" spans="2:18" ht="15.75" thickBot="1" x14ac:dyDescent="0.3">
      <c r="B5" s="174" t="s">
        <v>131</v>
      </c>
      <c r="C5" s="175"/>
      <c r="D5" s="175"/>
      <c r="E5" s="175"/>
      <c r="F5" s="175"/>
      <c r="G5" s="175"/>
      <c r="H5" s="175"/>
      <c r="I5" s="175"/>
      <c r="J5" s="175"/>
      <c r="K5" s="175"/>
      <c r="L5" s="175"/>
      <c r="M5" s="175"/>
      <c r="N5" s="175"/>
      <c r="O5" s="175"/>
      <c r="P5" s="175"/>
      <c r="Q5" s="175"/>
      <c r="R5" s="176"/>
    </row>
    <row r="6" spans="2:18" x14ac:dyDescent="0.25">
      <c r="B6" s="35"/>
      <c r="C6" s="35"/>
      <c r="D6" s="35"/>
      <c r="E6" s="35"/>
      <c r="F6" s="35"/>
      <c r="G6" s="35"/>
      <c r="H6" s="35"/>
      <c r="I6" s="35"/>
      <c r="J6" s="35"/>
      <c r="K6" s="35"/>
      <c r="L6" s="35"/>
      <c r="M6" s="35"/>
      <c r="N6" s="35"/>
      <c r="P6" s="31"/>
    </row>
    <row r="7" spans="2:18" x14ac:dyDescent="0.25">
      <c r="B7" s="65" t="s">
        <v>135</v>
      </c>
      <c r="C7" s="35"/>
      <c r="D7" s="35"/>
      <c r="E7" s="35"/>
      <c r="F7" s="35"/>
      <c r="G7" s="35"/>
      <c r="H7" s="35"/>
      <c r="I7" s="35"/>
      <c r="J7" s="35"/>
      <c r="K7" s="35"/>
      <c r="L7" s="35"/>
      <c r="M7" s="35"/>
      <c r="N7" s="35"/>
      <c r="P7" s="31"/>
    </row>
    <row r="8" spans="2:18" x14ac:dyDescent="0.25">
      <c r="B8" s="84" t="s">
        <v>145</v>
      </c>
      <c r="C8" s="35"/>
      <c r="D8" s="35"/>
      <c r="E8" s="35"/>
      <c r="F8" s="35"/>
      <c r="G8" s="35"/>
      <c r="H8" s="35"/>
      <c r="I8" s="35"/>
      <c r="J8" s="35"/>
      <c r="K8" s="35"/>
      <c r="L8" s="35"/>
      <c r="M8" s="35"/>
      <c r="N8" s="35"/>
      <c r="P8" s="31"/>
    </row>
    <row r="9" spans="2:18" x14ac:dyDescent="0.25">
      <c r="B9" s="84" t="s">
        <v>134</v>
      </c>
      <c r="C9" s="35"/>
      <c r="D9" s="35"/>
      <c r="E9" s="35"/>
      <c r="F9" s="35"/>
      <c r="G9" s="35"/>
      <c r="H9" s="35"/>
      <c r="I9" s="35"/>
      <c r="J9" s="35"/>
      <c r="K9" s="35"/>
      <c r="L9" s="35"/>
      <c r="M9" s="35"/>
      <c r="N9" s="35"/>
      <c r="P9" s="31"/>
    </row>
    <row r="10" spans="2:18" x14ac:dyDescent="0.25">
      <c r="B10" s="84" t="s">
        <v>146</v>
      </c>
      <c r="C10" s="35"/>
      <c r="D10" s="35"/>
      <c r="E10" s="35"/>
      <c r="F10" s="35"/>
      <c r="G10" s="35"/>
      <c r="H10" s="35"/>
      <c r="I10" s="35"/>
      <c r="J10" s="35"/>
      <c r="K10" s="35"/>
      <c r="L10" s="35"/>
      <c r="M10" s="35"/>
      <c r="N10" s="35"/>
      <c r="P10" s="31"/>
    </row>
    <row r="11" spans="2:18" x14ac:dyDescent="0.25">
      <c r="B11" s="84" t="s">
        <v>138</v>
      </c>
      <c r="C11" s="35"/>
      <c r="D11" s="35"/>
      <c r="E11" s="35"/>
      <c r="F11" s="35"/>
      <c r="G11" s="35"/>
      <c r="H11" s="35"/>
      <c r="I11" s="35"/>
      <c r="J11" s="35"/>
      <c r="K11" s="35"/>
      <c r="L11" s="35"/>
      <c r="M11" s="35"/>
      <c r="N11" s="35"/>
      <c r="P11" s="31"/>
    </row>
    <row r="12" spans="2:18" x14ac:dyDescent="0.25">
      <c r="B12" s="84" t="s">
        <v>139</v>
      </c>
      <c r="C12" s="35"/>
      <c r="D12" s="35"/>
      <c r="E12" s="35"/>
      <c r="F12" s="35"/>
      <c r="G12" s="35"/>
      <c r="H12" s="35"/>
      <c r="I12" s="35"/>
      <c r="J12" s="35"/>
      <c r="K12" s="35"/>
      <c r="L12" s="35"/>
      <c r="M12" s="35"/>
      <c r="N12" s="35"/>
      <c r="P12" s="31"/>
    </row>
    <row r="13" spans="2:18" x14ac:dyDescent="0.25">
      <c r="B13" s="99" t="s">
        <v>226</v>
      </c>
      <c r="C13" s="100"/>
      <c r="D13" s="100"/>
      <c r="E13" s="100"/>
      <c r="F13" s="100"/>
      <c r="G13" s="100"/>
      <c r="H13" s="100"/>
      <c r="I13" s="100"/>
      <c r="J13" s="100"/>
      <c r="K13" s="100"/>
      <c r="L13" s="100"/>
      <c r="M13" s="100"/>
      <c r="N13" s="100"/>
      <c r="O13" s="101"/>
      <c r="P13" s="102"/>
    </row>
    <row r="14" spans="2:18" x14ac:dyDescent="0.25">
      <c r="B14" s="84"/>
      <c r="C14" s="35"/>
      <c r="D14" s="35"/>
      <c r="E14" s="35"/>
      <c r="F14" s="35"/>
      <c r="G14" s="35"/>
      <c r="H14" s="35"/>
      <c r="I14" s="35"/>
      <c r="J14" s="35"/>
      <c r="K14" s="35"/>
      <c r="L14" s="35"/>
      <c r="M14" s="35"/>
      <c r="N14" s="35"/>
      <c r="P14" s="31"/>
    </row>
    <row r="15" spans="2:18" x14ac:dyDescent="0.25">
      <c r="B15" s="87" t="s">
        <v>147</v>
      </c>
      <c r="C15" s="35"/>
      <c r="D15" s="35"/>
      <c r="E15" s="35"/>
      <c r="F15" s="35"/>
      <c r="G15" s="35"/>
      <c r="H15" s="35"/>
      <c r="I15" s="35"/>
      <c r="J15" s="35"/>
      <c r="K15" s="35"/>
      <c r="L15" s="35"/>
      <c r="M15" s="35"/>
      <c r="N15" s="35"/>
      <c r="P15" s="31"/>
    </row>
    <row r="16" spans="2:18" x14ac:dyDescent="0.25">
      <c r="B16" s="84" t="s">
        <v>148</v>
      </c>
      <c r="C16" s="35"/>
      <c r="D16" s="35"/>
      <c r="E16" s="35"/>
      <c r="F16" s="35"/>
      <c r="G16" s="35"/>
      <c r="H16" s="35"/>
      <c r="I16" s="35"/>
      <c r="J16" s="35"/>
      <c r="K16" s="35"/>
      <c r="L16" s="35"/>
      <c r="M16" s="35"/>
      <c r="N16" s="35"/>
      <c r="P16" s="31"/>
    </row>
    <row r="17" spans="1:33" x14ac:dyDescent="0.25">
      <c r="B17" s="84" t="s">
        <v>149</v>
      </c>
      <c r="C17" s="35"/>
      <c r="D17" s="35"/>
      <c r="E17" s="35"/>
      <c r="F17" s="35"/>
      <c r="G17" s="35"/>
      <c r="H17" s="35"/>
      <c r="I17" s="35"/>
      <c r="J17" s="35"/>
      <c r="K17" s="35"/>
      <c r="L17" s="35"/>
      <c r="M17" s="35"/>
      <c r="N17" s="35"/>
      <c r="P17" s="31"/>
    </row>
    <row r="20" spans="1:33" x14ac:dyDescent="0.25">
      <c r="B20" s="71" t="s">
        <v>97</v>
      </c>
      <c r="C20" s="167">
        <f>'Company Summary'!A4</f>
        <v>45199</v>
      </c>
      <c r="D20" s="167"/>
      <c r="E20" s="167"/>
      <c r="F20" s="167"/>
      <c r="G20" s="167"/>
      <c r="H20" s="167"/>
      <c r="I20" s="167"/>
      <c r="J20" s="167"/>
      <c r="K20" s="167"/>
      <c r="M20" s="71" t="s">
        <v>97</v>
      </c>
      <c r="N20" s="165">
        <f>EOMONTH(C20,-1)</f>
        <v>45169</v>
      </c>
      <c r="O20" s="177"/>
      <c r="P20" s="177"/>
      <c r="Q20" s="177"/>
      <c r="R20" s="177"/>
      <c r="S20" s="177"/>
      <c r="T20" s="177"/>
      <c r="U20" s="177"/>
      <c r="V20" s="177"/>
      <c r="Y20" s="164" t="s">
        <v>98</v>
      </c>
      <c r="Z20" s="164"/>
      <c r="AA20" s="164"/>
      <c r="AB20" s="164"/>
      <c r="AC20" s="164"/>
      <c r="AD20" s="164"/>
      <c r="AE20" s="164"/>
      <c r="AF20" s="164"/>
      <c r="AG20" s="164"/>
    </row>
    <row r="21" spans="1:33" x14ac:dyDescent="0.25">
      <c r="B21" s="71" t="s">
        <v>96</v>
      </c>
      <c r="C21" s="164" t="str">
        <f>'Reimbursement Rates &lt;-INPUT'!B7</f>
        <v>Creve Coeur</v>
      </c>
      <c r="D21" s="164"/>
      <c r="E21" s="164"/>
      <c r="F21" s="164"/>
      <c r="G21" s="164"/>
      <c r="H21" s="164"/>
      <c r="I21" s="164"/>
      <c r="J21" s="164"/>
      <c r="K21" s="164"/>
      <c r="M21" s="71" t="s">
        <v>96</v>
      </c>
      <c r="N21" s="164" t="str">
        <f>C21</f>
        <v>Creve Coeur</v>
      </c>
      <c r="O21" s="164"/>
      <c r="P21" s="164"/>
      <c r="Q21" s="164"/>
      <c r="R21" s="164"/>
      <c r="S21" s="164"/>
      <c r="T21" s="164"/>
      <c r="U21" s="164"/>
      <c r="V21" s="164"/>
      <c r="X21" s="70" t="s">
        <v>96</v>
      </c>
      <c r="Y21" s="164" t="str">
        <f>C21</f>
        <v>Creve Coeur</v>
      </c>
      <c r="Z21" s="164"/>
      <c r="AA21" s="164"/>
      <c r="AB21" s="164"/>
      <c r="AC21" s="164"/>
      <c r="AD21" s="164"/>
      <c r="AE21" s="164"/>
      <c r="AF21" s="164"/>
      <c r="AG21" s="164"/>
    </row>
    <row r="22" spans="1:33" x14ac:dyDescent="0.25">
      <c r="B22" s="4" t="s">
        <v>16</v>
      </c>
      <c r="C22" s="5" t="s">
        <v>15</v>
      </c>
      <c r="D22" s="5" t="s">
        <v>14</v>
      </c>
      <c r="E22" s="5" t="s">
        <v>13</v>
      </c>
      <c r="F22" s="5" t="s">
        <v>12</v>
      </c>
      <c r="G22" s="5" t="s">
        <v>94</v>
      </c>
      <c r="H22" s="5" t="s">
        <v>95</v>
      </c>
      <c r="I22" s="5" t="s">
        <v>38</v>
      </c>
      <c r="J22" s="5" t="s">
        <v>9</v>
      </c>
      <c r="K22" s="5" t="s">
        <v>80</v>
      </c>
      <c r="M22" s="4" t="s">
        <v>16</v>
      </c>
      <c r="N22" s="5" t="s">
        <v>15</v>
      </c>
      <c r="O22" s="5" t="s">
        <v>14</v>
      </c>
      <c r="P22" s="5" t="s">
        <v>13</v>
      </c>
      <c r="Q22" s="5" t="s">
        <v>12</v>
      </c>
      <c r="R22" s="5" t="s">
        <v>94</v>
      </c>
      <c r="S22" s="5" t="s">
        <v>95</v>
      </c>
      <c r="T22" s="5" t="s">
        <v>38</v>
      </c>
      <c r="U22" s="5" t="s">
        <v>9</v>
      </c>
      <c r="V22" s="5" t="s">
        <v>80</v>
      </c>
      <c r="X22" s="4" t="s">
        <v>16</v>
      </c>
      <c r="Y22" s="5" t="s">
        <v>15</v>
      </c>
      <c r="Z22" s="5" t="s">
        <v>14</v>
      </c>
      <c r="AA22" s="5" t="s">
        <v>13</v>
      </c>
      <c r="AB22" s="5" t="s">
        <v>12</v>
      </c>
      <c r="AC22" s="5" t="s">
        <v>94</v>
      </c>
      <c r="AD22" s="5" t="s">
        <v>95</v>
      </c>
      <c r="AE22" s="5" t="s">
        <v>38</v>
      </c>
      <c r="AF22" s="5" t="s">
        <v>9</v>
      </c>
      <c r="AG22" s="5" t="s">
        <v>80</v>
      </c>
    </row>
    <row r="23" spans="1:33" x14ac:dyDescent="0.25">
      <c r="A23" t="s">
        <v>335</v>
      </c>
      <c r="B23" s="1" t="s">
        <v>335</v>
      </c>
      <c r="C23" s="2">
        <f>SUMIFS(CurrentMonthAgingData!$AN:$AN,CurrentMonthAgingData!$BC:$BC,"=1",CurrentMonthAgingData!$BA:$BA,"=Creve Coeur",CurrentMonthAgingData!$AV:$AV,""&amp;$A23&amp;"")</f>
        <v>0</v>
      </c>
      <c r="D23" s="2">
        <f>SUMIFS(CurrentMonthAgingData!$AN:$AN,CurrentMonthAgingData!$BC:$BC,"=2",CurrentMonthAgingData!$BA:$BA,"=Creve Coeur",CurrentMonthAgingData!$AV:$AV,""&amp;$A23&amp;"")</f>
        <v>0</v>
      </c>
      <c r="E23" s="2">
        <f>SUMIFS(CurrentMonthAgingData!$AN:$AN,CurrentMonthAgingData!$BC:$BC,"=3",CurrentMonthAgingData!$BA:$BA,"=Creve Coeur",CurrentMonthAgingData!$AV:$AV,""&amp;$A23&amp;"")</f>
        <v>0</v>
      </c>
      <c r="F23" s="2">
        <f>SUMIFS(CurrentMonthAgingData!$AN:$AN,CurrentMonthAgingData!$BC:$BC,"=4",CurrentMonthAgingData!$BA:$BA,"=Creve Coeur",CurrentMonthAgingData!$AV:$AV,""&amp;$A23&amp;"")</f>
        <v>0</v>
      </c>
      <c r="G23" s="2">
        <f>SUMIFS(CurrentMonthAgingData!$AN:$AN,CurrentMonthAgingData!$BC:$BC,"=5",CurrentMonthAgingData!$BA:$BA,"=Creve Coeur",CurrentMonthAgingData!$AV:$AV,""&amp;$A23&amp;"")</f>
        <v>0</v>
      </c>
      <c r="H23" s="2">
        <f>SUMIFS(CurrentMonthAgingData!$AN:$AN,CurrentMonthAgingData!$BC:$BC,"=6",CurrentMonthAgingData!$BA:$BA,"=Creve Coeur",CurrentMonthAgingData!$AV:$AV,""&amp;$A23&amp;"")</f>
        <v>0</v>
      </c>
      <c r="I23" s="2">
        <f>SUMIFS(CurrentMonthAgingData!$AN:$AN,CurrentMonthAgingData!$BC:$BC,"=7",CurrentMonthAgingData!$BA:$BA,"=Creve Coeur",CurrentMonthAgingData!$AV:$AV,""&amp;$A23&amp;"")</f>
        <v>0</v>
      </c>
      <c r="J23" s="2">
        <f>SUMIFS(CurrentMonthAgingData!$AN:$AN,CurrentMonthAgingData!$BC:$BC,"=8",CurrentMonthAgingData!$BA:$BA,"=Creve Coeur",CurrentMonthAgingData!$AV:$AV,""&amp;$A23&amp;"")</f>
        <v>0</v>
      </c>
      <c r="K23" s="2">
        <f>SUM(C23:J23)</f>
        <v>0</v>
      </c>
      <c r="M23" s="1" t="s">
        <v>335</v>
      </c>
      <c r="N23" s="2">
        <v>0</v>
      </c>
      <c r="O23" s="2">
        <v>0</v>
      </c>
      <c r="P23" s="2">
        <v>0</v>
      </c>
      <c r="Q23" s="2">
        <v>0</v>
      </c>
      <c r="R23" s="2">
        <v>0</v>
      </c>
      <c r="S23" s="2">
        <v>0</v>
      </c>
      <c r="T23" s="2">
        <v>0</v>
      </c>
      <c r="U23" s="2">
        <v>0</v>
      </c>
      <c r="V23" s="2">
        <f>SUM(N23:U23)</f>
        <v>0</v>
      </c>
      <c r="X23" s="1" t="s">
        <v>335</v>
      </c>
      <c r="Y23" s="2">
        <f t="shared" ref="Y23:Y42" si="0">C23-N23</f>
        <v>0</v>
      </c>
      <c r="Z23" s="2">
        <f t="shared" ref="Z23:Z42" si="1">D23-O23</f>
        <v>0</v>
      </c>
      <c r="AA23" s="2">
        <f t="shared" ref="AA23:AA42" si="2">E23-P23</f>
        <v>0</v>
      </c>
      <c r="AB23" s="2">
        <f t="shared" ref="AB23:AB42" si="3">F23-Q23</f>
        <v>0</v>
      </c>
      <c r="AC23" s="2">
        <f t="shared" ref="AC23:AC42" si="4">G23-R23</f>
        <v>0</v>
      </c>
      <c r="AD23" s="2">
        <f t="shared" ref="AD23:AD42" si="5">H23-S23</f>
        <v>0</v>
      </c>
      <c r="AE23" s="2">
        <f t="shared" ref="AE23:AE42" si="6">I23-T23</f>
        <v>0</v>
      </c>
      <c r="AF23" s="2">
        <f t="shared" ref="AF23:AF42" si="7">J23-U23</f>
        <v>0</v>
      </c>
      <c r="AG23" s="2">
        <f>SUM(Y23:AF23)</f>
        <v>0</v>
      </c>
    </row>
    <row r="24" spans="1:33" x14ac:dyDescent="0.25">
      <c r="A24" t="s">
        <v>8</v>
      </c>
      <c r="B24" s="1" t="s">
        <v>8</v>
      </c>
      <c r="C24" s="137">
        <f>SUMIFS(CurrentMonthAgingData!$AN:$AN,CurrentMonthAgingData!$BC:$BC,"=1",CurrentMonthAgingData!$BA:$BA,"=Creve Coeur",CurrentMonthAgingData!$AV:$AV,""&amp;$A24&amp;"")</f>
        <v>0</v>
      </c>
      <c r="D24" s="137">
        <f>SUMIFS(CurrentMonthAgingData!$AN:$AN,CurrentMonthAgingData!$BC:$BC,"=2",CurrentMonthAgingData!$BA:$BA,"=Creve Coeur",CurrentMonthAgingData!$AV:$AV,""&amp;$A24&amp;"")</f>
        <v>0</v>
      </c>
      <c r="E24" s="137">
        <f>SUMIFS(CurrentMonthAgingData!$AN:$AN,CurrentMonthAgingData!$BC:$BC,"=3",CurrentMonthAgingData!$BA:$BA,"=Creve Coeur",CurrentMonthAgingData!$AV:$AV,""&amp;$A24&amp;"")</f>
        <v>0</v>
      </c>
      <c r="F24" s="137">
        <f>SUMIFS(CurrentMonthAgingData!$AN:$AN,CurrentMonthAgingData!$BC:$BC,"=4",CurrentMonthAgingData!$BA:$BA,"=Creve Coeur",CurrentMonthAgingData!$AV:$AV,""&amp;$A24&amp;"")</f>
        <v>0</v>
      </c>
      <c r="G24" s="137">
        <f>SUMIFS(CurrentMonthAgingData!$AN:$AN,CurrentMonthAgingData!$BC:$BC,"=5",CurrentMonthAgingData!$BA:$BA,"=Creve Coeur",CurrentMonthAgingData!$AV:$AV,""&amp;$A24&amp;"")</f>
        <v>0</v>
      </c>
      <c r="H24" s="137">
        <f>SUMIFS(CurrentMonthAgingData!$AN:$AN,CurrentMonthAgingData!$BC:$BC,"=6",CurrentMonthAgingData!$BA:$BA,"=Creve Coeur",CurrentMonthAgingData!$AV:$AV,""&amp;$A24&amp;"")</f>
        <v>0</v>
      </c>
      <c r="I24" s="137">
        <f>SUMIFS(CurrentMonthAgingData!$AN:$AN,CurrentMonthAgingData!$BC:$BC,"=7",CurrentMonthAgingData!$BA:$BA,"=Creve Coeur",CurrentMonthAgingData!$AV:$AV,""&amp;$A24&amp;"")</f>
        <v>0</v>
      </c>
      <c r="J24" s="137">
        <f>SUMIFS(CurrentMonthAgingData!$AN:$AN,CurrentMonthAgingData!$BC:$BC,"=8",CurrentMonthAgingData!$BA:$BA,"=Creve Coeur",CurrentMonthAgingData!$AV:$AV,""&amp;$A24&amp;"")</f>
        <v>-401.87</v>
      </c>
      <c r="K24" s="2">
        <f>SUM(C24:J24)</f>
        <v>-401.87</v>
      </c>
      <c r="L24" s="31"/>
      <c r="M24" s="1" t="s">
        <v>8</v>
      </c>
      <c r="N24" s="137">
        <v>0</v>
      </c>
      <c r="O24" s="137">
        <v>0</v>
      </c>
      <c r="P24" s="137">
        <v>0</v>
      </c>
      <c r="Q24" s="137">
        <v>0</v>
      </c>
      <c r="R24" s="137">
        <v>0</v>
      </c>
      <c r="S24" s="137">
        <v>0</v>
      </c>
      <c r="T24" s="137">
        <v>0</v>
      </c>
      <c r="U24" s="137">
        <v>-401.87000000000006</v>
      </c>
      <c r="V24" s="2">
        <f t="shared" ref="V24:V42" si="8">SUM(N24:U24)</f>
        <v>-401.87000000000006</v>
      </c>
      <c r="X24" s="1" t="s">
        <v>8</v>
      </c>
      <c r="Y24" s="2">
        <f t="shared" si="0"/>
        <v>0</v>
      </c>
      <c r="Z24" s="2">
        <f t="shared" si="1"/>
        <v>0</v>
      </c>
      <c r="AA24" s="2">
        <f t="shared" si="2"/>
        <v>0</v>
      </c>
      <c r="AB24" s="2">
        <f t="shared" si="3"/>
        <v>0</v>
      </c>
      <c r="AC24" s="2">
        <f t="shared" si="4"/>
        <v>0</v>
      </c>
      <c r="AD24" s="2">
        <f t="shared" si="5"/>
        <v>0</v>
      </c>
      <c r="AE24" s="2">
        <f t="shared" si="6"/>
        <v>0</v>
      </c>
      <c r="AF24" s="2">
        <f t="shared" si="7"/>
        <v>0</v>
      </c>
      <c r="AG24" s="2">
        <f t="shared" ref="AG24:AG42" si="9">SUM(Y24:AF24)</f>
        <v>0</v>
      </c>
    </row>
    <row r="25" spans="1:33" x14ac:dyDescent="0.25">
      <c r="A25" t="s">
        <v>336</v>
      </c>
      <c r="B25" s="1" t="s">
        <v>336</v>
      </c>
      <c r="C25" s="137">
        <f>SUMIFS(CurrentMonthAgingData!$AN:$AN,CurrentMonthAgingData!$BC:$BC,"=1",CurrentMonthAgingData!$BA:$BA,"=Creve Coeur",CurrentMonthAgingData!$AV:$AV,""&amp;$A25&amp;"")</f>
        <v>0</v>
      </c>
      <c r="D25" s="137">
        <f>SUMIFS(CurrentMonthAgingData!$AN:$AN,CurrentMonthAgingData!$BC:$BC,"=2",CurrentMonthAgingData!$BA:$BA,"=Creve Coeur",CurrentMonthAgingData!$AV:$AV,""&amp;$A25&amp;"")</f>
        <v>0</v>
      </c>
      <c r="E25" s="137">
        <f>SUMIFS(CurrentMonthAgingData!$AN:$AN,CurrentMonthAgingData!$BC:$BC,"=3",CurrentMonthAgingData!$BA:$BA,"=Creve Coeur",CurrentMonthAgingData!$AV:$AV,""&amp;$A25&amp;"")</f>
        <v>0</v>
      </c>
      <c r="F25" s="137">
        <f>SUMIFS(CurrentMonthAgingData!$AN:$AN,CurrentMonthAgingData!$BC:$BC,"=4",CurrentMonthAgingData!$BA:$BA,"=Creve Coeur",CurrentMonthAgingData!$AV:$AV,""&amp;$A25&amp;"")</f>
        <v>0</v>
      </c>
      <c r="G25" s="137">
        <f>SUMIFS(CurrentMonthAgingData!$AN:$AN,CurrentMonthAgingData!$BC:$BC,"=5",CurrentMonthAgingData!$BA:$BA,"=Creve Coeur",CurrentMonthAgingData!$AV:$AV,""&amp;$A25&amp;"")</f>
        <v>0</v>
      </c>
      <c r="H25" s="137">
        <f>SUMIFS(CurrentMonthAgingData!$AN:$AN,CurrentMonthAgingData!$BC:$BC,"=6",CurrentMonthAgingData!$BA:$BA,"=Creve Coeur",CurrentMonthAgingData!$AV:$AV,""&amp;$A25&amp;"")</f>
        <v>0</v>
      </c>
      <c r="I25" s="137">
        <f>SUMIFS(CurrentMonthAgingData!$AN:$AN,CurrentMonthAgingData!$BC:$BC,"=7",CurrentMonthAgingData!$BA:$BA,"=Creve Coeur",CurrentMonthAgingData!$AV:$AV,""&amp;$A25&amp;"")</f>
        <v>0</v>
      </c>
      <c r="J25" s="137">
        <f>SUMIFS(CurrentMonthAgingData!$AN:$AN,CurrentMonthAgingData!$BC:$BC,"=8",CurrentMonthAgingData!$BA:$BA,"=Creve Coeur",CurrentMonthAgingData!$AV:$AV,""&amp;$A25&amp;"")</f>
        <v>-261.87</v>
      </c>
      <c r="K25" s="2">
        <f t="shared" ref="K25:K42" si="10">SUM(C25:J25)</f>
        <v>-261.87</v>
      </c>
      <c r="L25" s="31"/>
      <c r="M25" s="1" t="s">
        <v>336</v>
      </c>
      <c r="N25" s="137">
        <v>0</v>
      </c>
      <c r="O25" s="137">
        <v>0</v>
      </c>
      <c r="P25" s="137">
        <v>0</v>
      </c>
      <c r="Q25" s="137">
        <v>0</v>
      </c>
      <c r="R25" s="137">
        <v>0</v>
      </c>
      <c r="S25" s="137">
        <v>0</v>
      </c>
      <c r="T25" s="137">
        <v>0</v>
      </c>
      <c r="U25" s="137">
        <v>-261.87</v>
      </c>
      <c r="V25" s="2">
        <f t="shared" si="8"/>
        <v>-261.87</v>
      </c>
      <c r="X25" s="1" t="s">
        <v>336</v>
      </c>
      <c r="Y25" s="2">
        <f t="shared" si="0"/>
        <v>0</v>
      </c>
      <c r="Z25" s="2">
        <f t="shared" si="1"/>
        <v>0</v>
      </c>
      <c r="AA25" s="2">
        <f t="shared" si="2"/>
        <v>0</v>
      </c>
      <c r="AB25" s="2">
        <f t="shared" si="3"/>
        <v>0</v>
      </c>
      <c r="AC25" s="2">
        <f t="shared" si="4"/>
        <v>0</v>
      </c>
      <c r="AD25" s="2">
        <f t="shared" si="5"/>
        <v>0</v>
      </c>
      <c r="AE25" s="2">
        <f t="shared" si="6"/>
        <v>0</v>
      </c>
      <c r="AF25" s="2">
        <f t="shared" si="7"/>
        <v>0</v>
      </c>
      <c r="AG25" s="2">
        <f t="shared" si="9"/>
        <v>0</v>
      </c>
    </row>
    <row r="26" spans="1:33" x14ac:dyDescent="0.25">
      <c r="A26" t="s">
        <v>42</v>
      </c>
      <c r="B26" s="1" t="s">
        <v>42</v>
      </c>
      <c r="C26" s="2">
        <f>SUMIFS(CurrentMonthAgingData!$AN:$AN,CurrentMonthAgingData!$BC:$BC,"=1",CurrentMonthAgingData!$BA:$BA,"=Creve Coeur",CurrentMonthAgingData!$AV:$AV,""&amp;$A26&amp;"")</f>
        <v>0</v>
      </c>
      <c r="D26" s="2">
        <f>SUMIFS(CurrentMonthAgingData!$AN:$AN,CurrentMonthAgingData!$BC:$BC,"=2",CurrentMonthAgingData!$BA:$BA,"=Creve Coeur",CurrentMonthAgingData!$AV:$AV,""&amp;$A26&amp;"")</f>
        <v>0</v>
      </c>
      <c r="E26" s="2">
        <f>SUMIFS(CurrentMonthAgingData!$AN:$AN,CurrentMonthAgingData!$BC:$BC,"=3",CurrentMonthAgingData!$BA:$BA,"=Creve Coeur",CurrentMonthAgingData!$AV:$AV,""&amp;$A26&amp;"")</f>
        <v>0</v>
      </c>
      <c r="F26" s="2">
        <f>SUMIFS(CurrentMonthAgingData!$AN:$AN,CurrentMonthAgingData!$BC:$BC,"=4",CurrentMonthAgingData!$BA:$BA,"=Creve Coeur",CurrentMonthAgingData!$AV:$AV,""&amp;$A26&amp;"")</f>
        <v>0</v>
      </c>
      <c r="G26" s="2">
        <f>SUMIFS(CurrentMonthAgingData!$AN:$AN,CurrentMonthAgingData!$BC:$BC,"=5",CurrentMonthAgingData!$BA:$BA,"=Creve Coeur",CurrentMonthAgingData!$AV:$AV,""&amp;$A26&amp;"")</f>
        <v>0</v>
      </c>
      <c r="H26" s="2">
        <f>SUMIFS(CurrentMonthAgingData!$AN:$AN,CurrentMonthAgingData!$BC:$BC,"=6",CurrentMonthAgingData!$BA:$BA,"=Creve Coeur",CurrentMonthAgingData!$AV:$AV,""&amp;$A26&amp;"")</f>
        <v>0</v>
      </c>
      <c r="I26" s="2">
        <f>SUMIFS(CurrentMonthAgingData!$AN:$AN,CurrentMonthAgingData!$BC:$BC,"=7",CurrentMonthAgingData!$BA:$BA,"=Creve Coeur",CurrentMonthAgingData!$AV:$AV,""&amp;$A26&amp;"")</f>
        <v>0</v>
      </c>
      <c r="J26" s="2">
        <f>SUMIFS(CurrentMonthAgingData!$AN:$AN,CurrentMonthAgingData!$BC:$BC,"=8",CurrentMonthAgingData!$BA:$BA,"=Creve Coeur",CurrentMonthAgingData!$AV:$AV,""&amp;$A26&amp;"")</f>
        <v>0</v>
      </c>
      <c r="K26" s="2">
        <f t="shared" si="10"/>
        <v>0</v>
      </c>
      <c r="L26" s="31"/>
      <c r="M26" s="1" t="s">
        <v>42</v>
      </c>
      <c r="N26" s="2">
        <v>0</v>
      </c>
      <c r="O26" s="2">
        <v>0</v>
      </c>
      <c r="P26" s="2">
        <v>0</v>
      </c>
      <c r="Q26" s="2">
        <v>0</v>
      </c>
      <c r="R26" s="2">
        <v>0</v>
      </c>
      <c r="S26" s="2">
        <v>0</v>
      </c>
      <c r="T26" s="2">
        <v>0</v>
      </c>
      <c r="U26" s="2">
        <v>0</v>
      </c>
      <c r="V26" s="2">
        <f t="shared" si="8"/>
        <v>0</v>
      </c>
      <c r="X26" s="1" t="s">
        <v>42</v>
      </c>
      <c r="Y26" s="2">
        <f t="shared" si="0"/>
        <v>0</v>
      </c>
      <c r="Z26" s="2">
        <f t="shared" si="1"/>
        <v>0</v>
      </c>
      <c r="AA26" s="2">
        <f t="shared" si="2"/>
        <v>0</v>
      </c>
      <c r="AB26" s="2">
        <f t="shared" si="3"/>
        <v>0</v>
      </c>
      <c r="AC26" s="2">
        <f t="shared" si="4"/>
        <v>0</v>
      </c>
      <c r="AD26" s="2">
        <f t="shared" si="5"/>
        <v>0</v>
      </c>
      <c r="AE26" s="2">
        <f t="shared" si="6"/>
        <v>0</v>
      </c>
      <c r="AF26" s="2">
        <f t="shared" si="7"/>
        <v>0</v>
      </c>
      <c r="AG26" s="2">
        <f t="shared" si="9"/>
        <v>0</v>
      </c>
    </row>
    <row r="27" spans="1:33" x14ac:dyDescent="0.25">
      <c r="A27" t="s">
        <v>6</v>
      </c>
      <c r="B27" s="1" t="s">
        <v>6</v>
      </c>
      <c r="C27" s="137">
        <f>SUMIFS(CurrentMonthAgingData!$AN:$AN,CurrentMonthAgingData!$BC:$BC,"=1",CurrentMonthAgingData!$BA:$BA,"=Creve Coeur",CurrentMonthAgingData!$AV:$AV,""&amp;$A27&amp;"")</f>
        <v>0</v>
      </c>
      <c r="D27" s="137">
        <f>SUMIFS(CurrentMonthAgingData!$AN:$AN,CurrentMonthAgingData!$BC:$BC,"=2",CurrentMonthAgingData!$BA:$BA,"=Creve Coeur",CurrentMonthAgingData!$AV:$AV,""&amp;$A27&amp;"")</f>
        <v>0</v>
      </c>
      <c r="E27" s="137">
        <f>SUMIFS(CurrentMonthAgingData!$AN:$AN,CurrentMonthAgingData!$BC:$BC,"=3",CurrentMonthAgingData!$BA:$BA,"=Creve Coeur",CurrentMonthAgingData!$AV:$AV,""&amp;$A27&amp;"")</f>
        <v>0</v>
      </c>
      <c r="F27" s="137">
        <f>SUMIFS(CurrentMonthAgingData!$AN:$AN,CurrentMonthAgingData!$BC:$BC,"=4",CurrentMonthAgingData!$BA:$BA,"=Creve Coeur",CurrentMonthAgingData!$AV:$AV,""&amp;$A27&amp;"")</f>
        <v>0</v>
      </c>
      <c r="G27" s="137">
        <f>SUMIFS(CurrentMonthAgingData!$AN:$AN,CurrentMonthAgingData!$BC:$BC,"=5",CurrentMonthAgingData!$BA:$BA,"=Creve Coeur",CurrentMonthAgingData!$AV:$AV,""&amp;$A27&amp;"")</f>
        <v>0</v>
      </c>
      <c r="H27" s="137">
        <f>SUMIFS(CurrentMonthAgingData!$AN:$AN,CurrentMonthAgingData!$BC:$BC,"=6",CurrentMonthAgingData!$BA:$BA,"=Creve Coeur",CurrentMonthAgingData!$AV:$AV,""&amp;$A27&amp;"")</f>
        <v>0</v>
      </c>
      <c r="I27" s="137">
        <f>SUMIFS(CurrentMonthAgingData!$AN:$AN,CurrentMonthAgingData!$BC:$BC,"=7",CurrentMonthAgingData!$BA:$BA,"=Creve Coeur",CurrentMonthAgingData!$AV:$AV,""&amp;$A27&amp;"")</f>
        <v>0</v>
      </c>
      <c r="J27" s="137">
        <f>SUMIFS(CurrentMonthAgingData!$AN:$AN,CurrentMonthAgingData!$BC:$BC,"=8",CurrentMonthAgingData!$BA:$BA,"=Creve Coeur",CurrentMonthAgingData!$AV:$AV,""&amp;$A27&amp;"")</f>
        <v>98.58</v>
      </c>
      <c r="K27" s="2">
        <f t="shared" si="10"/>
        <v>98.58</v>
      </c>
      <c r="L27" s="31"/>
      <c r="M27" s="1" t="s">
        <v>6</v>
      </c>
      <c r="N27" s="137">
        <v>0</v>
      </c>
      <c r="O27" s="137">
        <v>0</v>
      </c>
      <c r="P27" s="137">
        <v>0</v>
      </c>
      <c r="Q27" s="137">
        <v>0</v>
      </c>
      <c r="R27" s="137">
        <v>0</v>
      </c>
      <c r="S27" s="137">
        <v>0</v>
      </c>
      <c r="T27" s="137">
        <v>0</v>
      </c>
      <c r="U27" s="137">
        <v>98.58</v>
      </c>
      <c r="V27" s="2">
        <f t="shared" si="8"/>
        <v>98.58</v>
      </c>
      <c r="X27" s="1" t="s">
        <v>6</v>
      </c>
      <c r="Y27" s="2">
        <f t="shared" si="0"/>
        <v>0</v>
      </c>
      <c r="Z27" s="2">
        <f t="shared" si="1"/>
        <v>0</v>
      </c>
      <c r="AA27" s="2">
        <f t="shared" si="2"/>
        <v>0</v>
      </c>
      <c r="AB27" s="2">
        <f t="shared" si="3"/>
        <v>0</v>
      </c>
      <c r="AC27" s="2">
        <f t="shared" si="4"/>
        <v>0</v>
      </c>
      <c r="AD27" s="2">
        <f t="shared" si="5"/>
        <v>0</v>
      </c>
      <c r="AE27" s="2">
        <f t="shared" si="6"/>
        <v>0</v>
      </c>
      <c r="AF27" s="2">
        <f t="shared" si="7"/>
        <v>0</v>
      </c>
      <c r="AG27" s="2">
        <f t="shared" si="9"/>
        <v>0</v>
      </c>
    </row>
    <row r="28" spans="1:33" x14ac:dyDescent="0.25">
      <c r="B28" s="1" t="s">
        <v>90</v>
      </c>
      <c r="C28" s="137">
        <f>SUMIFS(CurrentMonthAgingData!$AN:$AN,CurrentMonthAgingData!$BC:$BC,"=1",CurrentMonthAgingData!$BA:$BA,"=Creve Coeur",CurrentMonthAgingData!$AV:$AV,""&amp;$A28&amp;"")</f>
        <v>0</v>
      </c>
      <c r="D28" s="137">
        <f>SUMIFS(CurrentMonthAgingData!$AN:$AN,CurrentMonthAgingData!$BC:$BC,"=2",CurrentMonthAgingData!$BA:$BA,"=Creve Coeur",CurrentMonthAgingData!$AV:$AV,""&amp;$A28&amp;"")</f>
        <v>0</v>
      </c>
      <c r="E28" s="137">
        <f>SUMIFS(CurrentMonthAgingData!$AN:$AN,CurrentMonthAgingData!$BC:$BC,"=3",CurrentMonthAgingData!$BA:$BA,"=Creve Coeur",CurrentMonthAgingData!$AV:$AV,""&amp;$A28&amp;"")</f>
        <v>0</v>
      </c>
      <c r="F28" s="137">
        <f>SUMIFS(CurrentMonthAgingData!$AN:$AN,CurrentMonthAgingData!$BC:$BC,"=4",CurrentMonthAgingData!$BA:$BA,"=Creve Coeur",CurrentMonthAgingData!$AV:$AV,""&amp;$A28&amp;"")</f>
        <v>0</v>
      </c>
      <c r="G28" s="137">
        <f>SUMIFS(CurrentMonthAgingData!$AN:$AN,CurrentMonthAgingData!$BC:$BC,"=5",CurrentMonthAgingData!$BA:$BA,"=Creve Coeur",CurrentMonthAgingData!$AV:$AV,""&amp;$A28&amp;"")</f>
        <v>0</v>
      </c>
      <c r="H28" s="137">
        <f>SUMIFS(CurrentMonthAgingData!$AN:$AN,CurrentMonthAgingData!$BC:$BC,"=6",CurrentMonthAgingData!$BA:$BA,"=Creve Coeur",CurrentMonthAgingData!$AV:$AV,""&amp;$A28&amp;"")</f>
        <v>0</v>
      </c>
      <c r="I28" s="137">
        <f>SUMIFS(CurrentMonthAgingData!$AN:$AN,CurrentMonthAgingData!$BC:$BC,"=7",CurrentMonthAgingData!$BA:$BA,"=Creve Coeur",CurrentMonthAgingData!$AV:$AV,""&amp;$A28&amp;"")</f>
        <v>0</v>
      </c>
      <c r="J28" s="137">
        <f>SUMIFS(CurrentMonthAgingData!$AN:$AN,CurrentMonthAgingData!$BC:$BC,"=8",CurrentMonthAgingData!$BA:$BA,"=Creve Coeur",CurrentMonthAgingData!$AV:$AV,""&amp;$A28&amp;"")</f>
        <v>0</v>
      </c>
      <c r="K28" s="2">
        <f t="shared" si="10"/>
        <v>0</v>
      </c>
      <c r="L28" s="31"/>
      <c r="M28" s="1" t="s">
        <v>90</v>
      </c>
      <c r="N28" s="137">
        <v>0</v>
      </c>
      <c r="O28" s="137">
        <v>0</v>
      </c>
      <c r="P28" s="137">
        <v>0</v>
      </c>
      <c r="Q28" s="137">
        <v>0</v>
      </c>
      <c r="R28" s="137">
        <v>0</v>
      </c>
      <c r="S28" s="137">
        <v>0</v>
      </c>
      <c r="T28" s="137">
        <v>0</v>
      </c>
      <c r="U28" s="137">
        <v>0</v>
      </c>
      <c r="V28" s="2">
        <f t="shared" si="8"/>
        <v>0</v>
      </c>
      <c r="X28" s="1" t="s">
        <v>90</v>
      </c>
      <c r="Y28" s="2">
        <f t="shared" si="0"/>
        <v>0</v>
      </c>
      <c r="Z28" s="2">
        <f t="shared" si="1"/>
        <v>0</v>
      </c>
      <c r="AA28" s="2">
        <f t="shared" si="2"/>
        <v>0</v>
      </c>
      <c r="AB28" s="2">
        <f t="shared" si="3"/>
        <v>0</v>
      </c>
      <c r="AC28" s="2">
        <f t="shared" si="4"/>
        <v>0</v>
      </c>
      <c r="AD28" s="2">
        <f t="shared" si="5"/>
        <v>0</v>
      </c>
      <c r="AE28" s="2">
        <f t="shared" si="6"/>
        <v>0</v>
      </c>
      <c r="AF28" s="2">
        <f t="shared" si="7"/>
        <v>0</v>
      </c>
      <c r="AG28" s="2">
        <f t="shared" si="9"/>
        <v>0</v>
      </c>
    </row>
    <row r="29" spans="1:33" x14ac:dyDescent="0.25">
      <c r="A29" t="s">
        <v>337</v>
      </c>
      <c r="B29" s="1" t="s">
        <v>342</v>
      </c>
      <c r="C29" s="137">
        <f>SUMIFS(CurrentMonthAgingData!$AN:$AN,CurrentMonthAgingData!$BC:$BC,"=1",CurrentMonthAgingData!$BA:$BA,"=Creve Coeur",CurrentMonthAgingData!$AV:$AV,""&amp;$A29&amp;"")</f>
        <v>0</v>
      </c>
      <c r="D29" s="137">
        <f>SUMIFS(CurrentMonthAgingData!$AN:$AN,CurrentMonthAgingData!$BC:$BC,"=2",CurrentMonthAgingData!$BA:$BA,"=Creve Coeur",CurrentMonthAgingData!$AV:$AV,""&amp;$A29&amp;"")</f>
        <v>0</v>
      </c>
      <c r="E29" s="137">
        <f>SUMIFS(CurrentMonthAgingData!$AN:$AN,CurrentMonthAgingData!$BC:$BC,"=3",CurrentMonthAgingData!$BA:$BA,"=Creve Coeur",CurrentMonthAgingData!$AV:$AV,""&amp;$A29&amp;"")</f>
        <v>0</v>
      </c>
      <c r="F29" s="137">
        <f>SUMIFS(CurrentMonthAgingData!$AN:$AN,CurrentMonthAgingData!$BC:$BC,"=4",CurrentMonthAgingData!$BA:$BA,"=Creve Coeur",CurrentMonthAgingData!$AV:$AV,""&amp;$A29&amp;"")</f>
        <v>0</v>
      </c>
      <c r="G29" s="137">
        <f>SUMIFS(CurrentMonthAgingData!$AN:$AN,CurrentMonthAgingData!$BC:$BC,"=5",CurrentMonthAgingData!$BA:$BA,"=Creve Coeur",CurrentMonthAgingData!$AV:$AV,""&amp;$A29&amp;"")</f>
        <v>0</v>
      </c>
      <c r="H29" s="137">
        <f>SUMIFS(CurrentMonthAgingData!$AN:$AN,CurrentMonthAgingData!$BC:$BC,"=6",CurrentMonthAgingData!$BA:$BA,"=Creve Coeur",CurrentMonthAgingData!$AV:$AV,""&amp;$A29&amp;"")</f>
        <v>0</v>
      </c>
      <c r="I29" s="137">
        <f>SUMIFS(CurrentMonthAgingData!$AN:$AN,CurrentMonthAgingData!$BC:$BC,"=7",CurrentMonthAgingData!$BA:$BA,"=Creve Coeur",CurrentMonthAgingData!$AV:$AV,""&amp;$A29&amp;"")</f>
        <v>0</v>
      </c>
      <c r="J29" s="137">
        <f>SUMIFS(CurrentMonthAgingData!$AN:$AN,CurrentMonthAgingData!$BC:$BC,"=8",CurrentMonthAgingData!$BA:$BA,"=Creve Coeur",CurrentMonthAgingData!$AV:$AV,""&amp;$A29&amp;"")</f>
        <v>0</v>
      </c>
      <c r="K29" s="2">
        <f t="shared" si="10"/>
        <v>0</v>
      </c>
      <c r="L29" s="31"/>
      <c r="M29" s="1" t="s">
        <v>342</v>
      </c>
      <c r="N29" s="137">
        <v>0</v>
      </c>
      <c r="O29" s="137">
        <v>0</v>
      </c>
      <c r="P29" s="137">
        <v>0</v>
      </c>
      <c r="Q29" s="137">
        <v>0</v>
      </c>
      <c r="R29" s="137">
        <v>0</v>
      </c>
      <c r="S29" s="137">
        <v>0</v>
      </c>
      <c r="T29" s="137">
        <v>0</v>
      </c>
      <c r="U29" s="137">
        <v>0</v>
      </c>
      <c r="V29" s="2">
        <f t="shared" si="8"/>
        <v>0</v>
      </c>
      <c r="X29" s="1" t="s">
        <v>342</v>
      </c>
      <c r="Y29" s="2">
        <f t="shared" si="0"/>
        <v>0</v>
      </c>
      <c r="Z29" s="2">
        <f t="shared" si="1"/>
        <v>0</v>
      </c>
      <c r="AA29" s="2">
        <f t="shared" si="2"/>
        <v>0</v>
      </c>
      <c r="AB29" s="2">
        <f t="shared" si="3"/>
        <v>0</v>
      </c>
      <c r="AC29" s="2">
        <f t="shared" si="4"/>
        <v>0</v>
      </c>
      <c r="AD29" s="2">
        <f t="shared" si="5"/>
        <v>0</v>
      </c>
      <c r="AE29" s="2">
        <f t="shared" si="6"/>
        <v>0</v>
      </c>
      <c r="AF29" s="2">
        <f t="shared" si="7"/>
        <v>0</v>
      </c>
      <c r="AG29" s="2">
        <f t="shared" si="9"/>
        <v>0</v>
      </c>
    </row>
    <row r="30" spans="1:33" x14ac:dyDescent="0.25">
      <c r="A30" t="s">
        <v>89</v>
      </c>
      <c r="B30" s="1" t="s">
        <v>89</v>
      </c>
      <c r="C30" s="2">
        <f>SUMIFS(CurrentMonthAgingData!$AN:$AN,CurrentMonthAgingData!$BC:$BC,"=1",CurrentMonthAgingData!$BA:$BA,"=Creve Coeur",CurrentMonthAgingData!$AV:$AV,""&amp;$A30&amp;"")</f>
        <v>0</v>
      </c>
      <c r="D30" s="2">
        <f>SUMIFS(CurrentMonthAgingData!$AN:$AN,CurrentMonthAgingData!$BC:$BC,"=2",CurrentMonthAgingData!$BA:$BA,"=Creve Coeur",CurrentMonthAgingData!$AV:$AV,""&amp;$A30&amp;"")</f>
        <v>0</v>
      </c>
      <c r="E30" s="2">
        <f>SUMIFS(CurrentMonthAgingData!$AN:$AN,CurrentMonthAgingData!$BC:$BC,"=3",CurrentMonthAgingData!$BA:$BA,"=Creve Coeur",CurrentMonthAgingData!$AV:$AV,""&amp;$A30&amp;"")</f>
        <v>0</v>
      </c>
      <c r="F30" s="2">
        <f>SUMIFS(CurrentMonthAgingData!$AN:$AN,CurrentMonthAgingData!$BC:$BC,"=4",CurrentMonthAgingData!$BA:$BA,"=Creve Coeur",CurrentMonthAgingData!$AV:$AV,""&amp;$A30&amp;"")</f>
        <v>0</v>
      </c>
      <c r="G30" s="2">
        <f>SUMIFS(CurrentMonthAgingData!$AN:$AN,CurrentMonthAgingData!$BC:$BC,"=5",CurrentMonthAgingData!$BA:$BA,"=Creve Coeur",CurrentMonthAgingData!$AV:$AV,""&amp;$A30&amp;"")</f>
        <v>0</v>
      </c>
      <c r="H30" s="2">
        <f>SUMIFS(CurrentMonthAgingData!$AN:$AN,CurrentMonthAgingData!$BC:$BC,"=6",CurrentMonthAgingData!$BA:$BA,"=Creve Coeur",CurrentMonthAgingData!$AV:$AV,""&amp;$A30&amp;"")</f>
        <v>0</v>
      </c>
      <c r="I30" s="2">
        <f>SUMIFS(CurrentMonthAgingData!$AN:$AN,CurrentMonthAgingData!$BC:$BC,"=7",CurrentMonthAgingData!$BA:$BA,"=Creve Coeur",CurrentMonthAgingData!$AV:$AV,""&amp;$A30&amp;"")</f>
        <v>0</v>
      </c>
      <c r="J30" s="2">
        <f>SUMIFS(CurrentMonthAgingData!$AN:$AN,CurrentMonthAgingData!$BC:$BC,"=8",CurrentMonthAgingData!$BA:$BA,"=Creve Coeur",CurrentMonthAgingData!$AV:$AV,""&amp;$A30&amp;"")</f>
        <v>0</v>
      </c>
      <c r="K30" s="2">
        <f t="shared" si="10"/>
        <v>0</v>
      </c>
      <c r="L30" s="31"/>
      <c r="M30" s="1" t="s">
        <v>89</v>
      </c>
      <c r="N30" s="2">
        <v>0</v>
      </c>
      <c r="O30" s="2">
        <v>0</v>
      </c>
      <c r="P30" s="2">
        <v>0</v>
      </c>
      <c r="Q30" s="2">
        <v>0</v>
      </c>
      <c r="R30" s="2">
        <v>0</v>
      </c>
      <c r="S30" s="2">
        <v>0</v>
      </c>
      <c r="T30" s="2">
        <v>0</v>
      </c>
      <c r="U30" s="2">
        <v>0</v>
      </c>
      <c r="V30" s="2">
        <f t="shared" si="8"/>
        <v>0</v>
      </c>
      <c r="X30" s="1" t="s">
        <v>89</v>
      </c>
      <c r="Y30" s="2">
        <f t="shared" si="0"/>
        <v>0</v>
      </c>
      <c r="Z30" s="2">
        <f t="shared" si="1"/>
        <v>0</v>
      </c>
      <c r="AA30" s="2">
        <f t="shared" si="2"/>
        <v>0</v>
      </c>
      <c r="AB30" s="2">
        <f t="shared" si="3"/>
        <v>0</v>
      </c>
      <c r="AC30" s="2">
        <f t="shared" si="4"/>
        <v>0</v>
      </c>
      <c r="AD30" s="2">
        <f t="shared" si="5"/>
        <v>0</v>
      </c>
      <c r="AE30" s="2">
        <f t="shared" si="6"/>
        <v>0</v>
      </c>
      <c r="AF30" s="2">
        <f t="shared" si="7"/>
        <v>0</v>
      </c>
      <c r="AG30" s="2">
        <f t="shared" si="9"/>
        <v>0</v>
      </c>
    </row>
    <row r="31" spans="1:33" x14ac:dyDescent="0.25">
      <c r="A31" t="s">
        <v>5</v>
      </c>
      <c r="B31" s="1" t="s">
        <v>5</v>
      </c>
      <c r="C31" s="137">
        <f>SUMIFS(CurrentMonthAgingData!$AN:$AN,CurrentMonthAgingData!$BC:$BC,"=1",CurrentMonthAgingData!$BA:$BA,"=Creve Coeur",CurrentMonthAgingData!$AV:$AV,""&amp;$A31&amp;"")</f>
        <v>0</v>
      </c>
      <c r="D31" s="137">
        <f>SUMIFS(CurrentMonthAgingData!$AN:$AN,CurrentMonthAgingData!$BC:$BC,"=2",CurrentMonthAgingData!$BA:$BA,"=Creve Coeur",CurrentMonthAgingData!$AV:$AV,""&amp;$A31&amp;"")</f>
        <v>0</v>
      </c>
      <c r="E31" s="137">
        <f>SUMIFS(CurrentMonthAgingData!$AN:$AN,CurrentMonthAgingData!$BC:$BC,"=3",CurrentMonthAgingData!$BA:$BA,"=Creve Coeur",CurrentMonthAgingData!$AV:$AV,""&amp;$A31&amp;"")</f>
        <v>0</v>
      </c>
      <c r="F31" s="137">
        <f>SUMIFS(CurrentMonthAgingData!$AN:$AN,CurrentMonthAgingData!$BC:$BC,"=4",CurrentMonthAgingData!$BA:$BA,"=Creve Coeur",CurrentMonthAgingData!$AV:$AV,""&amp;$A31&amp;"")</f>
        <v>0</v>
      </c>
      <c r="G31" s="137">
        <f>SUMIFS(CurrentMonthAgingData!$AN:$AN,CurrentMonthAgingData!$BC:$BC,"=5",CurrentMonthAgingData!$BA:$BA,"=Creve Coeur",CurrentMonthAgingData!$AV:$AV,""&amp;$A31&amp;"")</f>
        <v>0</v>
      </c>
      <c r="H31" s="137">
        <f>SUMIFS(CurrentMonthAgingData!$AN:$AN,CurrentMonthAgingData!$BC:$BC,"=6",CurrentMonthAgingData!$BA:$BA,"=Creve Coeur",CurrentMonthAgingData!$AV:$AV,""&amp;$A31&amp;"")</f>
        <v>0</v>
      </c>
      <c r="I31" s="137">
        <f>SUMIFS(CurrentMonthAgingData!$AN:$AN,CurrentMonthAgingData!$BC:$BC,"=7",CurrentMonthAgingData!$BA:$BA,"=Creve Coeur",CurrentMonthAgingData!$AV:$AV,""&amp;$A31&amp;"")</f>
        <v>0</v>
      </c>
      <c r="J31" s="137">
        <f>SUMIFS(CurrentMonthAgingData!$AN:$AN,CurrentMonthAgingData!$BC:$BC,"=8",CurrentMonthAgingData!$BA:$BA,"=Creve Coeur",CurrentMonthAgingData!$AV:$AV,""&amp;$A31&amp;"")</f>
        <v>0</v>
      </c>
      <c r="K31" s="2">
        <f>SUM(C31:J31)</f>
        <v>0</v>
      </c>
      <c r="L31" s="31"/>
      <c r="M31" s="1" t="s">
        <v>5</v>
      </c>
      <c r="N31" s="137">
        <v>0</v>
      </c>
      <c r="O31" s="137">
        <v>0</v>
      </c>
      <c r="P31" s="137">
        <v>0</v>
      </c>
      <c r="Q31" s="137">
        <v>0</v>
      </c>
      <c r="R31" s="137">
        <v>0</v>
      </c>
      <c r="S31" s="137">
        <v>0</v>
      </c>
      <c r="T31" s="137">
        <v>0</v>
      </c>
      <c r="U31" s="137">
        <v>0</v>
      </c>
      <c r="V31" s="2">
        <f t="shared" si="8"/>
        <v>0</v>
      </c>
      <c r="X31" s="1" t="s">
        <v>5</v>
      </c>
      <c r="Y31" s="2">
        <f t="shared" si="0"/>
        <v>0</v>
      </c>
      <c r="Z31" s="2">
        <f t="shared" si="1"/>
        <v>0</v>
      </c>
      <c r="AA31" s="2">
        <f t="shared" si="2"/>
        <v>0</v>
      </c>
      <c r="AB31" s="2">
        <f t="shared" si="3"/>
        <v>0</v>
      </c>
      <c r="AC31" s="2">
        <f t="shared" si="4"/>
        <v>0</v>
      </c>
      <c r="AD31" s="2">
        <f t="shared" si="5"/>
        <v>0</v>
      </c>
      <c r="AE31" s="2">
        <f t="shared" si="6"/>
        <v>0</v>
      </c>
      <c r="AF31" s="2">
        <f t="shared" si="7"/>
        <v>0</v>
      </c>
      <c r="AG31" s="2">
        <f t="shared" si="9"/>
        <v>0</v>
      </c>
    </row>
    <row r="32" spans="1:33" x14ac:dyDescent="0.25">
      <c r="A32" t="s">
        <v>84</v>
      </c>
      <c r="B32" s="1" t="s">
        <v>84</v>
      </c>
      <c r="C32" s="137">
        <f>SUMIFS(CurrentMonthAgingData!$AN:$AN,CurrentMonthAgingData!$BC:$BC,"=1",CurrentMonthAgingData!$BA:$BA,"=Creve Coeur",CurrentMonthAgingData!$AV:$AV,""&amp;$A32&amp;"")</f>
        <v>0</v>
      </c>
      <c r="D32" s="137">
        <f>SUMIFS(CurrentMonthAgingData!$AN:$AN,CurrentMonthAgingData!$BC:$BC,"=2",CurrentMonthAgingData!$BA:$BA,"=Creve Coeur",CurrentMonthAgingData!$AV:$AV,""&amp;$A32&amp;"")</f>
        <v>0</v>
      </c>
      <c r="E32" s="137">
        <f>SUMIFS(CurrentMonthAgingData!$AN:$AN,CurrentMonthAgingData!$BC:$BC,"=3",CurrentMonthAgingData!$BA:$BA,"=Creve Coeur",CurrentMonthAgingData!$AV:$AV,""&amp;$A32&amp;"")</f>
        <v>0</v>
      </c>
      <c r="F32" s="137">
        <f>SUMIFS(CurrentMonthAgingData!$AN:$AN,CurrentMonthAgingData!$BC:$BC,"=4",CurrentMonthAgingData!$BA:$BA,"=Creve Coeur",CurrentMonthAgingData!$AV:$AV,""&amp;$A32&amp;"")</f>
        <v>0</v>
      </c>
      <c r="G32" s="137">
        <f>SUMIFS(CurrentMonthAgingData!$AN:$AN,CurrentMonthAgingData!$BC:$BC,"=5",CurrentMonthAgingData!$BA:$BA,"=Creve Coeur",CurrentMonthAgingData!$AV:$AV,""&amp;$A32&amp;"")</f>
        <v>0</v>
      </c>
      <c r="H32" s="137">
        <f>SUMIFS(CurrentMonthAgingData!$AN:$AN,CurrentMonthAgingData!$BC:$BC,"=6",CurrentMonthAgingData!$BA:$BA,"=Creve Coeur",CurrentMonthAgingData!$AV:$AV,""&amp;$A32&amp;"")</f>
        <v>0</v>
      </c>
      <c r="I32" s="137">
        <f>SUMIFS(CurrentMonthAgingData!$AN:$AN,CurrentMonthAgingData!$BC:$BC,"=7",CurrentMonthAgingData!$BA:$BA,"=Creve Coeur",CurrentMonthAgingData!$AV:$AV,""&amp;$A32&amp;"")</f>
        <v>0</v>
      </c>
      <c r="J32" s="137">
        <f>SUMIFS(CurrentMonthAgingData!$AN:$AN,CurrentMonthAgingData!$BC:$BC,"=8",CurrentMonthAgingData!$BA:$BA,"=Creve Coeur",CurrentMonthAgingData!$AV:$AV,""&amp;$A32&amp;"")</f>
        <v>15</v>
      </c>
      <c r="K32" s="2">
        <f t="shared" si="10"/>
        <v>15</v>
      </c>
      <c r="L32" s="31"/>
      <c r="M32" s="1" t="s">
        <v>84</v>
      </c>
      <c r="N32" s="137">
        <v>0</v>
      </c>
      <c r="O32" s="137">
        <v>0</v>
      </c>
      <c r="P32" s="137">
        <v>0</v>
      </c>
      <c r="Q32" s="137">
        <v>0</v>
      </c>
      <c r="R32" s="137">
        <v>0</v>
      </c>
      <c r="S32" s="137">
        <v>0</v>
      </c>
      <c r="T32" s="137">
        <v>0</v>
      </c>
      <c r="U32" s="137">
        <v>15</v>
      </c>
      <c r="V32" s="2">
        <f t="shared" si="8"/>
        <v>15</v>
      </c>
      <c r="X32" s="1" t="s">
        <v>84</v>
      </c>
      <c r="Y32" s="2">
        <f t="shared" si="0"/>
        <v>0</v>
      </c>
      <c r="Z32" s="2">
        <f t="shared" si="1"/>
        <v>0</v>
      </c>
      <c r="AA32" s="2">
        <f t="shared" si="2"/>
        <v>0</v>
      </c>
      <c r="AB32" s="2">
        <f t="shared" si="3"/>
        <v>0</v>
      </c>
      <c r="AC32" s="2">
        <f t="shared" si="4"/>
        <v>0</v>
      </c>
      <c r="AD32" s="2">
        <f t="shared" si="5"/>
        <v>0</v>
      </c>
      <c r="AE32" s="2">
        <f t="shared" si="6"/>
        <v>0</v>
      </c>
      <c r="AF32" s="2">
        <f t="shared" si="7"/>
        <v>0</v>
      </c>
      <c r="AG32" s="2">
        <f t="shared" si="9"/>
        <v>0</v>
      </c>
    </row>
    <row r="33" spans="1:33" x14ac:dyDescent="0.25">
      <c r="A33" t="s">
        <v>4</v>
      </c>
      <c r="B33" s="1" t="s">
        <v>4</v>
      </c>
      <c r="C33" s="137">
        <f>SUMIFS(CurrentMonthAgingData!$AN:$AN,CurrentMonthAgingData!$BC:$BC,"=1",CurrentMonthAgingData!$BA:$BA,"=Creve Coeur",CurrentMonthAgingData!$AV:$AV,""&amp;$A33&amp;"")</f>
        <v>0</v>
      </c>
      <c r="D33" s="137">
        <f>SUMIFS(CurrentMonthAgingData!$AN:$AN,CurrentMonthAgingData!$BC:$BC,"=2",CurrentMonthAgingData!$BA:$BA,"=Creve Coeur",CurrentMonthAgingData!$AV:$AV,""&amp;$A33&amp;"")</f>
        <v>0</v>
      </c>
      <c r="E33" s="137">
        <f>SUMIFS(CurrentMonthAgingData!$AN:$AN,CurrentMonthAgingData!$BC:$BC,"=3",CurrentMonthAgingData!$BA:$BA,"=Creve Coeur",CurrentMonthAgingData!$AV:$AV,""&amp;$A33&amp;"")</f>
        <v>0</v>
      </c>
      <c r="F33" s="137">
        <f>SUMIFS(CurrentMonthAgingData!$AN:$AN,CurrentMonthAgingData!$BC:$BC,"=4",CurrentMonthAgingData!$BA:$BA,"=Creve Coeur",CurrentMonthAgingData!$AV:$AV,""&amp;$A33&amp;"")</f>
        <v>0</v>
      </c>
      <c r="G33" s="137">
        <f>SUMIFS(CurrentMonthAgingData!$AN:$AN,CurrentMonthAgingData!$BC:$BC,"=5",CurrentMonthAgingData!$BA:$BA,"=Creve Coeur",CurrentMonthAgingData!$AV:$AV,""&amp;$A33&amp;"")</f>
        <v>0</v>
      </c>
      <c r="H33" s="137">
        <f>SUMIFS(CurrentMonthAgingData!$AN:$AN,CurrentMonthAgingData!$BC:$BC,"=6",CurrentMonthAgingData!$BA:$BA,"=Creve Coeur",CurrentMonthAgingData!$AV:$AV,""&amp;$A33&amp;"")</f>
        <v>0</v>
      </c>
      <c r="I33" s="137">
        <f>SUMIFS(CurrentMonthAgingData!$AN:$AN,CurrentMonthAgingData!$BC:$BC,"=7",CurrentMonthAgingData!$BA:$BA,"=Creve Coeur",CurrentMonthAgingData!$AV:$AV,""&amp;$A33&amp;"")</f>
        <v>0</v>
      </c>
      <c r="J33" s="137">
        <f>SUMIFS(CurrentMonthAgingData!$AN:$AN,CurrentMonthAgingData!$BC:$BC,"=8",CurrentMonthAgingData!$BA:$BA,"=Creve Coeur",CurrentMonthAgingData!$AV:$AV,""&amp;$A33&amp;"")</f>
        <v>-101.52000000000001</v>
      </c>
      <c r="K33" s="2">
        <f t="shared" si="10"/>
        <v>-101.52000000000001</v>
      </c>
      <c r="L33" s="31"/>
      <c r="M33" s="1" t="s">
        <v>4</v>
      </c>
      <c r="N33" s="137">
        <v>0</v>
      </c>
      <c r="O33" s="137">
        <v>0</v>
      </c>
      <c r="P33" s="137">
        <v>0</v>
      </c>
      <c r="Q33" s="137">
        <v>0</v>
      </c>
      <c r="R33" s="137">
        <v>0</v>
      </c>
      <c r="S33" s="137">
        <v>0</v>
      </c>
      <c r="T33" s="137">
        <v>0</v>
      </c>
      <c r="U33" s="137">
        <v>-101.52</v>
      </c>
      <c r="V33" s="2">
        <f t="shared" si="8"/>
        <v>-101.52</v>
      </c>
      <c r="X33" s="1" t="s">
        <v>4</v>
      </c>
      <c r="Y33" s="2">
        <f t="shared" si="0"/>
        <v>0</v>
      </c>
      <c r="Z33" s="2">
        <f t="shared" si="1"/>
        <v>0</v>
      </c>
      <c r="AA33" s="2">
        <f t="shared" si="2"/>
        <v>0</v>
      </c>
      <c r="AB33" s="2">
        <f t="shared" si="3"/>
        <v>0</v>
      </c>
      <c r="AC33" s="2">
        <f t="shared" si="4"/>
        <v>0</v>
      </c>
      <c r="AD33" s="2">
        <f t="shared" si="5"/>
        <v>0</v>
      </c>
      <c r="AE33" s="2">
        <f t="shared" si="6"/>
        <v>0</v>
      </c>
      <c r="AF33" s="2">
        <f t="shared" si="7"/>
        <v>0</v>
      </c>
      <c r="AG33" s="2">
        <f t="shared" si="9"/>
        <v>0</v>
      </c>
    </row>
    <row r="34" spans="1:33" x14ac:dyDescent="0.25">
      <c r="A34" t="s">
        <v>51</v>
      </c>
      <c r="B34" s="1" t="s">
        <v>51</v>
      </c>
      <c r="C34" s="137">
        <f>SUMIFS(CurrentMonthAgingData!$AN:$AN,CurrentMonthAgingData!$BC:$BC,"=1",CurrentMonthAgingData!$BA:$BA,"=Creve Coeur",CurrentMonthAgingData!$AV:$AV,""&amp;$A34&amp;"")</f>
        <v>0</v>
      </c>
      <c r="D34" s="137">
        <f>SUMIFS(CurrentMonthAgingData!$AN:$AN,CurrentMonthAgingData!$BC:$BC,"=2",CurrentMonthAgingData!$BA:$BA,"=Creve Coeur",CurrentMonthAgingData!$AV:$AV,""&amp;$A34&amp;"")</f>
        <v>0</v>
      </c>
      <c r="E34" s="137">
        <f>SUMIFS(CurrentMonthAgingData!$AN:$AN,CurrentMonthAgingData!$BC:$BC,"=3",CurrentMonthAgingData!$BA:$BA,"=Creve Coeur",CurrentMonthAgingData!$AV:$AV,""&amp;$A34&amp;"")</f>
        <v>0</v>
      </c>
      <c r="F34" s="137">
        <f>SUMIFS(CurrentMonthAgingData!$AN:$AN,CurrentMonthAgingData!$BC:$BC,"=4",CurrentMonthAgingData!$BA:$BA,"=Creve Coeur",CurrentMonthAgingData!$AV:$AV,""&amp;$A34&amp;"")</f>
        <v>0</v>
      </c>
      <c r="G34" s="137">
        <f>SUMIFS(CurrentMonthAgingData!$AN:$AN,CurrentMonthAgingData!$BC:$BC,"=5",CurrentMonthAgingData!$BA:$BA,"=Creve Coeur",CurrentMonthAgingData!$AV:$AV,""&amp;$A34&amp;"")</f>
        <v>0</v>
      </c>
      <c r="H34" s="137">
        <f>SUMIFS(CurrentMonthAgingData!$AN:$AN,CurrentMonthAgingData!$BC:$BC,"=6",CurrentMonthAgingData!$BA:$BA,"=Creve Coeur",CurrentMonthAgingData!$AV:$AV,""&amp;$A34&amp;"")</f>
        <v>0</v>
      </c>
      <c r="I34" s="137">
        <f>SUMIFS(CurrentMonthAgingData!$AN:$AN,CurrentMonthAgingData!$BC:$BC,"=7",CurrentMonthAgingData!$BA:$BA,"=Creve Coeur",CurrentMonthAgingData!$AV:$AV,""&amp;$A34&amp;"")</f>
        <v>0</v>
      </c>
      <c r="J34" s="137">
        <f>SUMIFS(CurrentMonthAgingData!$AN:$AN,CurrentMonthAgingData!$BC:$BC,"=8",CurrentMonthAgingData!$BA:$BA,"=Creve Coeur",CurrentMonthAgingData!$AV:$AV,""&amp;$A34&amp;"")</f>
        <v>0</v>
      </c>
      <c r="K34" s="2">
        <f t="shared" si="10"/>
        <v>0</v>
      </c>
      <c r="L34" s="31"/>
      <c r="M34" s="1" t="s">
        <v>51</v>
      </c>
      <c r="N34" s="137">
        <v>0</v>
      </c>
      <c r="O34" s="137">
        <v>0</v>
      </c>
      <c r="P34" s="137">
        <v>0</v>
      </c>
      <c r="Q34" s="137">
        <v>0</v>
      </c>
      <c r="R34" s="137">
        <v>0</v>
      </c>
      <c r="S34" s="137">
        <v>0</v>
      </c>
      <c r="T34" s="137">
        <v>0</v>
      </c>
      <c r="U34" s="137">
        <v>0</v>
      </c>
      <c r="V34" s="2">
        <f t="shared" si="8"/>
        <v>0</v>
      </c>
      <c r="X34" s="1" t="s">
        <v>51</v>
      </c>
      <c r="Y34" s="2">
        <f t="shared" si="0"/>
        <v>0</v>
      </c>
      <c r="Z34" s="2">
        <f t="shared" si="1"/>
        <v>0</v>
      </c>
      <c r="AA34" s="2">
        <f t="shared" si="2"/>
        <v>0</v>
      </c>
      <c r="AB34" s="2">
        <f t="shared" si="3"/>
        <v>0</v>
      </c>
      <c r="AC34" s="2">
        <f t="shared" si="4"/>
        <v>0</v>
      </c>
      <c r="AD34" s="2">
        <f t="shared" si="5"/>
        <v>0</v>
      </c>
      <c r="AE34" s="2">
        <f t="shared" si="6"/>
        <v>0</v>
      </c>
      <c r="AF34" s="2">
        <f t="shared" si="7"/>
        <v>0</v>
      </c>
      <c r="AG34" s="2">
        <f t="shared" si="9"/>
        <v>0</v>
      </c>
    </row>
    <row r="35" spans="1:33" x14ac:dyDescent="0.25">
      <c r="A35" t="s">
        <v>87</v>
      </c>
      <c r="B35" s="1" t="s">
        <v>87</v>
      </c>
      <c r="C35" s="2">
        <f>SUMIFS(CurrentMonthAgingData!$AN:$AN,CurrentMonthAgingData!$BC:$BC,"=1",CurrentMonthAgingData!$BA:$BA,"=Creve Coeur",CurrentMonthAgingData!$AV:$AV,""&amp;$A35&amp;"")</f>
        <v>0</v>
      </c>
      <c r="D35" s="2">
        <f>SUMIFS(CurrentMonthAgingData!$AN:$AN,CurrentMonthAgingData!$BC:$BC,"=2",CurrentMonthAgingData!$BA:$BA,"=Creve Coeur",CurrentMonthAgingData!$AV:$AV,""&amp;$A35&amp;"")</f>
        <v>0</v>
      </c>
      <c r="E35" s="2">
        <f>SUMIFS(CurrentMonthAgingData!$AN:$AN,CurrentMonthAgingData!$BC:$BC,"=3",CurrentMonthAgingData!$BA:$BA,"=Creve Coeur",CurrentMonthAgingData!$AV:$AV,""&amp;$A35&amp;"")</f>
        <v>0</v>
      </c>
      <c r="F35" s="137">
        <f>SUMIFS(CurrentMonthAgingData!$AN:$AN,CurrentMonthAgingData!$BC:$BC,"=4",CurrentMonthAgingData!$BA:$BA,"=Creve Coeur",CurrentMonthAgingData!$AV:$AV,""&amp;$A35&amp;"")</f>
        <v>0</v>
      </c>
      <c r="G35" s="137">
        <f>SUMIFS(CurrentMonthAgingData!$AN:$AN,CurrentMonthAgingData!$BC:$BC,"=5",CurrentMonthAgingData!$BA:$BA,"=Creve Coeur",CurrentMonthAgingData!$AV:$AV,""&amp;$A35&amp;"")</f>
        <v>0</v>
      </c>
      <c r="H35" s="137">
        <f>SUMIFS(CurrentMonthAgingData!$AN:$AN,CurrentMonthAgingData!$BC:$BC,"=6",CurrentMonthAgingData!$BA:$BA,"=Creve Coeur",CurrentMonthAgingData!$AV:$AV,""&amp;$A35&amp;"")</f>
        <v>0</v>
      </c>
      <c r="I35" s="137">
        <f>SUMIFS(CurrentMonthAgingData!$AN:$AN,CurrentMonthAgingData!$BC:$BC,"=7",CurrentMonthAgingData!$BA:$BA,"=Creve Coeur",CurrentMonthAgingData!$AV:$AV,""&amp;$A35&amp;"")</f>
        <v>0</v>
      </c>
      <c r="J35" s="137">
        <f>SUMIFS(CurrentMonthAgingData!$AN:$AN,CurrentMonthAgingData!$BC:$BC,"=8",CurrentMonthAgingData!$BA:$BA,"=Creve Coeur",CurrentMonthAgingData!$AV:$AV,""&amp;$A35&amp;"")</f>
        <v>0</v>
      </c>
      <c r="K35" s="2">
        <f t="shared" si="10"/>
        <v>0</v>
      </c>
      <c r="L35" s="31"/>
      <c r="M35" s="1" t="s">
        <v>87</v>
      </c>
      <c r="N35" s="2">
        <v>0</v>
      </c>
      <c r="O35" s="2">
        <v>0</v>
      </c>
      <c r="P35" s="2">
        <v>0</v>
      </c>
      <c r="Q35" s="137">
        <v>0</v>
      </c>
      <c r="R35" s="137">
        <v>0</v>
      </c>
      <c r="S35" s="137">
        <v>0</v>
      </c>
      <c r="T35" s="137">
        <v>0</v>
      </c>
      <c r="U35" s="137">
        <v>0</v>
      </c>
      <c r="V35" s="2">
        <f t="shared" si="8"/>
        <v>0</v>
      </c>
      <c r="X35" s="1" t="s">
        <v>87</v>
      </c>
      <c r="Y35" s="2">
        <f t="shared" si="0"/>
        <v>0</v>
      </c>
      <c r="Z35" s="2">
        <f t="shared" si="1"/>
        <v>0</v>
      </c>
      <c r="AA35" s="2">
        <f t="shared" si="2"/>
        <v>0</v>
      </c>
      <c r="AB35" s="2">
        <f t="shared" si="3"/>
        <v>0</v>
      </c>
      <c r="AC35" s="2">
        <f t="shared" si="4"/>
        <v>0</v>
      </c>
      <c r="AD35" s="2">
        <f t="shared" si="5"/>
        <v>0</v>
      </c>
      <c r="AE35" s="2">
        <f t="shared" si="6"/>
        <v>0</v>
      </c>
      <c r="AF35" s="2">
        <f t="shared" si="7"/>
        <v>0</v>
      </c>
      <c r="AG35" s="2">
        <f t="shared" si="9"/>
        <v>0</v>
      </c>
    </row>
    <row r="36" spans="1:33" x14ac:dyDescent="0.25">
      <c r="A36" t="s">
        <v>85</v>
      </c>
      <c r="B36" s="1" t="s">
        <v>85</v>
      </c>
      <c r="C36" s="2">
        <f>SUMIFS(CurrentMonthAgingData!$AN:$AN,CurrentMonthAgingData!$BC:$BC,"=1",CurrentMonthAgingData!$BA:$BA,"=Creve Coeur",CurrentMonthAgingData!$AV:$AV,""&amp;$A36&amp;"")</f>
        <v>0</v>
      </c>
      <c r="D36" s="2">
        <f>SUMIFS(CurrentMonthAgingData!$AN:$AN,CurrentMonthAgingData!$BC:$BC,"=2",CurrentMonthAgingData!$BA:$BA,"=Creve Coeur",CurrentMonthAgingData!$AV:$AV,""&amp;$A36&amp;"")</f>
        <v>0</v>
      </c>
      <c r="E36" s="2">
        <f>SUMIFS(CurrentMonthAgingData!$AN:$AN,CurrentMonthAgingData!$BC:$BC,"=3",CurrentMonthAgingData!$BA:$BA,"=Creve Coeur",CurrentMonthAgingData!$AV:$AV,""&amp;$A36&amp;"")</f>
        <v>0</v>
      </c>
      <c r="F36" s="2">
        <f>SUMIFS(CurrentMonthAgingData!$AN:$AN,CurrentMonthAgingData!$BC:$BC,"=4",CurrentMonthAgingData!$BA:$BA,"=Creve Coeur",CurrentMonthAgingData!$AV:$AV,""&amp;$A36&amp;"")</f>
        <v>0</v>
      </c>
      <c r="G36" s="2">
        <f>SUMIFS(CurrentMonthAgingData!$AN:$AN,CurrentMonthAgingData!$BC:$BC,"=5",CurrentMonthAgingData!$BA:$BA,"=Creve Coeur",CurrentMonthAgingData!$AV:$AV,""&amp;$A36&amp;"")</f>
        <v>0</v>
      </c>
      <c r="H36" s="2">
        <f>SUMIFS(CurrentMonthAgingData!$AN:$AN,CurrentMonthAgingData!$BC:$BC,"=6",CurrentMonthAgingData!$BA:$BA,"=Creve Coeur",CurrentMonthAgingData!$AV:$AV,""&amp;$A36&amp;"")</f>
        <v>0</v>
      </c>
      <c r="I36" s="2">
        <f>SUMIFS(CurrentMonthAgingData!$AN:$AN,CurrentMonthAgingData!$BC:$BC,"=7",CurrentMonthAgingData!$BA:$BA,"=Creve Coeur",CurrentMonthAgingData!$AV:$AV,""&amp;$A36&amp;"")</f>
        <v>0</v>
      </c>
      <c r="J36" s="2">
        <f>SUMIFS(CurrentMonthAgingData!$AN:$AN,CurrentMonthAgingData!$BC:$BC,"=8",CurrentMonthAgingData!$BA:$BA,"=Creve Coeur",CurrentMonthAgingData!$AV:$AV,""&amp;$A36&amp;"")</f>
        <v>0</v>
      </c>
      <c r="K36" s="2">
        <f t="shared" si="10"/>
        <v>0</v>
      </c>
      <c r="L36" s="31"/>
      <c r="M36" s="1" t="s">
        <v>85</v>
      </c>
      <c r="N36" s="2">
        <v>0</v>
      </c>
      <c r="O36" s="2">
        <v>0</v>
      </c>
      <c r="P36" s="2">
        <v>0</v>
      </c>
      <c r="Q36" s="2">
        <v>0</v>
      </c>
      <c r="R36" s="2">
        <v>0</v>
      </c>
      <c r="S36" s="2">
        <v>0</v>
      </c>
      <c r="T36" s="2">
        <v>0</v>
      </c>
      <c r="U36" s="2">
        <v>0</v>
      </c>
      <c r="V36" s="2">
        <f t="shared" si="8"/>
        <v>0</v>
      </c>
      <c r="X36" s="1" t="s">
        <v>85</v>
      </c>
      <c r="Y36" s="2">
        <f t="shared" si="0"/>
        <v>0</v>
      </c>
      <c r="Z36" s="2">
        <f t="shared" si="1"/>
        <v>0</v>
      </c>
      <c r="AA36" s="2">
        <f t="shared" si="2"/>
        <v>0</v>
      </c>
      <c r="AB36" s="2">
        <f t="shared" si="3"/>
        <v>0</v>
      </c>
      <c r="AC36" s="2">
        <f t="shared" si="4"/>
        <v>0</v>
      </c>
      <c r="AD36" s="2">
        <f t="shared" si="5"/>
        <v>0</v>
      </c>
      <c r="AE36" s="2">
        <f t="shared" si="6"/>
        <v>0</v>
      </c>
      <c r="AF36" s="2">
        <f t="shared" si="7"/>
        <v>0</v>
      </c>
      <c r="AG36" s="2">
        <f t="shared" si="9"/>
        <v>0</v>
      </c>
    </row>
    <row r="37" spans="1:33" x14ac:dyDescent="0.25">
      <c r="A37" t="s">
        <v>338</v>
      </c>
      <c r="B37" s="1" t="s">
        <v>2</v>
      </c>
      <c r="C37" s="137">
        <f>SUMIFS(CurrentMonthAgingData!$AN:$AN,CurrentMonthAgingData!$BC:$BC,"=1",CurrentMonthAgingData!$BA:$BA,"=Creve Coeur",CurrentMonthAgingData!$AV:$AV,""&amp;$A37&amp;"")</f>
        <v>-12078.84</v>
      </c>
      <c r="D37" s="137">
        <f>SUMIFS(CurrentMonthAgingData!$AN:$AN,CurrentMonthAgingData!$BC:$BC,"=2",CurrentMonthAgingData!$BA:$BA,"=Creve Coeur",CurrentMonthAgingData!$AV:$AV,""&amp;$A37&amp;"")</f>
        <v>0</v>
      </c>
      <c r="E37" s="137">
        <f>SUMIFS(CurrentMonthAgingData!$AN:$AN,CurrentMonthAgingData!$BC:$BC,"=3",CurrentMonthAgingData!$BA:$BA,"=Creve Coeur",CurrentMonthAgingData!$AV:$AV,""&amp;$A37&amp;"")</f>
        <v>0</v>
      </c>
      <c r="F37" s="137">
        <f>SUMIFS(CurrentMonthAgingData!$AN:$AN,CurrentMonthAgingData!$BC:$BC,"=4",CurrentMonthAgingData!$BA:$BA,"=Creve Coeur",CurrentMonthAgingData!$AV:$AV,""&amp;$A37&amp;"")</f>
        <v>0</v>
      </c>
      <c r="G37" s="137">
        <f>SUMIFS(CurrentMonthAgingData!$AN:$AN,CurrentMonthAgingData!$BC:$BC,"=5",CurrentMonthAgingData!$BA:$BA,"=Creve Coeur",CurrentMonthAgingData!$AV:$AV,""&amp;$A37&amp;"")</f>
        <v>0</v>
      </c>
      <c r="H37" s="137">
        <f>SUMIFS(CurrentMonthAgingData!$AN:$AN,CurrentMonthAgingData!$BC:$BC,"=6",CurrentMonthAgingData!$BA:$BA,"=Creve Coeur",CurrentMonthAgingData!$AV:$AV,""&amp;$A37&amp;"")</f>
        <v>0</v>
      </c>
      <c r="I37" s="137">
        <f>SUMIFS(CurrentMonthAgingData!$AN:$AN,CurrentMonthAgingData!$BC:$BC,"=7",CurrentMonthAgingData!$BA:$BA,"=Creve Coeur",CurrentMonthAgingData!$AV:$AV,""&amp;$A37&amp;"")</f>
        <v>0</v>
      </c>
      <c r="J37" s="137">
        <f>SUMIFS(CurrentMonthAgingData!$AN:$AN,CurrentMonthAgingData!$BC:$BC,"=8",CurrentMonthAgingData!$BA:$BA,"=Creve Coeur",CurrentMonthAgingData!$AV:$AV,""&amp;$A37&amp;"")</f>
        <v>-238.08999999999997</v>
      </c>
      <c r="K37" s="2">
        <f t="shared" si="10"/>
        <v>-12316.93</v>
      </c>
      <c r="L37" s="31"/>
      <c r="M37" s="1" t="s">
        <v>2</v>
      </c>
      <c r="N37" s="137">
        <v>-12078.839999999998</v>
      </c>
      <c r="O37" s="137">
        <v>0</v>
      </c>
      <c r="P37" s="137">
        <v>0</v>
      </c>
      <c r="Q37" s="137">
        <v>0</v>
      </c>
      <c r="R37" s="137">
        <v>0</v>
      </c>
      <c r="S37" s="137">
        <v>0</v>
      </c>
      <c r="T37" s="137">
        <v>0</v>
      </c>
      <c r="U37" s="137">
        <v>-238.08999999999997</v>
      </c>
      <c r="V37" s="2">
        <f t="shared" si="8"/>
        <v>-12316.929999999998</v>
      </c>
      <c r="X37" s="1" t="s">
        <v>2</v>
      </c>
      <c r="Y37" s="2">
        <f t="shared" si="0"/>
        <v>0</v>
      </c>
      <c r="Z37" s="2">
        <f t="shared" si="1"/>
        <v>0</v>
      </c>
      <c r="AA37" s="2">
        <f t="shared" si="2"/>
        <v>0</v>
      </c>
      <c r="AB37" s="2">
        <f t="shared" si="3"/>
        <v>0</v>
      </c>
      <c r="AC37" s="2">
        <f t="shared" si="4"/>
        <v>0</v>
      </c>
      <c r="AD37" s="2">
        <f t="shared" si="5"/>
        <v>0</v>
      </c>
      <c r="AE37" s="2">
        <f t="shared" si="6"/>
        <v>0</v>
      </c>
      <c r="AF37" s="2">
        <f t="shared" si="7"/>
        <v>0</v>
      </c>
      <c r="AG37" s="2">
        <f t="shared" si="9"/>
        <v>0</v>
      </c>
    </row>
    <row r="38" spans="1:33" x14ac:dyDescent="0.25">
      <c r="A38" t="s">
        <v>86</v>
      </c>
      <c r="B38" s="1" t="s">
        <v>86</v>
      </c>
      <c r="C38" s="137">
        <f>SUMIFS(CurrentMonthAgingData!$AN:$AN,CurrentMonthAgingData!$BC:$BC,"=1",CurrentMonthAgingData!$BA:$BA,"=Creve Coeur",CurrentMonthAgingData!$AV:$AV,""&amp;$A38&amp;"")</f>
        <v>0</v>
      </c>
      <c r="D38" s="137">
        <f>SUMIFS(CurrentMonthAgingData!$AN:$AN,CurrentMonthAgingData!$BC:$BC,"=2",CurrentMonthAgingData!$BA:$BA,"=Creve Coeur",CurrentMonthAgingData!$AV:$AV,""&amp;$A38&amp;"")</f>
        <v>0</v>
      </c>
      <c r="E38" s="137">
        <f>SUMIFS(CurrentMonthAgingData!$AN:$AN,CurrentMonthAgingData!$BC:$BC,"=3",CurrentMonthAgingData!$BA:$BA,"=Creve Coeur",CurrentMonthAgingData!$AV:$AV,""&amp;$A38&amp;"")</f>
        <v>0</v>
      </c>
      <c r="F38" s="137">
        <f>SUMIFS(CurrentMonthAgingData!$AN:$AN,CurrentMonthAgingData!$BC:$BC,"=4",CurrentMonthAgingData!$BA:$BA,"=Creve Coeur",CurrentMonthAgingData!$AV:$AV,""&amp;$A38&amp;"")</f>
        <v>0</v>
      </c>
      <c r="G38" s="137">
        <f>SUMIFS(CurrentMonthAgingData!$AN:$AN,CurrentMonthAgingData!$BC:$BC,"=5",CurrentMonthAgingData!$BA:$BA,"=Creve Coeur",CurrentMonthAgingData!$AV:$AV,""&amp;$A38&amp;"")</f>
        <v>0</v>
      </c>
      <c r="H38" s="137">
        <f>SUMIFS(CurrentMonthAgingData!$AN:$AN,CurrentMonthAgingData!$BC:$BC,"=6",CurrentMonthAgingData!$BA:$BA,"=Creve Coeur",CurrentMonthAgingData!$AV:$AV,""&amp;$A38&amp;"")</f>
        <v>0</v>
      </c>
      <c r="I38" s="137">
        <f>SUMIFS(CurrentMonthAgingData!$AN:$AN,CurrentMonthAgingData!$BC:$BC,"=7",CurrentMonthAgingData!$BA:$BA,"=Creve Coeur",CurrentMonthAgingData!$AV:$AV,""&amp;$A38&amp;"")</f>
        <v>0</v>
      </c>
      <c r="J38" s="137">
        <f>SUMIFS(CurrentMonthAgingData!$AN:$AN,CurrentMonthAgingData!$BC:$BC,"=8",CurrentMonthAgingData!$BA:$BA,"=Creve Coeur",CurrentMonthAgingData!$AV:$AV,""&amp;$A38&amp;"")</f>
        <v>8.25</v>
      </c>
      <c r="K38" s="2">
        <f t="shared" si="10"/>
        <v>8.25</v>
      </c>
      <c r="L38" s="31"/>
      <c r="M38" s="1" t="s">
        <v>86</v>
      </c>
      <c r="N38" s="137">
        <v>0</v>
      </c>
      <c r="O38" s="137">
        <v>0</v>
      </c>
      <c r="P38" s="137">
        <v>0</v>
      </c>
      <c r="Q38" s="137">
        <v>0</v>
      </c>
      <c r="R38" s="137">
        <v>0</v>
      </c>
      <c r="S38" s="137">
        <v>0</v>
      </c>
      <c r="T38" s="137">
        <v>0</v>
      </c>
      <c r="U38" s="137">
        <v>8.25</v>
      </c>
      <c r="V38" s="2">
        <f t="shared" si="8"/>
        <v>8.25</v>
      </c>
      <c r="X38" s="1" t="s">
        <v>86</v>
      </c>
      <c r="Y38" s="2">
        <f t="shared" si="0"/>
        <v>0</v>
      </c>
      <c r="Z38" s="2">
        <f t="shared" si="1"/>
        <v>0</v>
      </c>
      <c r="AA38" s="2">
        <f t="shared" si="2"/>
        <v>0</v>
      </c>
      <c r="AB38" s="2">
        <f t="shared" si="3"/>
        <v>0</v>
      </c>
      <c r="AC38" s="2">
        <f t="shared" si="4"/>
        <v>0</v>
      </c>
      <c r="AD38" s="2">
        <f t="shared" si="5"/>
        <v>0</v>
      </c>
      <c r="AE38" s="2">
        <f t="shared" si="6"/>
        <v>0</v>
      </c>
      <c r="AF38" s="2">
        <f t="shared" si="7"/>
        <v>0</v>
      </c>
      <c r="AG38" s="2">
        <f t="shared" si="9"/>
        <v>0</v>
      </c>
    </row>
    <row r="39" spans="1:33" x14ac:dyDescent="0.25">
      <c r="A39" t="s">
        <v>29</v>
      </c>
      <c r="B39" s="1" t="s">
        <v>29</v>
      </c>
      <c r="C39" s="137">
        <f>SUMIFS(CurrentMonthAgingData!$AN:$AN,CurrentMonthAgingData!$BC:$BC,"=1",CurrentMonthAgingData!$BA:$BA,"=Creve Coeur",CurrentMonthAgingData!$AV:$AV,""&amp;$A39&amp;"")</f>
        <v>0</v>
      </c>
      <c r="D39" s="137">
        <f>SUMIFS(CurrentMonthAgingData!$AN:$AN,CurrentMonthAgingData!$BC:$BC,"=2",CurrentMonthAgingData!$BA:$BA,"=Creve Coeur",CurrentMonthAgingData!$AV:$AV,""&amp;$A39&amp;"")</f>
        <v>0</v>
      </c>
      <c r="E39" s="137">
        <f>SUMIFS(CurrentMonthAgingData!$AN:$AN,CurrentMonthAgingData!$BC:$BC,"=3",CurrentMonthAgingData!$BA:$BA,"=Creve Coeur",CurrentMonthAgingData!$AV:$AV,""&amp;$A39&amp;"")</f>
        <v>0</v>
      </c>
      <c r="F39" s="137">
        <f>SUMIFS(CurrentMonthAgingData!$AN:$AN,CurrentMonthAgingData!$BC:$BC,"=4",CurrentMonthAgingData!$BA:$BA,"=Creve Coeur",CurrentMonthAgingData!$AV:$AV,""&amp;$A39&amp;"")</f>
        <v>0</v>
      </c>
      <c r="G39" s="137">
        <f>SUMIFS(CurrentMonthAgingData!$AN:$AN,CurrentMonthAgingData!$BC:$BC,"=5",CurrentMonthAgingData!$BA:$BA,"=Creve Coeur",CurrentMonthAgingData!$AV:$AV,""&amp;$A39&amp;"")</f>
        <v>0</v>
      </c>
      <c r="H39" s="137">
        <f>SUMIFS(CurrentMonthAgingData!$AN:$AN,CurrentMonthAgingData!$BC:$BC,"=6",CurrentMonthAgingData!$BA:$BA,"=Creve Coeur",CurrentMonthAgingData!$AV:$AV,""&amp;$A39&amp;"")</f>
        <v>0</v>
      </c>
      <c r="I39" s="137">
        <f>SUMIFS(CurrentMonthAgingData!$AN:$AN,CurrentMonthAgingData!$BC:$BC,"=7",CurrentMonthAgingData!$BA:$BA,"=Creve Coeur",CurrentMonthAgingData!$AV:$AV,""&amp;$A39&amp;"")</f>
        <v>0</v>
      </c>
      <c r="J39" s="137">
        <f>SUMIFS(CurrentMonthAgingData!$AN:$AN,CurrentMonthAgingData!$BC:$BC,"=8",CurrentMonthAgingData!$BA:$BA,"=Creve Coeur",CurrentMonthAgingData!$AV:$AV,""&amp;$A39&amp;"")</f>
        <v>-384.25</v>
      </c>
      <c r="K39" s="2">
        <f t="shared" si="10"/>
        <v>-384.25</v>
      </c>
      <c r="L39" s="31"/>
      <c r="M39" s="1" t="s">
        <v>29</v>
      </c>
      <c r="N39" s="137">
        <v>0</v>
      </c>
      <c r="O39" s="137">
        <v>0</v>
      </c>
      <c r="P39" s="137">
        <v>0</v>
      </c>
      <c r="Q39" s="137">
        <v>0</v>
      </c>
      <c r="R39" s="137">
        <v>0</v>
      </c>
      <c r="S39" s="137">
        <v>0</v>
      </c>
      <c r="T39" s="137">
        <v>0</v>
      </c>
      <c r="U39" s="137">
        <v>-384.25</v>
      </c>
      <c r="V39" s="2">
        <f t="shared" si="8"/>
        <v>-384.25</v>
      </c>
      <c r="X39" s="1" t="s">
        <v>29</v>
      </c>
      <c r="Y39" s="2">
        <f t="shared" si="0"/>
        <v>0</v>
      </c>
      <c r="Z39" s="2">
        <f t="shared" si="1"/>
        <v>0</v>
      </c>
      <c r="AA39" s="2">
        <f t="shared" si="2"/>
        <v>0</v>
      </c>
      <c r="AB39" s="2">
        <f t="shared" si="3"/>
        <v>0</v>
      </c>
      <c r="AC39" s="2">
        <f t="shared" si="4"/>
        <v>0</v>
      </c>
      <c r="AD39" s="2">
        <f t="shared" si="5"/>
        <v>0</v>
      </c>
      <c r="AE39" s="2">
        <f t="shared" si="6"/>
        <v>0</v>
      </c>
      <c r="AF39" s="2">
        <f t="shared" si="7"/>
        <v>0</v>
      </c>
      <c r="AG39" s="2">
        <f t="shared" si="9"/>
        <v>0</v>
      </c>
    </row>
    <row r="40" spans="1:33" x14ac:dyDescent="0.25">
      <c r="A40" t="s">
        <v>339</v>
      </c>
      <c r="B40" s="1" t="s">
        <v>88</v>
      </c>
      <c r="C40" s="137">
        <f>SUMIFS(CurrentMonthAgingData!$AN:$AN,CurrentMonthAgingData!$BC:$BC,"=1",CurrentMonthAgingData!$BA:$BA,"=Creve Coeur",CurrentMonthAgingData!$AV:$AV,""&amp;$A40&amp;"")</f>
        <v>0</v>
      </c>
      <c r="D40" s="137">
        <f>SUMIFS(CurrentMonthAgingData!$AN:$AN,CurrentMonthAgingData!$BC:$BC,"=2",CurrentMonthAgingData!$BA:$BA,"=Creve Coeur",CurrentMonthAgingData!$AV:$AV,""&amp;$A40&amp;"")</f>
        <v>0</v>
      </c>
      <c r="E40" s="137">
        <f>SUMIFS(CurrentMonthAgingData!$AN:$AN,CurrentMonthAgingData!$BC:$BC,"=3",CurrentMonthAgingData!$BA:$BA,"=Creve Coeur",CurrentMonthAgingData!$AV:$AV,""&amp;$A40&amp;"")</f>
        <v>0</v>
      </c>
      <c r="F40" s="137">
        <f>SUMIFS(CurrentMonthAgingData!$AN:$AN,CurrentMonthAgingData!$BC:$BC,"=4",CurrentMonthAgingData!$BA:$BA,"=Creve Coeur",CurrentMonthAgingData!$AV:$AV,""&amp;$A40&amp;"")</f>
        <v>0</v>
      </c>
      <c r="G40" s="137">
        <f>SUMIFS(CurrentMonthAgingData!$AN:$AN,CurrentMonthAgingData!$BC:$BC,"=5",CurrentMonthAgingData!$BA:$BA,"=Creve Coeur",CurrentMonthAgingData!$AV:$AV,""&amp;$A40&amp;"")</f>
        <v>0</v>
      </c>
      <c r="H40" s="137">
        <f>SUMIFS(CurrentMonthAgingData!$AN:$AN,CurrentMonthAgingData!$BC:$BC,"=6",CurrentMonthAgingData!$BA:$BA,"=Creve Coeur",CurrentMonthAgingData!$AV:$AV,""&amp;$A40&amp;"")</f>
        <v>0</v>
      </c>
      <c r="I40" s="137">
        <f>SUMIFS(CurrentMonthAgingData!$AN:$AN,CurrentMonthAgingData!$BC:$BC,"=7",CurrentMonthAgingData!$BA:$BA,"=Creve Coeur",CurrentMonthAgingData!$AV:$AV,""&amp;$A40&amp;"")</f>
        <v>0</v>
      </c>
      <c r="J40" s="137">
        <f>SUMIFS(CurrentMonthAgingData!$AN:$AN,CurrentMonthAgingData!$BC:$BC,"=8",CurrentMonthAgingData!$BA:$BA,"=Creve Coeur",CurrentMonthAgingData!$AV:$AV,""&amp;$A40&amp;"")</f>
        <v>-300.13</v>
      </c>
      <c r="K40" s="2">
        <f>SUM(C40:J40)</f>
        <v>-300.13</v>
      </c>
      <c r="L40" s="31"/>
      <c r="M40" s="1" t="s">
        <v>88</v>
      </c>
      <c r="N40" s="137">
        <v>0</v>
      </c>
      <c r="O40" s="137">
        <v>0</v>
      </c>
      <c r="P40" s="137">
        <v>0</v>
      </c>
      <c r="Q40" s="137">
        <v>0</v>
      </c>
      <c r="R40" s="137">
        <v>0</v>
      </c>
      <c r="S40" s="137">
        <v>0</v>
      </c>
      <c r="T40" s="137">
        <v>0</v>
      </c>
      <c r="U40" s="137">
        <v>-300.13</v>
      </c>
      <c r="V40" s="2">
        <f>SUM(N40:U40)</f>
        <v>-300.13</v>
      </c>
      <c r="X40" s="1" t="s">
        <v>88</v>
      </c>
      <c r="Y40" s="2">
        <f t="shared" si="0"/>
        <v>0</v>
      </c>
      <c r="Z40" s="2">
        <f t="shared" si="1"/>
        <v>0</v>
      </c>
      <c r="AA40" s="2">
        <f t="shared" si="2"/>
        <v>0</v>
      </c>
      <c r="AB40" s="2">
        <f t="shared" si="3"/>
        <v>0</v>
      </c>
      <c r="AC40" s="2">
        <f t="shared" si="4"/>
        <v>0</v>
      </c>
      <c r="AD40" s="2">
        <f t="shared" si="5"/>
        <v>0</v>
      </c>
      <c r="AE40" s="2">
        <f t="shared" si="6"/>
        <v>0</v>
      </c>
      <c r="AF40" s="2">
        <f t="shared" si="7"/>
        <v>0</v>
      </c>
      <c r="AG40" s="2">
        <f>SUM(Y40:AF40)</f>
        <v>0</v>
      </c>
    </row>
    <row r="41" spans="1:33" x14ac:dyDescent="0.25">
      <c r="A41" t="s">
        <v>341</v>
      </c>
      <c r="B41" s="1" t="s">
        <v>341</v>
      </c>
      <c r="C41" s="137">
        <f>SUMIFS(CurrentMonthAgingData!$AN:$AN,CurrentMonthAgingData!$BC:$BC,"=1",CurrentMonthAgingData!$BA:$BA,"=Creve Coeur",CurrentMonthAgingData!$AV:$AV,""&amp;$A41&amp;"")</f>
        <v>0</v>
      </c>
      <c r="D41" s="137">
        <f>SUMIFS(CurrentMonthAgingData!$AN:$AN,CurrentMonthAgingData!$BC:$BC,"=2",CurrentMonthAgingData!$BA:$BA,"=Creve Coeur",CurrentMonthAgingData!$AV:$AV,""&amp;$A41&amp;"")</f>
        <v>0</v>
      </c>
      <c r="E41" s="137">
        <f>SUMIFS(CurrentMonthAgingData!$AN:$AN,CurrentMonthAgingData!$BC:$BC,"=3",CurrentMonthAgingData!$BA:$BA,"=Creve Coeur",CurrentMonthAgingData!$AV:$AV,""&amp;$A41&amp;"")</f>
        <v>0</v>
      </c>
      <c r="F41" s="137">
        <f>SUMIFS(CurrentMonthAgingData!$AN:$AN,CurrentMonthAgingData!$BC:$BC,"=4",CurrentMonthAgingData!$BA:$BA,"=Creve Coeur",CurrentMonthAgingData!$AV:$AV,""&amp;$A41&amp;"")</f>
        <v>0</v>
      </c>
      <c r="G41" s="137">
        <f>SUMIFS(CurrentMonthAgingData!$AN:$AN,CurrentMonthAgingData!$BC:$BC,"=5",CurrentMonthAgingData!$BA:$BA,"=Creve Coeur",CurrentMonthAgingData!$AV:$AV,""&amp;$A41&amp;"")</f>
        <v>0</v>
      </c>
      <c r="H41" s="137">
        <f>SUMIFS(CurrentMonthAgingData!$AN:$AN,CurrentMonthAgingData!$BC:$BC,"=6",CurrentMonthAgingData!$BA:$BA,"=Creve Coeur",CurrentMonthAgingData!$AV:$AV,""&amp;$A41&amp;"")</f>
        <v>0</v>
      </c>
      <c r="I41" s="137">
        <f>SUMIFS(CurrentMonthAgingData!$AN:$AN,CurrentMonthAgingData!$BC:$BC,"=7",CurrentMonthAgingData!$BA:$BA,"=Creve Coeur",CurrentMonthAgingData!$AV:$AV,""&amp;$A41&amp;"")</f>
        <v>0</v>
      </c>
      <c r="J41" s="137">
        <f>SUMIFS(CurrentMonthAgingData!$AN:$AN,CurrentMonthAgingData!$BC:$BC,"=8",CurrentMonthAgingData!$BA:$BA,"=Creve Coeur",CurrentMonthAgingData!$AV:$AV,""&amp;$A41&amp;"")</f>
        <v>0</v>
      </c>
      <c r="K41" s="2">
        <f t="shared" si="10"/>
        <v>0</v>
      </c>
      <c r="L41" s="31"/>
      <c r="M41" s="1" t="s">
        <v>341</v>
      </c>
      <c r="N41" s="137">
        <v>0</v>
      </c>
      <c r="O41" s="137">
        <v>0</v>
      </c>
      <c r="P41" s="137">
        <v>0</v>
      </c>
      <c r="Q41" s="137">
        <v>0</v>
      </c>
      <c r="R41" s="137">
        <v>0</v>
      </c>
      <c r="S41" s="137">
        <v>0</v>
      </c>
      <c r="T41" s="137">
        <v>0</v>
      </c>
      <c r="U41" s="137">
        <v>0</v>
      </c>
      <c r="V41" s="2">
        <f t="shared" si="8"/>
        <v>0</v>
      </c>
      <c r="X41" s="1" t="s">
        <v>341</v>
      </c>
      <c r="Y41" s="2">
        <f t="shared" si="0"/>
        <v>0</v>
      </c>
      <c r="Z41" s="2">
        <f t="shared" si="1"/>
        <v>0</v>
      </c>
      <c r="AA41" s="2">
        <f t="shared" si="2"/>
        <v>0</v>
      </c>
      <c r="AB41" s="2">
        <f t="shared" si="3"/>
        <v>0</v>
      </c>
      <c r="AC41" s="2">
        <f t="shared" si="4"/>
        <v>0</v>
      </c>
      <c r="AD41" s="2">
        <f t="shared" si="5"/>
        <v>0</v>
      </c>
      <c r="AE41" s="2">
        <f t="shared" si="6"/>
        <v>0</v>
      </c>
      <c r="AF41" s="2">
        <f t="shared" si="7"/>
        <v>0</v>
      </c>
      <c r="AG41" s="2">
        <f t="shared" si="9"/>
        <v>0</v>
      </c>
    </row>
    <row r="42" spans="1:33" x14ac:dyDescent="0.25">
      <c r="A42" t="s">
        <v>340</v>
      </c>
      <c r="B42" s="1" t="s">
        <v>340</v>
      </c>
      <c r="C42" s="137">
        <f>SUMIFS(CurrentMonthAgingData!$AN:$AN,CurrentMonthAgingData!$BC:$BC,"=1",CurrentMonthAgingData!$BA:$BA,"=Creve Coeur",CurrentMonthAgingData!$AV:$AV,""&amp;$A42&amp;"")</f>
        <v>0</v>
      </c>
      <c r="D42" s="137">
        <f>SUMIFS(CurrentMonthAgingData!$AN:$AN,CurrentMonthAgingData!$BC:$BC,"=2",CurrentMonthAgingData!$BA:$BA,"=Creve Coeur",CurrentMonthAgingData!$AV:$AV,""&amp;$A42&amp;"")</f>
        <v>0</v>
      </c>
      <c r="E42" s="137">
        <f>SUMIFS(CurrentMonthAgingData!$AN:$AN,CurrentMonthAgingData!$BC:$BC,"=3",CurrentMonthAgingData!$BA:$BA,"=Creve Coeur",CurrentMonthAgingData!$AV:$AV,""&amp;$A42&amp;"")</f>
        <v>0</v>
      </c>
      <c r="F42" s="137">
        <f>SUMIFS(CurrentMonthAgingData!$AN:$AN,CurrentMonthAgingData!$BC:$BC,"=4",CurrentMonthAgingData!$BA:$BA,"=Creve Coeur",CurrentMonthAgingData!$AV:$AV,""&amp;$A42&amp;"")</f>
        <v>0</v>
      </c>
      <c r="G42" s="137">
        <f>SUMIFS(CurrentMonthAgingData!$AN:$AN,CurrentMonthAgingData!$BC:$BC,"=5",CurrentMonthAgingData!$BA:$BA,"=Creve Coeur",CurrentMonthAgingData!$AV:$AV,""&amp;$A42&amp;"")</f>
        <v>0</v>
      </c>
      <c r="H42" s="137">
        <f>SUMIFS(CurrentMonthAgingData!$AN:$AN,CurrentMonthAgingData!$BC:$BC,"=6",CurrentMonthAgingData!$BA:$BA,"=Creve Coeur",CurrentMonthAgingData!$AV:$AV,""&amp;$A42&amp;"")</f>
        <v>0</v>
      </c>
      <c r="I42" s="137">
        <f>SUMIFS(CurrentMonthAgingData!$AN:$AN,CurrentMonthAgingData!$BC:$BC,"=7",CurrentMonthAgingData!$BA:$BA,"=Creve Coeur",CurrentMonthAgingData!$AV:$AV,""&amp;$A42&amp;"")</f>
        <v>0</v>
      </c>
      <c r="J42" s="137">
        <f>SUMIFS(CurrentMonthAgingData!$AN:$AN,CurrentMonthAgingData!$BC:$BC,"=8",CurrentMonthAgingData!$BA:$BA,"=Creve Coeur",CurrentMonthAgingData!$AV:$AV,""&amp;$A42&amp;"")</f>
        <v>-1388.7000000000003</v>
      </c>
      <c r="K42" s="2">
        <f t="shared" si="10"/>
        <v>-1388.7000000000003</v>
      </c>
      <c r="L42" s="31"/>
      <c r="M42" s="1" t="s">
        <v>340</v>
      </c>
      <c r="N42" s="137">
        <v>0</v>
      </c>
      <c r="O42" s="137">
        <v>0</v>
      </c>
      <c r="P42" s="137">
        <v>0</v>
      </c>
      <c r="Q42" s="137">
        <v>0</v>
      </c>
      <c r="R42" s="137">
        <v>0</v>
      </c>
      <c r="S42" s="137">
        <v>0</v>
      </c>
      <c r="T42" s="137">
        <v>0</v>
      </c>
      <c r="U42" s="137">
        <v>-1388.7000000000003</v>
      </c>
      <c r="V42" s="2">
        <f t="shared" si="8"/>
        <v>-1388.7000000000003</v>
      </c>
      <c r="X42" s="1" t="s">
        <v>340</v>
      </c>
      <c r="Y42" s="2">
        <f t="shared" si="0"/>
        <v>0</v>
      </c>
      <c r="Z42" s="2">
        <f t="shared" si="1"/>
        <v>0</v>
      </c>
      <c r="AA42" s="2">
        <f t="shared" si="2"/>
        <v>0</v>
      </c>
      <c r="AB42" s="2">
        <f t="shared" si="3"/>
        <v>0</v>
      </c>
      <c r="AC42" s="2">
        <f t="shared" si="4"/>
        <v>0</v>
      </c>
      <c r="AD42" s="2">
        <f t="shared" si="5"/>
        <v>0</v>
      </c>
      <c r="AE42" s="2">
        <f t="shared" si="6"/>
        <v>0</v>
      </c>
      <c r="AF42" s="2">
        <f t="shared" si="7"/>
        <v>0</v>
      </c>
      <c r="AG42" s="2">
        <f t="shared" si="9"/>
        <v>0</v>
      </c>
    </row>
    <row r="43" spans="1:33" ht="15.75" thickBot="1" x14ac:dyDescent="0.3">
      <c r="C43" s="69">
        <f t="shared" ref="C43:K43" si="11">SUM(C23:C42)</f>
        <v>-12078.84</v>
      </c>
      <c r="D43" s="69">
        <f t="shared" si="11"/>
        <v>0</v>
      </c>
      <c r="E43" s="69">
        <f t="shared" si="11"/>
        <v>0</v>
      </c>
      <c r="F43" s="69">
        <f t="shared" si="11"/>
        <v>0</v>
      </c>
      <c r="G43" s="69">
        <f t="shared" si="11"/>
        <v>0</v>
      </c>
      <c r="H43" s="69">
        <f t="shared" si="11"/>
        <v>0</v>
      </c>
      <c r="I43" s="69">
        <f t="shared" si="11"/>
        <v>0</v>
      </c>
      <c r="J43" s="69">
        <f t="shared" si="11"/>
        <v>-2954.6000000000004</v>
      </c>
      <c r="K43" s="69">
        <f t="shared" si="11"/>
        <v>-15033.44</v>
      </c>
      <c r="L43" s="31"/>
      <c r="N43" s="69">
        <f t="shared" ref="N43:V43" si="12">SUM(N23:N42)</f>
        <v>-12078.839999999998</v>
      </c>
      <c r="O43" s="69">
        <f t="shared" si="12"/>
        <v>0</v>
      </c>
      <c r="P43" s="69">
        <f t="shared" si="12"/>
        <v>0</v>
      </c>
      <c r="Q43" s="69">
        <f t="shared" si="12"/>
        <v>0</v>
      </c>
      <c r="R43" s="69">
        <f t="shared" si="12"/>
        <v>0</v>
      </c>
      <c r="S43" s="69">
        <f t="shared" si="12"/>
        <v>0</v>
      </c>
      <c r="T43" s="69">
        <f t="shared" si="12"/>
        <v>0</v>
      </c>
      <c r="U43" s="69">
        <f t="shared" si="12"/>
        <v>-2954.6000000000004</v>
      </c>
      <c r="V43" s="69">
        <f t="shared" si="12"/>
        <v>-15033.439999999999</v>
      </c>
      <c r="Y43" s="69">
        <f t="shared" ref="Y43:AG43" si="13">SUM(Y23:Y42)</f>
        <v>0</v>
      </c>
      <c r="Z43" s="69">
        <f t="shared" si="13"/>
        <v>0</v>
      </c>
      <c r="AA43" s="69">
        <f t="shared" si="13"/>
        <v>0</v>
      </c>
      <c r="AB43" s="69">
        <f t="shared" si="13"/>
        <v>0</v>
      </c>
      <c r="AC43" s="69">
        <f t="shared" si="13"/>
        <v>0</v>
      </c>
      <c r="AD43" s="69">
        <f t="shared" si="13"/>
        <v>0</v>
      </c>
      <c r="AE43" s="69">
        <f t="shared" si="13"/>
        <v>0</v>
      </c>
      <c r="AF43" s="69">
        <f t="shared" si="13"/>
        <v>0</v>
      </c>
      <c r="AG43" s="69">
        <f t="shared" si="13"/>
        <v>0</v>
      </c>
    </row>
    <row r="46" spans="1:33" x14ac:dyDescent="0.25">
      <c r="B46" s="71" t="s">
        <v>97</v>
      </c>
      <c r="C46" s="167">
        <f>$C$20</f>
        <v>45199</v>
      </c>
      <c r="D46" s="164"/>
      <c r="E46" s="164"/>
      <c r="F46" s="164"/>
      <c r="G46" s="164"/>
      <c r="H46" s="164"/>
      <c r="I46" s="164"/>
      <c r="J46" s="164"/>
      <c r="K46" s="164"/>
      <c r="M46" s="71" t="s">
        <v>97</v>
      </c>
      <c r="N46" s="178">
        <f>$N$20</f>
        <v>45169</v>
      </c>
      <c r="O46" s="179"/>
      <c r="P46" s="179"/>
      <c r="Q46" s="179"/>
      <c r="R46" s="179"/>
      <c r="S46" s="179"/>
      <c r="T46" s="179"/>
      <c r="U46" s="179"/>
      <c r="V46" s="179"/>
      <c r="X46" s="71" t="s">
        <v>97</v>
      </c>
      <c r="Y46" s="164" t="s">
        <v>98</v>
      </c>
      <c r="Z46" s="164"/>
      <c r="AA46" s="164"/>
      <c r="AB46" s="164"/>
      <c r="AC46" s="164"/>
      <c r="AD46" s="164"/>
      <c r="AE46" s="164"/>
      <c r="AF46" s="164"/>
      <c r="AG46" s="164"/>
    </row>
    <row r="47" spans="1:33" x14ac:dyDescent="0.25">
      <c r="B47" s="71" t="s">
        <v>96</v>
      </c>
      <c r="C47" s="164" t="str">
        <f>'Reimbursement Rates &lt;-INPUT'!C7</f>
        <v>Central West End</v>
      </c>
      <c r="D47" s="164"/>
      <c r="E47" s="164"/>
      <c r="F47" s="164"/>
      <c r="G47" s="164"/>
      <c r="H47" s="164"/>
      <c r="I47" s="164"/>
      <c r="J47" s="164"/>
      <c r="K47" s="164"/>
      <c r="M47" s="71" t="s">
        <v>96</v>
      </c>
      <c r="N47" s="164" t="str">
        <f>C47</f>
        <v>Central West End</v>
      </c>
      <c r="O47" s="164"/>
      <c r="P47" s="164"/>
      <c r="Q47" s="164"/>
      <c r="R47" s="164"/>
      <c r="S47" s="164"/>
      <c r="T47" s="164"/>
      <c r="U47" s="164"/>
      <c r="V47" s="164"/>
      <c r="X47" s="71" t="s">
        <v>96</v>
      </c>
      <c r="Y47" s="164" t="str">
        <f>C47</f>
        <v>Central West End</v>
      </c>
      <c r="Z47" s="164"/>
      <c r="AA47" s="164"/>
      <c r="AB47" s="164"/>
      <c r="AC47" s="164"/>
      <c r="AD47" s="164"/>
      <c r="AE47" s="164"/>
      <c r="AF47" s="164"/>
      <c r="AG47" s="164"/>
    </row>
    <row r="48" spans="1:33" x14ac:dyDescent="0.25">
      <c r="B48" s="4" t="s">
        <v>16</v>
      </c>
      <c r="C48" s="5" t="s">
        <v>15</v>
      </c>
      <c r="D48" s="5" t="s">
        <v>14</v>
      </c>
      <c r="E48" s="5" t="s">
        <v>13</v>
      </c>
      <c r="F48" s="5" t="s">
        <v>12</v>
      </c>
      <c r="G48" s="5" t="s">
        <v>94</v>
      </c>
      <c r="H48" s="5" t="s">
        <v>95</v>
      </c>
      <c r="I48" s="5" t="s">
        <v>38</v>
      </c>
      <c r="J48" s="5" t="s">
        <v>9</v>
      </c>
      <c r="K48" s="5" t="s">
        <v>80</v>
      </c>
      <c r="M48" s="4" t="s">
        <v>16</v>
      </c>
      <c r="N48" s="5" t="s">
        <v>15</v>
      </c>
      <c r="O48" s="5" t="s">
        <v>14</v>
      </c>
      <c r="P48" s="5" t="s">
        <v>13</v>
      </c>
      <c r="Q48" s="5" t="s">
        <v>12</v>
      </c>
      <c r="R48" s="5" t="s">
        <v>94</v>
      </c>
      <c r="S48" s="5" t="s">
        <v>95</v>
      </c>
      <c r="T48" s="5" t="s">
        <v>38</v>
      </c>
      <c r="U48" s="5" t="s">
        <v>9</v>
      </c>
      <c r="V48" s="5" t="s">
        <v>80</v>
      </c>
      <c r="X48" s="4" t="s">
        <v>16</v>
      </c>
      <c r="Y48" s="5" t="s">
        <v>15</v>
      </c>
      <c r="Z48" s="5" t="s">
        <v>14</v>
      </c>
      <c r="AA48" s="5" t="s">
        <v>13</v>
      </c>
      <c r="AB48" s="5" t="s">
        <v>12</v>
      </c>
      <c r="AC48" s="5" t="s">
        <v>94</v>
      </c>
      <c r="AD48" s="5" t="s">
        <v>95</v>
      </c>
      <c r="AE48" s="5" t="s">
        <v>38</v>
      </c>
      <c r="AF48" s="5" t="s">
        <v>9</v>
      </c>
      <c r="AG48" s="5" t="s">
        <v>80</v>
      </c>
    </row>
    <row r="49" spans="1:33" x14ac:dyDescent="0.25">
      <c r="A49" t="s">
        <v>335</v>
      </c>
      <c r="B49" s="1" t="s">
        <v>335</v>
      </c>
      <c r="C49" s="2">
        <f>SUMIFS(CurrentMonthAgingData!$AN:$AN,CurrentMonthAgingData!$BC:$BC,"=1",CurrentMonthAgingData!$BA:$BA,"=Central West End",CurrentMonthAgingData!$AV:$AV,""&amp;$A49&amp;"")</f>
        <v>0</v>
      </c>
      <c r="D49" s="2">
        <f>SUMIFS(CurrentMonthAgingData!$AN:$AN,CurrentMonthAgingData!$BC:$BC,"=2",CurrentMonthAgingData!$BA:$BA,"=Central West End",CurrentMonthAgingData!$AV:$AV,""&amp;$A49&amp;"")</f>
        <v>0</v>
      </c>
      <c r="E49" s="2">
        <f>SUMIFS(CurrentMonthAgingData!$AN:$AN,CurrentMonthAgingData!$BC:$BC,"=3",CurrentMonthAgingData!$BA:$BA,"=Central West End",CurrentMonthAgingData!$AV:$AV,""&amp;$A49&amp;"")</f>
        <v>0</v>
      </c>
      <c r="F49" s="2">
        <f>SUMIFS(CurrentMonthAgingData!$AN:$AN,CurrentMonthAgingData!$BC:$BC,"=4",CurrentMonthAgingData!$BA:$BA,"=Central West End",CurrentMonthAgingData!$AV:$AV,""&amp;$A49&amp;"")</f>
        <v>0</v>
      </c>
      <c r="G49" s="2">
        <f>SUMIFS(CurrentMonthAgingData!$AN:$AN,CurrentMonthAgingData!$BC:$BC,"=5",CurrentMonthAgingData!$BA:$BA,"=Central West End",CurrentMonthAgingData!$AV:$AV,""&amp;$A49&amp;"")</f>
        <v>0</v>
      </c>
      <c r="H49" s="2">
        <f>SUMIFS(CurrentMonthAgingData!$AN:$AN,CurrentMonthAgingData!$BC:$BC,"=6",CurrentMonthAgingData!$BA:$BA,"=Central West End",CurrentMonthAgingData!$AV:$AV,""&amp;$A49&amp;"")</f>
        <v>0</v>
      </c>
      <c r="I49" s="2">
        <f>SUMIFS(CurrentMonthAgingData!$AN:$AN,CurrentMonthAgingData!$BC:$BC,"=7",CurrentMonthAgingData!$BA:$BA,"=Central West End",CurrentMonthAgingData!$AV:$AV,""&amp;$A49&amp;"")</f>
        <v>0</v>
      </c>
      <c r="J49" s="2">
        <f>SUMIFS(CurrentMonthAgingData!$AN:$AN,CurrentMonthAgingData!$BC:$BC,"=8",CurrentMonthAgingData!$BA:$BA,"=Central West End",CurrentMonthAgingData!$AV:$AV,""&amp;$A49&amp;"")</f>
        <v>0</v>
      </c>
      <c r="K49" s="2">
        <f>SUM(C49:J49)</f>
        <v>0</v>
      </c>
      <c r="L49" s="31"/>
      <c r="M49" s="1" t="s">
        <v>335</v>
      </c>
      <c r="N49" s="33">
        <v>0</v>
      </c>
      <c r="O49" s="33">
        <v>0</v>
      </c>
      <c r="P49" s="33">
        <v>0</v>
      </c>
      <c r="Q49" s="33">
        <v>0</v>
      </c>
      <c r="R49" s="33">
        <v>0</v>
      </c>
      <c r="S49" s="33">
        <v>0</v>
      </c>
      <c r="T49" s="33">
        <v>0</v>
      </c>
      <c r="U49" s="33">
        <v>0</v>
      </c>
      <c r="V49" s="2">
        <f>SUM(N49:U49)</f>
        <v>0</v>
      </c>
      <c r="X49" s="1" t="s">
        <v>335</v>
      </c>
      <c r="Y49" s="2">
        <f t="shared" ref="Y49:Y68" si="14">C49-N49</f>
        <v>0</v>
      </c>
      <c r="Z49" s="2">
        <f t="shared" ref="Z49:Z68" si="15">D49-O49</f>
        <v>0</v>
      </c>
      <c r="AA49" s="2">
        <f t="shared" ref="AA49:AA68" si="16">E49-P49</f>
        <v>0</v>
      </c>
      <c r="AB49" s="2">
        <f t="shared" ref="AB49:AB68" si="17">F49-Q49</f>
        <v>0</v>
      </c>
      <c r="AC49" s="2">
        <f t="shared" ref="AC49:AC68" si="18">G49-R49</f>
        <v>0</v>
      </c>
      <c r="AD49" s="2">
        <f t="shared" ref="AD49:AD68" si="19">H49-S49</f>
        <v>0</v>
      </c>
      <c r="AE49" s="2">
        <f t="shared" ref="AE49:AE68" si="20">I49-T49</f>
        <v>0</v>
      </c>
      <c r="AF49" s="2">
        <f t="shared" ref="AF49:AF68" si="21">J49-U49</f>
        <v>0</v>
      </c>
      <c r="AG49" s="2">
        <f>SUM(Y49:AF49)</f>
        <v>0</v>
      </c>
    </row>
    <row r="50" spans="1:33" x14ac:dyDescent="0.25">
      <c r="A50" t="s">
        <v>8</v>
      </c>
      <c r="B50" s="1" t="s">
        <v>8</v>
      </c>
      <c r="C50" s="137">
        <f>SUMIFS(CurrentMonthAgingData!$AN:$AN,CurrentMonthAgingData!$BC:$BC,"=1",CurrentMonthAgingData!$BA:$BA,"=Central West End",CurrentMonthAgingData!$AV:$AV,""&amp;$A50&amp;"")</f>
        <v>0</v>
      </c>
      <c r="D50" s="137">
        <f>SUMIFS(CurrentMonthAgingData!$AN:$AN,CurrentMonthAgingData!$BC:$BC,"=2",CurrentMonthAgingData!$BA:$BA,"=Central West End",CurrentMonthAgingData!$AV:$AV,""&amp;$A50&amp;"")</f>
        <v>0</v>
      </c>
      <c r="E50" s="137">
        <f>SUMIFS(CurrentMonthAgingData!$AN:$AN,CurrentMonthAgingData!$BC:$BC,"=3",CurrentMonthAgingData!$BA:$BA,"=Central West End",CurrentMonthAgingData!$AV:$AV,""&amp;$A50&amp;"")</f>
        <v>0</v>
      </c>
      <c r="F50" s="137">
        <f>SUMIFS(CurrentMonthAgingData!$AN:$AN,CurrentMonthAgingData!$BC:$BC,"=4",CurrentMonthAgingData!$BA:$BA,"=Central West End",CurrentMonthAgingData!$AV:$AV,""&amp;$A50&amp;"")</f>
        <v>0</v>
      </c>
      <c r="G50" s="137">
        <f>SUMIFS(CurrentMonthAgingData!$AN:$AN,CurrentMonthAgingData!$BC:$BC,"=5",CurrentMonthAgingData!$BA:$BA,"=Central West End",CurrentMonthAgingData!$AV:$AV,""&amp;$A50&amp;"")</f>
        <v>0</v>
      </c>
      <c r="H50" s="137">
        <f>SUMIFS(CurrentMonthAgingData!$AN:$AN,CurrentMonthAgingData!$BC:$BC,"=6",CurrentMonthAgingData!$BA:$BA,"=Central West End",CurrentMonthAgingData!$AV:$AV,""&amp;$A50&amp;"")</f>
        <v>0</v>
      </c>
      <c r="I50" s="137">
        <f>SUMIFS(CurrentMonthAgingData!$AN:$AN,CurrentMonthAgingData!$BC:$BC,"=7",CurrentMonthAgingData!$BA:$BA,"=Central West End",CurrentMonthAgingData!$AV:$AV,""&amp;$A50&amp;"")</f>
        <v>0</v>
      </c>
      <c r="J50" s="137">
        <f>SUMIFS(CurrentMonthAgingData!$AN:$AN,CurrentMonthAgingData!$BC:$BC,"=8",CurrentMonthAgingData!$BA:$BA,"=Central West End",CurrentMonthAgingData!$AV:$AV,""&amp;$A50&amp;"")</f>
        <v>-100</v>
      </c>
      <c r="K50" s="2">
        <f t="shared" ref="K50:K68" si="22">SUM(C50:J50)</f>
        <v>-100</v>
      </c>
      <c r="L50" s="31"/>
      <c r="M50" s="1" t="s">
        <v>8</v>
      </c>
      <c r="N50" s="137">
        <v>0</v>
      </c>
      <c r="O50" s="137">
        <v>0</v>
      </c>
      <c r="P50" s="137">
        <v>0</v>
      </c>
      <c r="Q50" s="137">
        <v>0</v>
      </c>
      <c r="R50" s="137">
        <v>0</v>
      </c>
      <c r="S50" s="137">
        <v>0</v>
      </c>
      <c r="T50" s="137">
        <v>0</v>
      </c>
      <c r="U50" s="137">
        <v>-100</v>
      </c>
      <c r="V50" s="2">
        <f t="shared" ref="V50:V68" si="23">SUM(N50:U50)</f>
        <v>-100</v>
      </c>
      <c r="X50" s="1" t="s">
        <v>8</v>
      </c>
      <c r="Y50" s="2">
        <f t="shared" si="14"/>
        <v>0</v>
      </c>
      <c r="Z50" s="2">
        <f t="shared" si="15"/>
        <v>0</v>
      </c>
      <c r="AA50" s="2">
        <f t="shared" si="16"/>
        <v>0</v>
      </c>
      <c r="AB50" s="2">
        <f t="shared" si="17"/>
        <v>0</v>
      </c>
      <c r="AC50" s="2">
        <f t="shared" si="18"/>
        <v>0</v>
      </c>
      <c r="AD50" s="2">
        <f t="shared" si="19"/>
        <v>0</v>
      </c>
      <c r="AE50" s="2">
        <f t="shared" si="20"/>
        <v>0</v>
      </c>
      <c r="AF50" s="2">
        <f t="shared" si="21"/>
        <v>0</v>
      </c>
      <c r="AG50" s="2">
        <f t="shared" ref="AG50:AG68" si="24">SUM(Y50:AF50)</f>
        <v>0</v>
      </c>
    </row>
    <row r="51" spans="1:33" x14ac:dyDescent="0.25">
      <c r="A51" t="s">
        <v>336</v>
      </c>
      <c r="B51" s="1" t="s">
        <v>336</v>
      </c>
      <c r="C51" s="137">
        <f>SUMIFS(CurrentMonthAgingData!$AN:$AN,CurrentMonthAgingData!$BC:$BC,"=1",CurrentMonthAgingData!$BA:$BA,"=Central West End",CurrentMonthAgingData!$AV:$AV,""&amp;$A51&amp;"")</f>
        <v>0</v>
      </c>
      <c r="D51" s="137">
        <f>SUMIFS(CurrentMonthAgingData!$AN:$AN,CurrentMonthAgingData!$BC:$BC,"=2",CurrentMonthAgingData!$BA:$BA,"=Central West End",CurrentMonthAgingData!$AV:$AV,""&amp;$A51&amp;"")</f>
        <v>0</v>
      </c>
      <c r="E51" s="137">
        <f>SUMIFS(CurrentMonthAgingData!$AN:$AN,CurrentMonthAgingData!$BC:$BC,"=3",CurrentMonthAgingData!$BA:$BA,"=Central West End",CurrentMonthAgingData!$AV:$AV,""&amp;$A51&amp;"")</f>
        <v>0</v>
      </c>
      <c r="F51" s="137">
        <f>SUMIFS(CurrentMonthAgingData!$AN:$AN,CurrentMonthAgingData!$BC:$BC,"=4",CurrentMonthAgingData!$BA:$BA,"=Central West End",CurrentMonthAgingData!$AV:$AV,""&amp;$A51&amp;"")</f>
        <v>0</v>
      </c>
      <c r="G51" s="137">
        <f>SUMIFS(CurrentMonthAgingData!$AN:$AN,CurrentMonthAgingData!$BC:$BC,"=5",CurrentMonthAgingData!$BA:$BA,"=Central West End",CurrentMonthAgingData!$AV:$AV,""&amp;$A51&amp;"")</f>
        <v>0</v>
      </c>
      <c r="H51" s="137">
        <f>SUMIFS(CurrentMonthAgingData!$AN:$AN,CurrentMonthAgingData!$BC:$BC,"=6",CurrentMonthAgingData!$BA:$BA,"=Central West End",CurrentMonthAgingData!$AV:$AV,""&amp;$A51&amp;"")</f>
        <v>0</v>
      </c>
      <c r="I51" s="137">
        <f>SUMIFS(CurrentMonthAgingData!$AN:$AN,CurrentMonthAgingData!$BC:$BC,"=7",CurrentMonthAgingData!$BA:$BA,"=Central West End",CurrentMonthAgingData!$AV:$AV,""&amp;$A51&amp;"")</f>
        <v>0</v>
      </c>
      <c r="J51" s="137">
        <f>SUMIFS(CurrentMonthAgingData!$AN:$AN,CurrentMonthAgingData!$BC:$BC,"=8",CurrentMonthAgingData!$BA:$BA,"=Central West End",CurrentMonthAgingData!$AV:$AV,""&amp;$A51&amp;"")</f>
        <v>0</v>
      </c>
      <c r="K51" s="2">
        <f t="shared" si="22"/>
        <v>0</v>
      </c>
      <c r="L51" s="31"/>
      <c r="M51" s="1" t="s">
        <v>336</v>
      </c>
      <c r="N51" s="137">
        <v>0</v>
      </c>
      <c r="O51" s="137">
        <v>0</v>
      </c>
      <c r="P51" s="137">
        <v>0</v>
      </c>
      <c r="Q51" s="137">
        <v>0</v>
      </c>
      <c r="R51" s="137">
        <v>0</v>
      </c>
      <c r="S51" s="137">
        <v>0</v>
      </c>
      <c r="T51" s="137">
        <v>0</v>
      </c>
      <c r="U51" s="137">
        <v>0</v>
      </c>
      <c r="V51" s="2">
        <f t="shared" si="23"/>
        <v>0</v>
      </c>
      <c r="X51" s="1" t="s">
        <v>336</v>
      </c>
      <c r="Y51" s="2">
        <f t="shared" si="14"/>
        <v>0</v>
      </c>
      <c r="Z51" s="2">
        <f t="shared" si="15"/>
        <v>0</v>
      </c>
      <c r="AA51" s="2">
        <f t="shared" si="16"/>
        <v>0</v>
      </c>
      <c r="AB51" s="2">
        <f t="shared" si="17"/>
        <v>0</v>
      </c>
      <c r="AC51" s="2">
        <f t="shared" si="18"/>
        <v>0</v>
      </c>
      <c r="AD51" s="2">
        <f t="shared" si="19"/>
        <v>0</v>
      </c>
      <c r="AE51" s="2">
        <f t="shared" si="20"/>
        <v>0</v>
      </c>
      <c r="AF51" s="2">
        <f t="shared" si="21"/>
        <v>0</v>
      </c>
      <c r="AG51" s="2">
        <f t="shared" si="24"/>
        <v>0</v>
      </c>
    </row>
    <row r="52" spans="1:33" x14ac:dyDescent="0.25">
      <c r="A52" t="s">
        <v>42</v>
      </c>
      <c r="B52" s="1" t="s">
        <v>42</v>
      </c>
      <c r="C52" s="2">
        <f>SUMIFS(CurrentMonthAgingData!$AN:$AN,CurrentMonthAgingData!$BC:$BC,"=1",CurrentMonthAgingData!$BA:$BA,"=Central West End",CurrentMonthAgingData!$AV:$AV,""&amp;$A52&amp;"")</f>
        <v>0</v>
      </c>
      <c r="D52" s="2">
        <f>SUMIFS(CurrentMonthAgingData!$AN:$AN,CurrentMonthAgingData!$BC:$BC,"=2",CurrentMonthAgingData!$BA:$BA,"=Central West End",CurrentMonthAgingData!$AV:$AV,""&amp;$A52&amp;"")</f>
        <v>0</v>
      </c>
      <c r="E52" s="2">
        <f>SUMIFS(CurrentMonthAgingData!$AN:$AN,CurrentMonthAgingData!$BC:$BC,"=3",CurrentMonthAgingData!$BA:$BA,"=Central West End",CurrentMonthAgingData!$AV:$AV,""&amp;$A52&amp;"")</f>
        <v>0</v>
      </c>
      <c r="F52" s="2">
        <f>SUMIFS(CurrentMonthAgingData!$AN:$AN,CurrentMonthAgingData!$BC:$BC,"=4",CurrentMonthAgingData!$BA:$BA,"=Central West End",CurrentMonthAgingData!$AV:$AV,""&amp;$A52&amp;"")</f>
        <v>0</v>
      </c>
      <c r="G52" s="2">
        <f>SUMIFS(CurrentMonthAgingData!$AN:$AN,CurrentMonthAgingData!$BC:$BC,"=5",CurrentMonthAgingData!$BA:$BA,"=Central West End",CurrentMonthAgingData!$AV:$AV,""&amp;$A52&amp;"")</f>
        <v>0</v>
      </c>
      <c r="H52" s="2">
        <f>SUMIFS(CurrentMonthAgingData!$AN:$AN,CurrentMonthAgingData!$BC:$BC,"=6",CurrentMonthAgingData!$BA:$BA,"=Central West End",CurrentMonthAgingData!$AV:$AV,""&amp;$A52&amp;"")</f>
        <v>0</v>
      </c>
      <c r="I52" s="2">
        <f>SUMIFS(CurrentMonthAgingData!$AN:$AN,CurrentMonthAgingData!$BC:$BC,"=7",CurrentMonthAgingData!$BA:$BA,"=Central West End",CurrentMonthAgingData!$AV:$AV,""&amp;$A52&amp;"")</f>
        <v>0</v>
      </c>
      <c r="J52" s="2">
        <f>SUMIFS(CurrentMonthAgingData!$AN:$AN,CurrentMonthAgingData!$BC:$BC,"=8",CurrentMonthAgingData!$BA:$BA,"=Central West End",CurrentMonthAgingData!$AV:$AV,""&amp;$A52&amp;"")</f>
        <v>0</v>
      </c>
      <c r="K52" s="2">
        <f t="shared" si="22"/>
        <v>0</v>
      </c>
      <c r="L52" s="31"/>
      <c r="M52" s="1" t="s">
        <v>42</v>
      </c>
      <c r="N52" s="33">
        <v>0</v>
      </c>
      <c r="O52" s="33">
        <v>0</v>
      </c>
      <c r="P52" s="33">
        <v>0</v>
      </c>
      <c r="Q52" s="33">
        <v>0</v>
      </c>
      <c r="R52" s="33">
        <v>0</v>
      </c>
      <c r="S52" s="33">
        <v>0</v>
      </c>
      <c r="T52" s="33">
        <v>0</v>
      </c>
      <c r="U52" s="33">
        <v>0</v>
      </c>
      <c r="V52" s="2">
        <f t="shared" si="23"/>
        <v>0</v>
      </c>
      <c r="X52" s="1" t="s">
        <v>42</v>
      </c>
      <c r="Y52" s="2">
        <f t="shared" si="14"/>
        <v>0</v>
      </c>
      <c r="Z52" s="2">
        <f t="shared" si="15"/>
        <v>0</v>
      </c>
      <c r="AA52" s="2">
        <f t="shared" si="16"/>
        <v>0</v>
      </c>
      <c r="AB52" s="2">
        <f t="shared" si="17"/>
        <v>0</v>
      </c>
      <c r="AC52" s="2">
        <f t="shared" si="18"/>
        <v>0</v>
      </c>
      <c r="AD52" s="2">
        <f t="shared" si="19"/>
        <v>0</v>
      </c>
      <c r="AE52" s="2">
        <f t="shared" si="20"/>
        <v>0</v>
      </c>
      <c r="AF52" s="2">
        <f t="shared" si="21"/>
        <v>0</v>
      </c>
      <c r="AG52" s="2">
        <f t="shared" si="24"/>
        <v>0</v>
      </c>
    </row>
    <row r="53" spans="1:33" x14ac:dyDescent="0.25">
      <c r="A53" t="s">
        <v>6</v>
      </c>
      <c r="B53" s="1" t="s">
        <v>6</v>
      </c>
      <c r="C53" s="137">
        <f>SUMIFS(CurrentMonthAgingData!$AN:$AN,CurrentMonthAgingData!$BC:$BC,"=1",CurrentMonthAgingData!$BA:$BA,"=Central West End",CurrentMonthAgingData!$AV:$AV,""&amp;$A53&amp;"")</f>
        <v>0</v>
      </c>
      <c r="D53" s="137">
        <f>SUMIFS(CurrentMonthAgingData!$AN:$AN,CurrentMonthAgingData!$BC:$BC,"=2",CurrentMonthAgingData!$BA:$BA,"=Central West End",CurrentMonthAgingData!$AV:$AV,""&amp;$A53&amp;"")</f>
        <v>0</v>
      </c>
      <c r="E53" s="137">
        <f>SUMIFS(CurrentMonthAgingData!$AN:$AN,CurrentMonthAgingData!$BC:$BC,"=3",CurrentMonthAgingData!$BA:$BA,"=Central West End",CurrentMonthAgingData!$AV:$AV,""&amp;$A53&amp;"")</f>
        <v>0</v>
      </c>
      <c r="F53" s="137">
        <f>SUMIFS(CurrentMonthAgingData!$AN:$AN,CurrentMonthAgingData!$BC:$BC,"=4",CurrentMonthAgingData!$BA:$BA,"=Central West End",CurrentMonthAgingData!$AV:$AV,""&amp;$A53&amp;"")</f>
        <v>0</v>
      </c>
      <c r="G53" s="137">
        <f>SUMIFS(CurrentMonthAgingData!$AN:$AN,CurrentMonthAgingData!$BC:$BC,"=5",CurrentMonthAgingData!$BA:$BA,"=Central West End",CurrentMonthAgingData!$AV:$AV,""&amp;$A53&amp;"")</f>
        <v>0</v>
      </c>
      <c r="H53" s="137">
        <f>SUMIFS(CurrentMonthAgingData!$AN:$AN,CurrentMonthAgingData!$BC:$BC,"=6",CurrentMonthAgingData!$BA:$BA,"=Central West End",CurrentMonthAgingData!$AV:$AV,""&amp;$A53&amp;"")</f>
        <v>0</v>
      </c>
      <c r="I53" s="137">
        <f>SUMIFS(CurrentMonthAgingData!$AN:$AN,CurrentMonthAgingData!$BC:$BC,"=7",CurrentMonthAgingData!$BA:$BA,"=Central West End",CurrentMonthAgingData!$AV:$AV,""&amp;$A53&amp;"")</f>
        <v>0</v>
      </c>
      <c r="J53" s="137">
        <f>SUMIFS(CurrentMonthAgingData!$AN:$AN,CurrentMonthAgingData!$BC:$BC,"=8",CurrentMonthAgingData!$BA:$BA,"=Central West End",CurrentMonthAgingData!$AV:$AV,""&amp;$A53&amp;"")</f>
        <v>-251.47999999999996</v>
      </c>
      <c r="K53" s="2">
        <f t="shared" si="22"/>
        <v>-251.47999999999996</v>
      </c>
      <c r="L53" s="31"/>
      <c r="M53" s="1" t="s">
        <v>6</v>
      </c>
      <c r="N53" s="137">
        <v>0</v>
      </c>
      <c r="O53" s="137">
        <v>0</v>
      </c>
      <c r="P53" s="137">
        <v>0</v>
      </c>
      <c r="Q53" s="137">
        <v>0</v>
      </c>
      <c r="R53" s="137">
        <v>0</v>
      </c>
      <c r="S53" s="137">
        <v>0</v>
      </c>
      <c r="T53" s="137">
        <v>0</v>
      </c>
      <c r="U53" s="137">
        <v>-251.48</v>
      </c>
      <c r="V53" s="2">
        <f t="shared" si="23"/>
        <v>-251.48</v>
      </c>
      <c r="X53" s="1" t="s">
        <v>6</v>
      </c>
      <c r="Y53" s="2">
        <f t="shared" si="14"/>
        <v>0</v>
      </c>
      <c r="Z53" s="2">
        <f t="shared" si="15"/>
        <v>0</v>
      </c>
      <c r="AA53" s="2">
        <f t="shared" si="16"/>
        <v>0</v>
      </c>
      <c r="AB53" s="2">
        <f t="shared" si="17"/>
        <v>0</v>
      </c>
      <c r="AC53" s="2">
        <f t="shared" si="18"/>
        <v>0</v>
      </c>
      <c r="AD53" s="2">
        <f t="shared" si="19"/>
        <v>0</v>
      </c>
      <c r="AE53" s="2">
        <f t="shared" si="20"/>
        <v>0</v>
      </c>
      <c r="AF53" s="2">
        <f t="shared" si="21"/>
        <v>0</v>
      </c>
      <c r="AG53" s="2">
        <f t="shared" si="24"/>
        <v>0</v>
      </c>
    </row>
    <row r="54" spans="1:33" x14ac:dyDescent="0.25">
      <c r="B54" s="1" t="s">
        <v>90</v>
      </c>
      <c r="C54" s="137">
        <f>SUMIFS(CurrentMonthAgingData!$AN:$AN,CurrentMonthAgingData!$BC:$BC,"=1",CurrentMonthAgingData!$BA:$BA,"=Central West End",CurrentMonthAgingData!$AV:$AV,""&amp;$A54&amp;"")</f>
        <v>0</v>
      </c>
      <c r="D54" s="137">
        <f>SUMIFS(CurrentMonthAgingData!$AN:$AN,CurrentMonthAgingData!$BC:$BC,"=2",CurrentMonthAgingData!$BA:$BA,"=Central West End",CurrentMonthAgingData!$AV:$AV,""&amp;$A54&amp;"")</f>
        <v>0</v>
      </c>
      <c r="E54" s="137">
        <f>SUMIFS(CurrentMonthAgingData!$AN:$AN,CurrentMonthAgingData!$BC:$BC,"=3",CurrentMonthAgingData!$BA:$BA,"=Central West End",CurrentMonthAgingData!$AV:$AV,""&amp;$A54&amp;"")</f>
        <v>0</v>
      </c>
      <c r="F54" s="137">
        <f>SUMIFS(CurrentMonthAgingData!$AN:$AN,CurrentMonthAgingData!$BC:$BC,"=4",CurrentMonthAgingData!$BA:$BA,"=Central West End",CurrentMonthAgingData!$AV:$AV,""&amp;$A54&amp;"")</f>
        <v>0</v>
      </c>
      <c r="G54" s="137">
        <f>SUMIFS(CurrentMonthAgingData!$AN:$AN,CurrentMonthAgingData!$BC:$BC,"=5",CurrentMonthAgingData!$BA:$BA,"=Central West End",CurrentMonthAgingData!$AV:$AV,""&amp;$A54&amp;"")</f>
        <v>0</v>
      </c>
      <c r="H54" s="137">
        <f>SUMIFS(CurrentMonthAgingData!$AN:$AN,CurrentMonthAgingData!$BC:$BC,"=6",CurrentMonthAgingData!$BA:$BA,"=Central West End",CurrentMonthAgingData!$AV:$AV,""&amp;$A54&amp;"")</f>
        <v>0</v>
      </c>
      <c r="I54" s="137">
        <f>SUMIFS(CurrentMonthAgingData!$AN:$AN,CurrentMonthAgingData!$BC:$BC,"=7",CurrentMonthAgingData!$BA:$BA,"=Central West End",CurrentMonthAgingData!$AV:$AV,""&amp;$A54&amp;"")</f>
        <v>0</v>
      </c>
      <c r="J54" s="137">
        <f>SUMIFS(CurrentMonthAgingData!$AN:$AN,CurrentMonthAgingData!$BC:$BC,"=8",CurrentMonthAgingData!$BA:$BA,"=Central West End",CurrentMonthAgingData!$AV:$AV,""&amp;$A54&amp;"")</f>
        <v>0</v>
      </c>
      <c r="K54" s="2">
        <f t="shared" si="22"/>
        <v>0</v>
      </c>
      <c r="L54" s="31"/>
      <c r="M54" s="1" t="s">
        <v>90</v>
      </c>
      <c r="N54" s="137">
        <v>0</v>
      </c>
      <c r="O54" s="137">
        <v>0</v>
      </c>
      <c r="P54" s="137">
        <v>0</v>
      </c>
      <c r="Q54" s="137">
        <v>0</v>
      </c>
      <c r="R54" s="137">
        <v>0</v>
      </c>
      <c r="S54" s="137">
        <v>0</v>
      </c>
      <c r="T54" s="137">
        <v>0</v>
      </c>
      <c r="U54" s="137">
        <v>0</v>
      </c>
      <c r="V54" s="2">
        <f t="shared" si="23"/>
        <v>0</v>
      </c>
      <c r="W54" s="102" t="s">
        <v>248</v>
      </c>
      <c r="X54" s="1" t="s">
        <v>90</v>
      </c>
      <c r="Y54" s="2">
        <f t="shared" si="14"/>
        <v>0</v>
      </c>
      <c r="Z54" s="2">
        <f t="shared" si="15"/>
        <v>0</v>
      </c>
      <c r="AA54" s="2">
        <f t="shared" si="16"/>
        <v>0</v>
      </c>
      <c r="AB54" s="2">
        <f t="shared" si="17"/>
        <v>0</v>
      </c>
      <c r="AC54" s="2">
        <f t="shared" si="18"/>
        <v>0</v>
      </c>
      <c r="AD54" s="2">
        <f t="shared" si="19"/>
        <v>0</v>
      </c>
      <c r="AE54" s="2">
        <f t="shared" si="20"/>
        <v>0</v>
      </c>
      <c r="AF54" s="2">
        <f t="shared" si="21"/>
        <v>0</v>
      </c>
      <c r="AG54" s="2">
        <f t="shared" si="24"/>
        <v>0</v>
      </c>
    </row>
    <row r="55" spans="1:33" x14ac:dyDescent="0.25">
      <c r="A55" t="s">
        <v>337</v>
      </c>
      <c r="B55" s="1" t="s">
        <v>342</v>
      </c>
      <c r="C55" s="137">
        <f>SUMIFS(CurrentMonthAgingData!$AN:$AN,CurrentMonthAgingData!$BC:$BC,"=1",CurrentMonthAgingData!$BA:$BA,"=Central West End",CurrentMonthAgingData!$AV:$AV,""&amp;$A55&amp;"")</f>
        <v>0</v>
      </c>
      <c r="D55" s="137">
        <f>SUMIFS(CurrentMonthAgingData!$AN:$AN,CurrentMonthAgingData!$BC:$BC,"=2",CurrentMonthAgingData!$BA:$BA,"=Central West End",CurrentMonthAgingData!$AV:$AV,""&amp;$A55&amp;"")</f>
        <v>0</v>
      </c>
      <c r="E55" s="137">
        <f>SUMIFS(CurrentMonthAgingData!$AN:$AN,CurrentMonthAgingData!$BC:$BC,"=3",CurrentMonthAgingData!$BA:$BA,"=Central West End",CurrentMonthAgingData!$AV:$AV,""&amp;$A55&amp;"")</f>
        <v>0</v>
      </c>
      <c r="F55" s="137">
        <f>SUMIFS(CurrentMonthAgingData!$AN:$AN,CurrentMonthAgingData!$BC:$BC,"=4",CurrentMonthAgingData!$BA:$BA,"=Central West End",CurrentMonthAgingData!$AV:$AV,""&amp;$A55&amp;"")</f>
        <v>0</v>
      </c>
      <c r="G55" s="137">
        <f>SUMIFS(CurrentMonthAgingData!$AN:$AN,CurrentMonthAgingData!$BC:$BC,"=5",CurrentMonthAgingData!$BA:$BA,"=Central West End",CurrentMonthAgingData!$AV:$AV,""&amp;$A55&amp;"")</f>
        <v>0</v>
      </c>
      <c r="H55" s="137">
        <f>SUMIFS(CurrentMonthAgingData!$AN:$AN,CurrentMonthAgingData!$BC:$BC,"=6",CurrentMonthAgingData!$BA:$BA,"=Central West End",CurrentMonthAgingData!$AV:$AV,""&amp;$A55&amp;"")</f>
        <v>0</v>
      </c>
      <c r="I55" s="137">
        <f>SUMIFS(CurrentMonthAgingData!$AN:$AN,CurrentMonthAgingData!$BC:$BC,"=7",CurrentMonthAgingData!$BA:$BA,"=Central West End",CurrentMonthAgingData!$AV:$AV,""&amp;$A55&amp;"")</f>
        <v>0</v>
      </c>
      <c r="J55" s="137">
        <f>SUMIFS(CurrentMonthAgingData!$AN:$AN,CurrentMonthAgingData!$BC:$BC,"=8",CurrentMonthAgingData!$BA:$BA,"=Central West End",CurrentMonthAgingData!$AV:$AV,""&amp;$A55&amp;"")</f>
        <v>0</v>
      </c>
      <c r="K55" s="2">
        <f t="shared" si="22"/>
        <v>0</v>
      </c>
      <c r="L55" s="31"/>
      <c r="M55" s="1" t="s">
        <v>342</v>
      </c>
      <c r="N55" s="2">
        <v>0</v>
      </c>
      <c r="O55" s="2">
        <v>0</v>
      </c>
      <c r="P55" s="2">
        <v>0</v>
      </c>
      <c r="Q55" s="2">
        <v>0</v>
      </c>
      <c r="R55" s="2">
        <v>0</v>
      </c>
      <c r="S55" s="2">
        <v>0</v>
      </c>
      <c r="T55" s="2">
        <v>0</v>
      </c>
      <c r="U55" s="2">
        <v>0</v>
      </c>
      <c r="V55" s="2">
        <f t="shared" si="23"/>
        <v>0</v>
      </c>
      <c r="X55" s="1" t="s">
        <v>342</v>
      </c>
      <c r="Y55" s="2">
        <f t="shared" si="14"/>
        <v>0</v>
      </c>
      <c r="Z55" s="2">
        <f t="shared" si="15"/>
        <v>0</v>
      </c>
      <c r="AA55" s="2">
        <f t="shared" si="16"/>
        <v>0</v>
      </c>
      <c r="AB55" s="2">
        <f t="shared" si="17"/>
        <v>0</v>
      </c>
      <c r="AC55" s="2">
        <f t="shared" si="18"/>
        <v>0</v>
      </c>
      <c r="AD55" s="2">
        <f t="shared" si="19"/>
        <v>0</v>
      </c>
      <c r="AE55" s="2">
        <f t="shared" si="20"/>
        <v>0</v>
      </c>
      <c r="AF55" s="2">
        <f t="shared" si="21"/>
        <v>0</v>
      </c>
      <c r="AG55" s="2">
        <f t="shared" si="24"/>
        <v>0</v>
      </c>
    </row>
    <row r="56" spans="1:33" x14ac:dyDescent="0.25">
      <c r="A56" t="s">
        <v>89</v>
      </c>
      <c r="B56" s="1" t="s">
        <v>89</v>
      </c>
      <c r="C56" s="2">
        <f>SUMIFS(CurrentMonthAgingData!$AN:$AN,CurrentMonthAgingData!$BC:$BC,"=1",CurrentMonthAgingData!$BA:$BA,"=Central West End",CurrentMonthAgingData!$AV:$AV,""&amp;$A56&amp;"")</f>
        <v>0</v>
      </c>
      <c r="D56" s="2">
        <f>SUMIFS(CurrentMonthAgingData!$AN:$AN,CurrentMonthAgingData!$BC:$BC,"=2",CurrentMonthAgingData!$BA:$BA,"=Central West End",CurrentMonthAgingData!$AV:$AV,""&amp;$A56&amp;"")</f>
        <v>0</v>
      </c>
      <c r="E56" s="2">
        <f>SUMIFS(CurrentMonthAgingData!$AN:$AN,CurrentMonthAgingData!$BC:$BC,"=3",CurrentMonthAgingData!$BA:$BA,"=Central West End",CurrentMonthAgingData!$AV:$AV,""&amp;$A56&amp;"")</f>
        <v>0</v>
      </c>
      <c r="F56" s="2">
        <f>SUMIFS(CurrentMonthAgingData!$AN:$AN,CurrentMonthAgingData!$BC:$BC,"=4",CurrentMonthAgingData!$BA:$BA,"=Central West End",CurrentMonthAgingData!$AV:$AV,""&amp;$A56&amp;"")</f>
        <v>0</v>
      </c>
      <c r="G56" s="2">
        <f>SUMIFS(CurrentMonthAgingData!$AN:$AN,CurrentMonthAgingData!$BC:$BC,"=5",CurrentMonthAgingData!$BA:$BA,"=Central West End",CurrentMonthAgingData!$AV:$AV,""&amp;$A56&amp;"")</f>
        <v>0</v>
      </c>
      <c r="H56" s="2">
        <f>SUMIFS(CurrentMonthAgingData!$AN:$AN,CurrentMonthAgingData!$BC:$BC,"=6",CurrentMonthAgingData!$BA:$BA,"=Central West End",CurrentMonthAgingData!$AV:$AV,""&amp;$A56&amp;"")</f>
        <v>0</v>
      </c>
      <c r="I56" s="2">
        <f>SUMIFS(CurrentMonthAgingData!$AN:$AN,CurrentMonthAgingData!$BC:$BC,"=7",CurrentMonthAgingData!$BA:$BA,"=Central West End",CurrentMonthAgingData!$AV:$AV,""&amp;$A56&amp;"")</f>
        <v>0</v>
      </c>
      <c r="J56" s="2">
        <f>SUMIFS(CurrentMonthAgingData!$AN:$AN,CurrentMonthAgingData!$BC:$BC,"=8",CurrentMonthAgingData!$BA:$BA,"=Central West End",CurrentMonthAgingData!$AV:$AV,""&amp;$A56&amp;"")</f>
        <v>0</v>
      </c>
      <c r="K56" s="2">
        <f t="shared" si="22"/>
        <v>0</v>
      </c>
      <c r="L56" s="31"/>
      <c r="M56" s="1" t="s">
        <v>89</v>
      </c>
      <c r="N56" s="33">
        <v>0</v>
      </c>
      <c r="O56" s="33">
        <v>0</v>
      </c>
      <c r="P56" s="33">
        <v>0</v>
      </c>
      <c r="Q56" s="33">
        <v>0</v>
      </c>
      <c r="R56" s="33">
        <v>0</v>
      </c>
      <c r="S56" s="33">
        <v>0</v>
      </c>
      <c r="T56" s="33">
        <v>0</v>
      </c>
      <c r="U56" s="33">
        <v>0</v>
      </c>
      <c r="V56" s="2">
        <f t="shared" si="23"/>
        <v>0</v>
      </c>
      <c r="X56" s="1" t="s">
        <v>89</v>
      </c>
      <c r="Y56" s="2">
        <f t="shared" si="14"/>
        <v>0</v>
      </c>
      <c r="Z56" s="2">
        <f t="shared" si="15"/>
        <v>0</v>
      </c>
      <c r="AA56" s="2">
        <f t="shared" si="16"/>
        <v>0</v>
      </c>
      <c r="AB56" s="2">
        <f t="shared" si="17"/>
        <v>0</v>
      </c>
      <c r="AC56" s="2">
        <f t="shared" si="18"/>
        <v>0</v>
      </c>
      <c r="AD56" s="2">
        <f t="shared" si="19"/>
        <v>0</v>
      </c>
      <c r="AE56" s="2">
        <f t="shared" si="20"/>
        <v>0</v>
      </c>
      <c r="AF56" s="2">
        <f t="shared" si="21"/>
        <v>0</v>
      </c>
      <c r="AG56" s="2">
        <f t="shared" si="24"/>
        <v>0</v>
      </c>
    </row>
    <row r="57" spans="1:33" x14ac:dyDescent="0.25">
      <c r="A57" t="s">
        <v>5</v>
      </c>
      <c r="B57" s="1" t="s">
        <v>5</v>
      </c>
      <c r="C57" s="137">
        <f>SUMIFS(CurrentMonthAgingData!$AN:$AN,CurrentMonthAgingData!$BC:$BC,"=1",CurrentMonthAgingData!$BA:$BA,"=Central West End",CurrentMonthAgingData!$AV:$AV,""&amp;$A57&amp;"")</f>
        <v>0</v>
      </c>
      <c r="D57" s="137">
        <f>SUMIFS(CurrentMonthAgingData!$AN:$AN,CurrentMonthAgingData!$BC:$BC,"=2",CurrentMonthAgingData!$BA:$BA,"=Central West End",CurrentMonthAgingData!$AV:$AV,""&amp;$A57&amp;"")</f>
        <v>0</v>
      </c>
      <c r="E57" s="137">
        <f>SUMIFS(CurrentMonthAgingData!$AN:$AN,CurrentMonthAgingData!$BC:$BC,"=3",CurrentMonthAgingData!$BA:$BA,"=Central West End",CurrentMonthAgingData!$AV:$AV,""&amp;$A57&amp;"")</f>
        <v>0</v>
      </c>
      <c r="F57" s="137">
        <f>SUMIFS(CurrentMonthAgingData!$AN:$AN,CurrentMonthAgingData!$BC:$BC,"=4",CurrentMonthAgingData!$BA:$BA,"=Central West End",CurrentMonthAgingData!$AV:$AV,""&amp;$A57&amp;"")</f>
        <v>0</v>
      </c>
      <c r="G57" s="137">
        <f>SUMIFS(CurrentMonthAgingData!$AN:$AN,CurrentMonthAgingData!$BC:$BC,"=5",CurrentMonthAgingData!$BA:$BA,"=Central West End",CurrentMonthAgingData!$AV:$AV,""&amp;$A57&amp;"")</f>
        <v>0</v>
      </c>
      <c r="H57" s="137">
        <f>SUMIFS(CurrentMonthAgingData!$AN:$AN,CurrentMonthAgingData!$BC:$BC,"=6",CurrentMonthAgingData!$BA:$BA,"=Central West End",CurrentMonthAgingData!$AV:$AV,""&amp;$A57&amp;"")</f>
        <v>0</v>
      </c>
      <c r="I57" s="137">
        <f>SUMIFS(CurrentMonthAgingData!$AN:$AN,CurrentMonthAgingData!$BC:$BC,"=7",CurrentMonthAgingData!$BA:$BA,"=Central West End",CurrentMonthAgingData!$AV:$AV,""&amp;$A57&amp;"")</f>
        <v>0</v>
      </c>
      <c r="J57" s="137">
        <f>SUMIFS(CurrentMonthAgingData!$AN:$AN,CurrentMonthAgingData!$BC:$BC,"=8",CurrentMonthAgingData!$BA:$BA,"=Central West End",CurrentMonthAgingData!$AV:$AV,""&amp;$A57&amp;"")</f>
        <v>0</v>
      </c>
      <c r="K57" s="2">
        <f t="shared" si="22"/>
        <v>0</v>
      </c>
      <c r="L57" s="31"/>
      <c r="M57" s="1" t="s">
        <v>5</v>
      </c>
      <c r="N57" s="137">
        <v>0</v>
      </c>
      <c r="O57" s="137">
        <v>0</v>
      </c>
      <c r="P57" s="137">
        <v>0</v>
      </c>
      <c r="Q57" s="137">
        <v>0</v>
      </c>
      <c r="R57" s="137">
        <v>0</v>
      </c>
      <c r="S57" s="137">
        <v>0</v>
      </c>
      <c r="T57" s="137">
        <v>0</v>
      </c>
      <c r="U57" s="137">
        <v>0</v>
      </c>
      <c r="V57" s="2">
        <f t="shared" si="23"/>
        <v>0</v>
      </c>
      <c r="X57" s="1" t="s">
        <v>5</v>
      </c>
      <c r="Y57" s="2">
        <f t="shared" si="14"/>
        <v>0</v>
      </c>
      <c r="Z57" s="2">
        <f t="shared" si="15"/>
        <v>0</v>
      </c>
      <c r="AA57" s="2">
        <f t="shared" si="16"/>
        <v>0</v>
      </c>
      <c r="AB57" s="2">
        <f t="shared" si="17"/>
        <v>0</v>
      </c>
      <c r="AC57" s="2">
        <f t="shared" si="18"/>
        <v>0</v>
      </c>
      <c r="AD57" s="2">
        <f t="shared" si="19"/>
        <v>0</v>
      </c>
      <c r="AE57" s="2">
        <f t="shared" si="20"/>
        <v>0</v>
      </c>
      <c r="AF57" s="2">
        <f t="shared" si="21"/>
        <v>0</v>
      </c>
      <c r="AG57" s="2">
        <f t="shared" si="24"/>
        <v>0</v>
      </c>
    </row>
    <row r="58" spans="1:33" x14ac:dyDescent="0.25">
      <c r="A58" t="s">
        <v>84</v>
      </c>
      <c r="B58" s="1" t="s">
        <v>84</v>
      </c>
      <c r="C58" s="137">
        <f>SUMIFS(CurrentMonthAgingData!$AN:$AN,CurrentMonthAgingData!$BC:$BC,"=1",CurrentMonthAgingData!$BA:$BA,"=Central West End",CurrentMonthAgingData!$AV:$AV,""&amp;$A58&amp;"")</f>
        <v>0</v>
      </c>
      <c r="D58" s="137">
        <f>SUMIFS(CurrentMonthAgingData!$AN:$AN,CurrentMonthAgingData!$BC:$BC,"=2",CurrentMonthAgingData!$BA:$BA,"=Central West End",CurrentMonthAgingData!$AV:$AV,""&amp;$A58&amp;"")</f>
        <v>0</v>
      </c>
      <c r="E58" s="137">
        <f>SUMIFS(CurrentMonthAgingData!$AN:$AN,CurrentMonthAgingData!$BC:$BC,"=3",CurrentMonthAgingData!$BA:$BA,"=Central West End",CurrentMonthAgingData!$AV:$AV,""&amp;$A58&amp;"")</f>
        <v>0</v>
      </c>
      <c r="F58" s="137">
        <f>SUMIFS(CurrentMonthAgingData!$AN:$AN,CurrentMonthAgingData!$BC:$BC,"=4",CurrentMonthAgingData!$BA:$BA,"=Central West End",CurrentMonthAgingData!$AV:$AV,""&amp;$A58&amp;"")</f>
        <v>0</v>
      </c>
      <c r="G58" s="137">
        <f>SUMIFS(CurrentMonthAgingData!$AN:$AN,CurrentMonthAgingData!$BC:$BC,"=5",CurrentMonthAgingData!$BA:$BA,"=Central West End",CurrentMonthAgingData!$AV:$AV,""&amp;$A58&amp;"")</f>
        <v>0</v>
      </c>
      <c r="H58" s="137">
        <f>SUMIFS(CurrentMonthAgingData!$AN:$AN,CurrentMonthAgingData!$BC:$BC,"=6",CurrentMonthAgingData!$BA:$BA,"=Central West End",CurrentMonthAgingData!$AV:$AV,""&amp;$A58&amp;"")</f>
        <v>0</v>
      </c>
      <c r="I58" s="137">
        <f>SUMIFS(CurrentMonthAgingData!$AN:$AN,CurrentMonthAgingData!$BC:$BC,"=7",CurrentMonthAgingData!$BA:$BA,"=Central West End",CurrentMonthAgingData!$AV:$AV,""&amp;$A58&amp;"")</f>
        <v>0</v>
      </c>
      <c r="J58" s="137">
        <f>SUMIFS(CurrentMonthAgingData!$AN:$AN,CurrentMonthAgingData!$BC:$BC,"=8",CurrentMonthAgingData!$BA:$BA,"=Central West End",CurrentMonthAgingData!$AV:$AV,""&amp;$A58&amp;"")</f>
        <v>-28.6</v>
      </c>
      <c r="K58" s="2">
        <f t="shared" si="22"/>
        <v>-28.6</v>
      </c>
      <c r="L58" s="31"/>
      <c r="M58" s="1" t="s">
        <v>84</v>
      </c>
      <c r="N58" s="137">
        <v>0</v>
      </c>
      <c r="O58" s="137">
        <v>0</v>
      </c>
      <c r="P58" s="137">
        <v>0</v>
      </c>
      <c r="Q58" s="137">
        <v>0</v>
      </c>
      <c r="R58" s="137">
        <v>0</v>
      </c>
      <c r="S58" s="137">
        <v>0</v>
      </c>
      <c r="T58" s="137">
        <v>0</v>
      </c>
      <c r="U58" s="137">
        <v>-28.6</v>
      </c>
      <c r="V58" s="2">
        <f t="shared" si="23"/>
        <v>-28.6</v>
      </c>
      <c r="X58" s="1" t="s">
        <v>84</v>
      </c>
      <c r="Y58" s="2">
        <f t="shared" si="14"/>
        <v>0</v>
      </c>
      <c r="Z58" s="2">
        <f t="shared" si="15"/>
        <v>0</v>
      </c>
      <c r="AA58" s="2">
        <f t="shared" si="16"/>
        <v>0</v>
      </c>
      <c r="AB58" s="2">
        <f t="shared" si="17"/>
        <v>0</v>
      </c>
      <c r="AC58" s="2">
        <f t="shared" si="18"/>
        <v>0</v>
      </c>
      <c r="AD58" s="2">
        <f t="shared" si="19"/>
        <v>0</v>
      </c>
      <c r="AE58" s="2">
        <f t="shared" si="20"/>
        <v>0</v>
      </c>
      <c r="AF58" s="2">
        <f t="shared" si="21"/>
        <v>0</v>
      </c>
      <c r="AG58" s="2">
        <f t="shared" si="24"/>
        <v>0</v>
      </c>
    </row>
    <row r="59" spans="1:33" x14ac:dyDescent="0.25">
      <c r="A59" t="s">
        <v>4</v>
      </c>
      <c r="B59" s="1" t="s">
        <v>4</v>
      </c>
      <c r="C59" s="137">
        <f>SUMIFS(CurrentMonthAgingData!$AN:$AN,CurrentMonthAgingData!$BC:$BC,"=1",CurrentMonthAgingData!$BA:$BA,"=Central West End",CurrentMonthAgingData!$AV:$AV,""&amp;$A59&amp;"")</f>
        <v>0</v>
      </c>
      <c r="D59" s="137">
        <f>SUMIFS(CurrentMonthAgingData!$AN:$AN,CurrentMonthAgingData!$BC:$BC,"=2",CurrentMonthAgingData!$BA:$BA,"=Central West End",CurrentMonthAgingData!$AV:$AV,""&amp;$A59&amp;"")</f>
        <v>0</v>
      </c>
      <c r="E59" s="137">
        <f>SUMIFS(CurrentMonthAgingData!$AN:$AN,CurrentMonthAgingData!$BC:$BC,"=3",CurrentMonthAgingData!$BA:$BA,"=Central West End",CurrentMonthAgingData!$AV:$AV,""&amp;$A59&amp;"")</f>
        <v>0</v>
      </c>
      <c r="F59" s="137">
        <f>SUMIFS(CurrentMonthAgingData!$AN:$AN,CurrentMonthAgingData!$BC:$BC,"=4",CurrentMonthAgingData!$BA:$BA,"=Central West End",CurrentMonthAgingData!$AV:$AV,""&amp;$A59&amp;"")</f>
        <v>0</v>
      </c>
      <c r="G59" s="137">
        <f>SUMIFS(CurrentMonthAgingData!$AN:$AN,CurrentMonthAgingData!$BC:$BC,"=5",CurrentMonthAgingData!$BA:$BA,"=Central West End",CurrentMonthAgingData!$AV:$AV,""&amp;$A59&amp;"")</f>
        <v>0</v>
      </c>
      <c r="H59" s="137">
        <f>SUMIFS(CurrentMonthAgingData!$AN:$AN,CurrentMonthAgingData!$BC:$BC,"=6",CurrentMonthAgingData!$BA:$BA,"=Central West End",CurrentMonthAgingData!$AV:$AV,""&amp;$A59&amp;"")</f>
        <v>0</v>
      </c>
      <c r="I59" s="137">
        <f>SUMIFS(CurrentMonthAgingData!$AN:$AN,CurrentMonthAgingData!$BC:$BC,"=7",CurrentMonthAgingData!$BA:$BA,"=Central West End",CurrentMonthAgingData!$AV:$AV,""&amp;$A59&amp;"")</f>
        <v>0</v>
      </c>
      <c r="J59" s="137">
        <f>SUMIFS(CurrentMonthAgingData!$AN:$AN,CurrentMonthAgingData!$BC:$BC,"=8",CurrentMonthAgingData!$BA:$BA,"=Central West End",CurrentMonthAgingData!$AV:$AV,""&amp;$A59&amp;"")</f>
        <v>-132.04000000000002</v>
      </c>
      <c r="K59" s="2">
        <f t="shared" si="22"/>
        <v>-132.04000000000002</v>
      </c>
      <c r="L59" s="31"/>
      <c r="M59" s="1" t="s">
        <v>4</v>
      </c>
      <c r="N59" s="137">
        <v>0</v>
      </c>
      <c r="O59" s="137">
        <v>0</v>
      </c>
      <c r="P59" s="137">
        <v>0</v>
      </c>
      <c r="Q59" s="137">
        <v>0</v>
      </c>
      <c r="R59" s="137">
        <v>0</v>
      </c>
      <c r="S59" s="137">
        <v>0</v>
      </c>
      <c r="T59" s="137">
        <v>0</v>
      </c>
      <c r="U59" s="137">
        <v>-132.04000000000002</v>
      </c>
      <c r="V59" s="2">
        <f t="shared" si="23"/>
        <v>-132.04000000000002</v>
      </c>
      <c r="X59" s="1" t="s">
        <v>4</v>
      </c>
      <c r="Y59" s="2">
        <f t="shared" si="14"/>
        <v>0</v>
      </c>
      <c r="Z59" s="2">
        <f t="shared" si="15"/>
        <v>0</v>
      </c>
      <c r="AA59" s="2">
        <f t="shared" si="16"/>
        <v>0</v>
      </c>
      <c r="AB59" s="2">
        <f t="shared" si="17"/>
        <v>0</v>
      </c>
      <c r="AC59" s="2">
        <f t="shared" si="18"/>
        <v>0</v>
      </c>
      <c r="AD59" s="2">
        <f t="shared" si="19"/>
        <v>0</v>
      </c>
      <c r="AE59" s="2">
        <f t="shared" si="20"/>
        <v>0</v>
      </c>
      <c r="AF59" s="2">
        <f t="shared" si="21"/>
        <v>0</v>
      </c>
      <c r="AG59" s="2">
        <f t="shared" si="24"/>
        <v>0</v>
      </c>
    </row>
    <row r="60" spans="1:33" x14ac:dyDescent="0.25">
      <c r="A60" t="s">
        <v>51</v>
      </c>
      <c r="B60" s="1" t="s">
        <v>51</v>
      </c>
      <c r="C60" s="137">
        <f>SUMIFS(CurrentMonthAgingData!$AN:$AN,CurrentMonthAgingData!$BC:$BC,"=1",CurrentMonthAgingData!$BA:$BA,"=Central West End",CurrentMonthAgingData!$AV:$AV,""&amp;$A60&amp;"")</f>
        <v>0</v>
      </c>
      <c r="D60" s="137">
        <f>SUMIFS(CurrentMonthAgingData!$AN:$AN,CurrentMonthAgingData!$BC:$BC,"=2",CurrentMonthAgingData!$BA:$BA,"=Central West End",CurrentMonthAgingData!$AV:$AV,""&amp;$A60&amp;"")</f>
        <v>0</v>
      </c>
      <c r="E60" s="137">
        <f>SUMIFS(CurrentMonthAgingData!$AN:$AN,CurrentMonthAgingData!$BC:$BC,"=3",CurrentMonthAgingData!$BA:$BA,"=Central West End",CurrentMonthAgingData!$AV:$AV,""&amp;$A60&amp;"")</f>
        <v>0</v>
      </c>
      <c r="F60" s="137">
        <f>SUMIFS(CurrentMonthAgingData!$AN:$AN,CurrentMonthAgingData!$BC:$BC,"=4",CurrentMonthAgingData!$BA:$BA,"=Central West End",CurrentMonthAgingData!$AV:$AV,""&amp;$A60&amp;"")</f>
        <v>0</v>
      </c>
      <c r="G60" s="137">
        <f>SUMIFS(CurrentMonthAgingData!$AN:$AN,CurrentMonthAgingData!$BC:$BC,"=5",CurrentMonthAgingData!$BA:$BA,"=Central West End",CurrentMonthAgingData!$AV:$AV,""&amp;$A60&amp;"")</f>
        <v>0</v>
      </c>
      <c r="H60" s="137">
        <f>SUMIFS(CurrentMonthAgingData!$AN:$AN,CurrentMonthAgingData!$BC:$BC,"=6",CurrentMonthAgingData!$BA:$BA,"=Central West End",CurrentMonthAgingData!$AV:$AV,""&amp;$A60&amp;"")</f>
        <v>0</v>
      </c>
      <c r="I60" s="137">
        <f>SUMIFS(CurrentMonthAgingData!$AN:$AN,CurrentMonthAgingData!$BC:$BC,"=7",CurrentMonthAgingData!$BA:$BA,"=Central West End",CurrentMonthAgingData!$AV:$AV,""&amp;$A60&amp;"")</f>
        <v>0</v>
      </c>
      <c r="J60" s="137">
        <f>SUMIFS(CurrentMonthAgingData!$AN:$AN,CurrentMonthAgingData!$BC:$BC,"=8",CurrentMonthAgingData!$BA:$BA,"=Central West End",CurrentMonthAgingData!$AV:$AV,""&amp;$A60&amp;"")</f>
        <v>0</v>
      </c>
      <c r="K60" s="2">
        <f t="shared" si="22"/>
        <v>0</v>
      </c>
      <c r="L60" s="31"/>
      <c r="M60" s="1" t="s">
        <v>51</v>
      </c>
      <c r="N60" s="137">
        <v>0</v>
      </c>
      <c r="O60" s="137">
        <v>0</v>
      </c>
      <c r="P60" s="137">
        <v>0</v>
      </c>
      <c r="Q60" s="137">
        <v>0</v>
      </c>
      <c r="R60" s="137">
        <v>0</v>
      </c>
      <c r="S60" s="137">
        <v>0</v>
      </c>
      <c r="T60" s="137">
        <v>0</v>
      </c>
      <c r="U60" s="137">
        <v>0</v>
      </c>
      <c r="V60" s="2">
        <f t="shared" si="23"/>
        <v>0</v>
      </c>
      <c r="X60" s="1" t="s">
        <v>51</v>
      </c>
      <c r="Y60" s="2">
        <f t="shared" si="14"/>
        <v>0</v>
      </c>
      <c r="Z60" s="2">
        <f t="shared" si="15"/>
        <v>0</v>
      </c>
      <c r="AA60" s="2">
        <f t="shared" si="16"/>
        <v>0</v>
      </c>
      <c r="AB60" s="2">
        <f t="shared" si="17"/>
        <v>0</v>
      </c>
      <c r="AC60" s="2">
        <f t="shared" si="18"/>
        <v>0</v>
      </c>
      <c r="AD60" s="2">
        <f t="shared" si="19"/>
        <v>0</v>
      </c>
      <c r="AE60" s="2">
        <f t="shared" si="20"/>
        <v>0</v>
      </c>
      <c r="AF60" s="2">
        <f t="shared" si="21"/>
        <v>0</v>
      </c>
      <c r="AG60" s="2">
        <f t="shared" si="24"/>
        <v>0</v>
      </c>
    </row>
    <row r="61" spans="1:33" x14ac:dyDescent="0.25">
      <c r="A61" t="s">
        <v>87</v>
      </c>
      <c r="B61" s="1" t="s">
        <v>87</v>
      </c>
      <c r="C61" s="2">
        <f>SUMIFS(CurrentMonthAgingData!$AN:$AN,CurrentMonthAgingData!$BC:$BC,"=1",CurrentMonthAgingData!$BA:$BA,"=Central West End",CurrentMonthAgingData!$AV:$AV,""&amp;$A61&amp;"")</f>
        <v>0</v>
      </c>
      <c r="D61" s="2">
        <f>SUMIFS(CurrentMonthAgingData!$AN:$AN,CurrentMonthAgingData!$BC:$BC,"=2",CurrentMonthAgingData!$BA:$BA,"=Central West End",CurrentMonthAgingData!$AV:$AV,""&amp;$A61&amp;"")</f>
        <v>0</v>
      </c>
      <c r="E61" s="2">
        <f>SUMIFS(CurrentMonthAgingData!$AN:$AN,CurrentMonthAgingData!$BC:$BC,"=3",CurrentMonthAgingData!$BA:$BA,"=Central West End",CurrentMonthAgingData!$AV:$AV,""&amp;$A61&amp;"")</f>
        <v>0</v>
      </c>
      <c r="F61" s="137">
        <f>SUMIFS(CurrentMonthAgingData!$AN:$AN,CurrentMonthAgingData!$BC:$BC,"=4",CurrentMonthAgingData!$BA:$BA,"=Central West End",CurrentMonthAgingData!$AV:$AV,""&amp;$A61&amp;"")</f>
        <v>0</v>
      </c>
      <c r="G61" s="137">
        <f>SUMIFS(CurrentMonthAgingData!$AN:$AN,CurrentMonthAgingData!$BC:$BC,"=5",CurrentMonthAgingData!$BA:$BA,"=Central West End",CurrentMonthAgingData!$AV:$AV,""&amp;$A61&amp;"")</f>
        <v>0</v>
      </c>
      <c r="H61" s="137">
        <f>SUMIFS(CurrentMonthAgingData!$AN:$AN,CurrentMonthAgingData!$BC:$BC,"=6",CurrentMonthAgingData!$BA:$BA,"=Central West End",CurrentMonthAgingData!$AV:$AV,""&amp;$A61&amp;"")</f>
        <v>0</v>
      </c>
      <c r="I61" s="137">
        <f>SUMIFS(CurrentMonthAgingData!$AN:$AN,CurrentMonthAgingData!$BC:$BC,"=7",CurrentMonthAgingData!$BA:$BA,"=Central West End",CurrentMonthAgingData!$AV:$AV,""&amp;$A61&amp;"")</f>
        <v>0</v>
      </c>
      <c r="J61" s="137">
        <f>SUMIFS(CurrentMonthAgingData!$AN:$AN,CurrentMonthAgingData!$BC:$BC,"=8",CurrentMonthAgingData!$BA:$BA,"=Central West End",CurrentMonthAgingData!$AV:$AV,""&amp;$A61&amp;"")</f>
        <v>0</v>
      </c>
      <c r="K61" s="2">
        <f t="shared" si="22"/>
        <v>0</v>
      </c>
      <c r="L61" s="31"/>
      <c r="M61" s="1" t="s">
        <v>87</v>
      </c>
      <c r="N61" s="2">
        <v>0</v>
      </c>
      <c r="O61" s="2">
        <v>0</v>
      </c>
      <c r="P61" s="2">
        <v>0</v>
      </c>
      <c r="Q61" s="2">
        <v>0</v>
      </c>
      <c r="R61" s="2">
        <v>0</v>
      </c>
      <c r="S61" s="2">
        <v>0</v>
      </c>
      <c r="T61" s="2">
        <v>0</v>
      </c>
      <c r="U61" s="2">
        <v>0</v>
      </c>
      <c r="V61" s="2">
        <f t="shared" si="23"/>
        <v>0</v>
      </c>
      <c r="X61" s="1" t="s">
        <v>87</v>
      </c>
      <c r="Y61" s="2">
        <f t="shared" si="14"/>
        <v>0</v>
      </c>
      <c r="Z61" s="2">
        <f t="shared" si="15"/>
        <v>0</v>
      </c>
      <c r="AA61" s="2">
        <f t="shared" si="16"/>
        <v>0</v>
      </c>
      <c r="AB61" s="2">
        <f t="shared" si="17"/>
        <v>0</v>
      </c>
      <c r="AC61" s="2">
        <f t="shared" si="18"/>
        <v>0</v>
      </c>
      <c r="AD61" s="2">
        <f t="shared" si="19"/>
        <v>0</v>
      </c>
      <c r="AE61" s="2">
        <f t="shared" si="20"/>
        <v>0</v>
      </c>
      <c r="AF61" s="2">
        <f t="shared" si="21"/>
        <v>0</v>
      </c>
      <c r="AG61" s="2">
        <f t="shared" si="24"/>
        <v>0</v>
      </c>
    </row>
    <row r="62" spans="1:33" x14ac:dyDescent="0.25">
      <c r="A62" t="s">
        <v>85</v>
      </c>
      <c r="B62" s="1" t="s">
        <v>85</v>
      </c>
      <c r="C62" s="2">
        <f>SUMIFS(CurrentMonthAgingData!$AN:$AN,CurrentMonthAgingData!$BC:$BC,"=1",CurrentMonthAgingData!$BA:$BA,"=Central West End",CurrentMonthAgingData!$AV:$AV,""&amp;$A62&amp;"")</f>
        <v>0</v>
      </c>
      <c r="D62" s="2">
        <f>SUMIFS(CurrentMonthAgingData!$AN:$AN,CurrentMonthAgingData!$BC:$BC,"=2",CurrentMonthAgingData!$BA:$BA,"=Central West End",CurrentMonthAgingData!$AV:$AV,""&amp;$A62&amp;"")</f>
        <v>0</v>
      </c>
      <c r="E62" s="2">
        <f>SUMIFS(CurrentMonthAgingData!$AN:$AN,CurrentMonthAgingData!$BC:$BC,"=3",CurrentMonthAgingData!$BA:$BA,"=Central West End",CurrentMonthAgingData!$AV:$AV,""&amp;$A62&amp;"")</f>
        <v>0</v>
      </c>
      <c r="F62" s="2">
        <f>SUMIFS(CurrentMonthAgingData!$AN:$AN,CurrentMonthAgingData!$BC:$BC,"=4",CurrentMonthAgingData!$BA:$BA,"=Central West End",CurrentMonthAgingData!$AV:$AV,""&amp;$A62&amp;"")</f>
        <v>0</v>
      </c>
      <c r="G62" s="2">
        <f>SUMIFS(CurrentMonthAgingData!$AN:$AN,CurrentMonthAgingData!$BC:$BC,"=5",CurrentMonthAgingData!$BA:$BA,"=Central West End",CurrentMonthAgingData!$AV:$AV,""&amp;$A62&amp;"")</f>
        <v>0</v>
      </c>
      <c r="H62" s="2">
        <f>SUMIFS(CurrentMonthAgingData!$AN:$AN,CurrentMonthAgingData!$BC:$BC,"=6",CurrentMonthAgingData!$BA:$BA,"=Central West End",CurrentMonthAgingData!$AV:$AV,""&amp;$A62&amp;"")</f>
        <v>0</v>
      </c>
      <c r="I62" s="2">
        <f>SUMIFS(CurrentMonthAgingData!$AN:$AN,CurrentMonthAgingData!$BC:$BC,"=7",CurrentMonthAgingData!$BA:$BA,"=Central West End",CurrentMonthAgingData!$AV:$AV,""&amp;$A62&amp;"")</f>
        <v>0</v>
      </c>
      <c r="J62" s="2">
        <f>SUMIFS(CurrentMonthAgingData!$AN:$AN,CurrentMonthAgingData!$BC:$BC,"=8",CurrentMonthAgingData!$BA:$BA,"=Central West End",CurrentMonthAgingData!$AV:$AV,""&amp;$A62&amp;"")</f>
        <v>0</v>
      </c>
      <c r="K62" s="2">
        <f t="shared" si="22"/>
        <v>0</v>
      </c>
      <c r="L62" s="31"/>
      <c r="M62" s="1" t="s">
        <v>85</v>
      </c>
      <c r="N62" s="33">
        <v>0</v>
      </c>
      <c r="O62" s="33">
        <v>0</v>
      </c>
      <c r="P62" s="33">
        <v>0</v>
      </c>
      <c r="Q62" s="33">
        <v>0</v>
      </c>
      <c r="R62" s="33">
        <v>0</v>
      </c>
      <c r="S62" s="33">
        <v>0</v>
      </c>
      <c r="T62" s="33">
        <v>0</v>
      </c>
      <c r="U62" s="33">
        <v>0</v>
      </c>
      <c r="V62" s="2">
        <f t="shared" si="23"/>
        <v>0</v>
      </c>
      <c r="X62" s="1" t="s">
        <v>85</v>
      </c>
      <c r="Y62" s="2">
        <f t="shared" si="14"/>
        <v>0</v>
      </c>
      <c r="Z62" s="2">
        <f t="shared" si="15"/>
        <v>0</v>
      </c>
      <c r="AA62" s="2">
        <f t="shared" si="16"/>
        <v>0</v>
      </c>
      <c r="AB62" s="2">
        <f t="shared" si="17"/>
        <v>0</v>
      </c>
      <c r="AC62" s="2">
        <f t="shared" si="18"/>
        <v>0</v>
      </c>
      <c r="AD62" s="2">
        <f t="shared" si="19"/>
        <v>0</v>
      </c>
      <c r="AE62" s="2">
        <f t="shared" si="20"/>
        <v>0</v>
      </c>
      <c r="AF62" s="2">
        <f t="shared" si="21"/>
        <v>0</v>
      </c>
      <c r="AG62" s="2">
        <f t="shared" si="24"/>
        <v>0</v>
      </c>
    </row>
    <row r="63" spans="1:33" x14ac:dyDescent="0.25">
      <c r="A63" t="s">
        <v>338</v>
      </c>
      <c r="B63" s="1" t="s">
        <v>2</v>
      </c>
      <c r="C63" s="137">
        <f>SUMIFS(CurrentMonthAgingData!$AN:$AN,CurrentMonthAgingData!$BC:$BC,"=1",CurrentMonthAgingData!$BA:$BA,"=Central West End",CurrentMonthAgingData!$AV:$AV,""&amp;$A63&amp;"")</f>
        <v>-13808.970000000001</v>
      </c>
      <c r="D63" s="137">
        <f>SUMIFS(CurrentMonthAgingData!$AN:$AN,CurrentMonthAgingData!$BC:$BC,"=2",CurrentMonthAgingData!$BA:$BA,"=Central West End",CurrentMonthAgingData!$AV:$AV,""&amp;$A63&amp;"")</f>
        <v>0</v>
      </c>
      <c r="E63" s="137">
        <f>SUMIFS(CurrentMonthAgingData!$AN:$AN,CurrentMonthAgingData!$BC:$BC,"=3",CurrentMonthAgingData!$BA:$BA,"=Central West End",CurrentMonthAgingData!$AV:$AV,""&amp;$A63&amp;"")</f>
        <v>0</v>
      </c>
      <c r="F63" s="137">
        <f>SUMIFS(CurrentMonthAgingData!$AN:$AN,CurrentMonthAgingData!$BC:$BC,"=4",CurrentMonthAgingData!$BA:$BA,"=Central West End",CurrentMonthAgingData!$AV:$AV,""&amp;$A63&amp;"")</f>
        <v>0</v>
      </c>
      <c r="G63" s="137">
        <f>SUMIFS(CurrentMonthAgingData!$AN:$AN,CurrentMonthAgingData!$BC:$BC,"=5",CurrentMonthAgingData!$BA:$BA,"=Central West End",CurrentMonthAgingData!$AV:$AV,""&amp;$A63&amp;"")</f>
        <v>0</v>
      </c>
      <c r="H63" s="137">
        <f>SUMIFS(CurrentMonthAgingData!$AN:$AN,CurrentMonthAgingData!$BC:$BC,"=6",CurrentMonthAgingData!$BA:$BA,"=Central West End",CurrentMonthAgingData!$AV:$AV,""&amp;$A63&amp;"")</f>
        <v>0</v>
      </c>
      <c r="I63" s="137">
        <f>SUMIFS(CurrentMonthAgingData!$AN:$AN,CurrentMonthAgingData!$BC:$BC,"=7",CurrentMonthAgingData!$BA:$BA,"=Central West End",CurrentMonthAgingData!$AV:$AV,""&amp;$A63&amp;"")</f>
        <v>0</v>
      </c>
      <c r="J63" s="137">
        <f>SUMIFS(CurrentMonthAgingData!$AN:$AN,CurrentMonthAgingData!$BC:$BC,"=8",CurrentMonthAgingData!$BA:$BA,"=Central West End",CurrentMonthAgingData!$AV:$AV,""&amp;$A63&amp;"")</f>
        <v>-102</v>
      </c>
      <c r="K63" s="2">
        <f t="shared" si="22"/>
        <v>-13910.970000000001</v>
      </c>
      <c r="L63" s="31"/>
      <c r="M63" s="1" t="s">
        <v>2</v>
      </c>
      <c r="N63" s="137">
        <v>-13808.970000000001</v>
      </c>
      <c r="O63" s="137">
        <v>0</v>
      </c>
      <c r="P63" s="137">
        <v>0</v>
      </c>
      <c r="Q63" s="137">
        <v>0</v>
      </c>
      <c r="R63" s="137">
        <v>0</v>
      </c>
      <c r="S63" s="137">
        <v>0</v>
      </c>
      <c r="T63" s="137">
        <v>0</v>
      </c>
      <c r="U63" s="137">
        <v>-102</v>
      </c>
      <c r="V63" s="2">
        <f t="shared" si="23"/>
        <v>-13910.970000000001</v>
      </c>
      <c r="X63" s="1" t="s">
        <v>2</v>
      </c>
      <c r="Y63" s="2">
        <f t="shared" si="14"/>
        <v>0</v>
      </c>
      <c r="Z63" s="2">
        <f t="shared" si="15"/>
        <v>0</v>
      </c>
      <c r="AA63" s="2">
        <f t="shared" si="16"/>
        <v>0</v>
      </c>
      <c r="AB63" s="2">
        <f t="shared" si="17"/>
        <v>0</v>
      </c>
      <c r="AC63" s="2">
        <f t="shared" si="18"/>
        <v>0</v>
      </c>
      <c r="AD63" s="2">
        <f t="shared" si="19"/>
        <v>0</v>
      </c>
      <c r="AE63" s="2">
        <f t="shared" si="20"/>
        <v>0</v>
      </c>
      <c r="AF63" s="2">
        <f t="shared" si="21"/>
        <v>0</v>
      </c>
      <c r="AG63" s="2">
        <f t="shared" si="24"/>
        <v>0</v>
      </c>
    </row>
    <row r="64" spans="1:33" x14ac:dyDescent="0.25">
      <c r="A64" t="s">
        <v>86</v>
      </c>
      <c r="B64" s="1" t="s">
        <v>86</v>
      </c>
      <c r="C64" s="137">
        <f>SUMIFS(CurrentMonthAgingData!$AN:$AN,CurrentMonthAgingData!$BC:$BC,"=1",CurrentMonthAgingData!$BA:$BA,"=Central West End",CurrentMonthAgingData!$AV:$AV,""&amp;$A64&amp;"")</f>
        <v>0</v>
      </c>
      <c r="D64" s="137">
        <f>SUMIFS(CurrentMonthAgingData!$AN:$AN,CurrentMonthAgingData!$BC:$BC,"=2",CurrentMonthAgingData!$BA:$BA,"=Central West End",CurrentMonthAgingData!$AV:$AV,""&amp;$A64&amp;"")</f>
        <v>0</v>
      </c>
      <c r="E64" s="137">
        <f>SUMIFS(CurrentMonthAgingData!$AN:$AN,CurrentMonthAgingData!$BC:$BC,"=3",CurrentMonthAgingData!$BA:$BA,"=Central West End",CurrentMonthAgingData!$AV:$AV,""&amp;$A64&amp;"")</f>
        <v>0</v>
      </c>
      <c r="F64" s="137">
        <f>SUMIFS(CurrentMonthAgingData!$AN:$AN,CurrentMonthAgingData!$BC:$BC,"=4",CurrentMonthAgingData!$BA:$BA,"=Central West End",CurrentMonthAgingData!$AV:$AV,""&amp;$A64&amp;"")</f>
        <v>0</v>
      </c>
      <c r="G64" s="137">
        <f>SUMIFS(CurrentMonthAgingData!$AN:$AN,CurrentMonthAgingData!$BC:$BC,"=5",CurrentMonthAgingData!$BA:$BA,"=Central West End",CurrentMonthAgingData!$AV:$AV,""&amp;$A64&amp;"")</f>
        <v>0</v>
      </c>
      <c r="H64" s="137">
        <f>SUMIFS(CurrentMonthAgingData!$AN:$AN,CurrentMonthAgingData!$BC:$BC,"=6",CurrentMonthAgingData!$BA:$BA,"=Central West End",CurrentMonthAgingData!$AV:$AV,""&amp;$A64&amp;"")</f>
        <v>0</v>
      </c>
      <c r="I64" s="137">
        <f>SUMIFS(CurrentMonthAgingData!$AN:$AN,CurrentMonthAgingData!$BC:$BC,"=7",CurrentMonthAgingData!$BA:$BA,"=Central West End",CurrentMonthAgingData!$AV:$AV,""&amp;$A64&amp;"")</f>
        <v>0</v>
      </c>
      <c r="J64" s="137">
        <f>SUMIFS(CurrentMonthAgingData!$AN:$AN,CurrentMonthAgingData!$BC:$BC,"=8",CurrentMonthAgingData!$BA:$BA,"=Central West End",CurrentMonthAgingData!$AV:$AV,""&amp;$A64&amp;"")</f>
        <v>0</v>
      </c>
      <c r="K64" s="2">
        <f t="shared" si="22"/>
        <v>0</v>
      </c>
      <c r="L64" s="31"/>
      <c r="M64" s="1" t="s">
        <v>86</v>
      </c>
      <c r="N64" s="2">
        <v>0</v>
      </c>
      <c r="O64" s="2">
        <v>0</v>
      </c>
      <c r="P64" s="2">
        <v>0</v>
      </c>
      <c r="Q64" s="2">
        <v>0</v>
      </c>
      <c r="R64" s="2">
        <v>0</v>
      </c>
      <c r="S64" s="2">
        <v>0</v>
      </c>
      <c r="T64" s="2">
        <v>0</v>
      </c>
      <c r="U64" s="2">
        <v>0</v>
      </c>
      <c r="V64" s="2">
        <f t="shared" si="23"/>
        <v>0</v>
      </c>
      <c r="X64" s="1" t="s">
        <v>86</v>
      </c>
      <c r="Y64" s="2">
        <f t="shared" si="14"/>
        <v>0</v>
      </c>
      <c r="Z64" s="2">
        <f t="shared" si="15"/>
        <v>0</v>
      </c>
      <c r="AA64" s="2">
        <f t="shared" si="16"/>
        <v>0</v>
      </c>
      <c r="AB64" s="2">
        <f t="shared" si="17"/>
        <v>0</v>
      </c>
      <c r="AC64" s="2">
        <f t="shared" si="18"/>
        <v>0</v>
      </c>
      <c r="AD64" s="2">
        <f t="shared" si="19"/>
        <v>0</v>
      </c>
      <c r="AE64" s="2">
        <f t="shared" si="20"/>
        <v>0</v>
      </c>
      <c r="AF64" s="2">
        <f t="shared" si="21"/>
        <v>0</v>
      </c>
      <c r="AG64" s="2">
        <f t="shared" si="24"/>
        <v>0</v>
      </c>
    </row>
    <row r="65" spans="1:33" x14ac:dyDescent="0.25">
      <c r="A65" t="s">
        <v>29</v>
      </c>
      <c r="B65" s="1" t="s">
        <v>29</v>
      </c>
      <c r="C65" s="137">
        <f>SUMIFS(CurrentMonthAgingData!$AN:$AN,CurrentMonthAgingData!$BC:$BC,"=1",CurrentMonthAgingData!$BA:$BA,"=Central West End",CurrentMonthAgingData!$AV:$AV,""&amp;$A65&amp;"")</f>
        <v>0</v>
      </c>
      <c r="D65" s="137">
        <f>SUMIFS(CurrentMonthAgingData!$AN:$AN,CurrentMonthAgingData!$BC:$BC,"=2",CurrentMonthAgingData!$BA:$BA,"=Central West End",CurrentMonthAgingData!$AV:$AV,""&amp;$A65&amp;"")</f>
        <v>0</v>
      </c>
      <c r="E65" s="137">
        <f>SUMIFS(CurrentMonthAgingData!$AN:$AN,CurrentMonthAgingData!$BC:$BC,"=3",CurrentMonthAgingData!$BA:$BA,"=Central West End",CurrentMonthAgingData!$AV:$AV,""&amp;$A65&amp;"")</f>
        <v>0</v>
      </c>
      <c r="F65" s="137">
        <f>SUMIFS(CurrentMonthAgingData!$AN:$AN,CurrentMonthAgingData!$BC:$BC,"=4",CurrentMonthAgingData!$BA:$BA,"=Central West End",CurrentMonthAgingData!$AV:$AV,""&amp;$A65&amp;"")</f>
        <v>0</v>
      </c>
      <c r="G65" s="137">
        <f>SUMIFS(CurrentMonthAgingData!$AN:$AN,CurrentMonthAgingData!$BC:$BC,"=5",CurrentMonthAgingData!$BA:$BA,"=Central West End",CurrentMonthAgingData!$AV:$AV,""&amp;$A65&amp;"")</f>
        <v>0</v>
      </c>
      <c r="H65" s="137">
        <f>SUMIFS(CurrentMonthAgingData!$AN:$AN,CurrentMonthAgingData!$BC:$BC,"=6",CurrentMonthAgingData!$BA:$BA,"=Central West End",CurrentMonthAgingData!$AV:$AV,""&amp;$A65&amp;"")</f>
        <v>0</v>
      </c>
      <c r="I65" s="137">
        <f>SUMIFS(CurrentMonthAgingData!$AN:$AN,CurrentMonthAgingData!$BC:$BC,"=7",CurrentMonthAgingData!$BA:$BA,"=Central West End",CurrentMonthAgingData!$AV:$AV,""&amp;$A65&amp;"")</f>
        <v>0</v>
      </c>
      <c r="J65" s="137">
        <f>SUMIFS(CurrentMonthAgingData!$AN:$AN,CurrentMonthAgingData!$BC:$BC,"=8",CurrentMonthAgingData!$BA:$BA,"=Central West End",CurrentMonthAgingData!$AV:$AV,""&amp;$A65&amp;"")</f>
        <v>-266.35000000000002</v>
      </c>
      <c r="K65" s="2">
        <f t="shared" si="22"/>
        <v>-266.35000000000002</v>
      </c>
      <c r="L65" s="31"/>
      <c r="M65" s="1" t="s">
        <v>29</v>
      </c>
      <c r="N65" s="137">
        <v>0</v>
      </c>
      <c r="O65" s="137">
        <v>0</v>
      </c>
      <c r="P65" s="137">
        <v>0</v>
      </c>
      <c r="Q65" s="137">
        <v>0</v>
      </c>
      <c r="R65" s="137">
        <v>0</v>
      </c>
      <c r="S65" s="137">
        <v>0</v>
      </c>
      <c r="T65" s="137">
        <v>0</v>
      </c>
      <c r="U65" s="137">
        <v>-266.34999999999997</v>
      </c>
      <c r="V65" s="2">
        <f t="shared" si="23"/>
        <v>-266.34999999999997</v>
      </c>
      <c r="X65" s="1" t="s">
        <v>29</v>
      </c>
      <c r="Y65" s="2">
        <f t="shared" si="14"/>
        <v>0</v>
      </c>
      <c r="Z65" s="2">
        <f t="shared" si="15"/>
        <v>0</v>
      </c>
      <c r="AA65" s="2">
        <f t="shared" si="16"/>
        <v>0</v>
      </c>
      <c r="AB65" s="2">
        <f t="shared" si="17"/>
        <v>0</v>
      </c>
      <c r="AC65" s="2">
        <f t="shared" si="18"/>
        <v>0</v>
      </c>
      <c r="AD65" s="2">
        <f t="shared" si="19"/>
        <v>0</v>
      </c>
      <c r="AE65" s="2">
        <f t="shared" si="20"/>
        <v>0</v>
      </c>
      <c r="AF65" s="2">
        <f t="shared" si="21"/>
        <v>0</v>
      </c>
      <c r="AG65" s="2">
        <f t="shared" si="24"/>
        <v>0</v>
      </c>
    </row>
    <row r="66" spans="1:33" x14ac:dyDescent="0.25">
      <c r="A66" t="s">
        <v>339</v>
      </c>
      <c r="B66" s="1" t="s">
        <v>88</v>
      </c>
      <c r="C66" s="137">
        <f>SUMIFS(CurrentMonthAgingData!$AN:$AN,CurrentMonthAgingData!$BC:$BC,"=1",CurrentMonthAgingData!$BA:$BA,"=Central West End",CurrentMonthAgingData!$AV:$AV,""&amp;$A66&amp;"")</f>
        <v>0</v>
      </c>
      <c r="D66" s="137">
        <f>SUMIFS(CurrentMonthAgingData!$AN:$AN,CurrentMonthAgingData!$BC:$BC,"=2",CurrentMonthAgingData!$BA:$BA,"=Central West End",CurrentMonthAgingData!$AV:$AV,""&amp;$A66&amp;"")</f>
        <v>0</v>
      </c>
      <c r="E66" s="137">
        <f>SUMIFS(CurrentMonthAgingData!$AN:$AN,CurrentMonthAgingData!$BC:$BC,"=3",CurrentMonthAgingData!$BA:$BA,"=Central West End",CurrentMonthAgingData!$AV:$AV,""&amp;$A66&amp;"")</f>
        <v>0</v>
      </c>
      <c r="F66" s="137">
        <f>SUMIFS(CurrentMonthAgingData!$AN:$AN,CurrentMonthAgingData!$BC:$BC,"=4",CurrentMonthAgingData!$BA:$BA,"=Central West End",CurrentMonthAgingData!$AV:$AV,""&amp;$A66&amp;"")</f>
        <v>0</v>
      </c>
      <c r="G66" s="137">
        <f>SUMIFS(CurrentMonthAgingData!$AN:$AN,CurrentMonthAgingData!$BC:$BC,"=5",CurrentMonthAgingData!$BA:$BA,"=Central West End",CurrentMonthAgingData!$AV:$AV,""&amp;$A66&amp;"")</f>
        <v>0</v>
      </c>
      <c r="H66" s="137">
        <f>SUMIFS(CurrentMonthAgingData!$AN:$AN,CurrentMonthAgingData!$BC:$BC,"=6",CurrentMonthAgingData!$BA:$BA,"=Central West End",CurrentMonthAgingData!$AV:$AV,""&amp;$A66&amp;"")</f>
        <v>0</v>
      </c>
      <c r="I66" s="137">
        <f>SUMIFS(CurrentMonthAgingData!$AN:$AN,CurrentMonthAgingData!$BC:$BC,"=7",CurrentMonthAgingData!$BA:$BA,"=Central West End",CurrentMonthAgingData!$AV:$AV,""&amp;$A66&amp;"")</f>
        <v>0</v>
      </c>
      <c r="J66" s="137">
        <f>SUMIFS(CurrentMonthAgingData!$AN:$AN,CurrentMonthAgingData!$BC:$BC,"=8",CurrentMonthAgingData!$BA:$BA,"=Central West End",CurrentMonthAgingData!$AV:$AV,""&amp;$A66&amp;"")</f>
        <v>-1820.2300000000007</v>
      </c>
      <c r="K66" s="2">
        <f>SUM(C66:J66)</f>
        <v>-1820.2300000000007</v>
      </c>
      <c r="L66" s="31"/>
      <c r="M66" s="1" t="s">
        <v>88</v>
      </c>
      <c r="N66" s="137">
        <v>0</v>
      </c>
      <c r="O66" s="137">
        <v>0</v>
      </c>
      <c r="P66" s="137">
        <v>0</v>
      </c>
      <c r="Q66" s="137">
        <v>0</v>
      </c>
      <c r="R66" s="137">
        <v>0</v>
      </c>
      <c r="S66" s="137">
        <v>0</v>
      </c>
      <c r="T66" s="137">
        <v>0</v>
      </c>
      <c r="U66" s="137">
        <v>-1820.2300000000005</v>
      </c>
      <c r="V66" s="2">
        <f>SUM(N66:U66)</f>
        <v>-1820.2300000000005</v>
      </c>
      <c r="X66" s="1" t="s">
        <v>88</v>
      </c>
      <c r="Y66" s="2">
        <f t="shared" si="14"/>
        <v>0</v>
      </c>
      <c r="Z66" s="2">
        <f t="shared" si="15"/>
        <v>0</v>
      </c>
      <c r="AA66" s="2">
        <f t="shared" si="16"/>
        <v>0</v>
      </c>
      <c r="AB66" s="2">
        <f t="shared" si="17"/>
        <v>0</v>
      </c>
      <c r="AC66" s="2">
        <f t="shared" si="18"/>
        <v>0</v>
      </c>
      <c r="AD66" s="2">
        <f t="shared" si="19"/>
        <v>0</v>
      </c>
      <c r="AE66" s="2">
        <f t="shared" si="20"/>
        <v>0</v>
      </c>
      <c r="AF66" s="2">
        <f t="shared" si="21"/>
        <v>0</v>
      </c>
      <c r="AG66" s="2">
        <f>SUM(Y66:AF66)</f>
        <v>0</v>
      </c>
    </row>
    <row r="67" spans="1:33" x14ac:dyDescent="0.25">
      <c r="A67" t="s">
        <v>341</v>
      </c>
      <c r="B67" s="1" t="s">
        <v>341</v>
      </c>
      <c r="C67" s="137">
        <f>SUMIFS(CurrentMonthAgingData!$AN:$AN,CurrentMonthAgingData!$BC:$BC,"=1",CurrentMonthAgingData!$BA:$BA,"=Central West End",CurrentMonthAgingData!$AV:$AV,""&amp;$A67&amp;"")</f>
        <v>0</v>
      </c>
      <c r="D67" s="137">
        <f>SUMIFS(CurrentMonthAgingData!$AN:$AN,CurrentMonthAgingData!$BC:$BC,"=2",CurrentMonthAgingData!$BA:$BA,"=Central West End",CurrentMonthAgingData!$AV:$AV,""&amp;$A67&amp;"")</f>
        <v>0</v>
      </c>
      <c r="E67" s="137">
        <f>SUMIFS(CurrentMonthAgingData!$AN:$AN,CurrentMonthAgingData!$BC:$BC,"=3",CurrentMonthAgingData!$BA:$BA,"=Central West End",CurrentMonthAgingData!$AV:$AV,""&amp;$A67&amp;"")</f>
        <v>0</v>
      </c>
      <c r="F67" s="137">
        <f>SUMIFS(CurrentMonthAgingData!$AN:$AN,CurrentMonthAgingData!$BC:$BC,"=4",CurrentMonthAgingData!$BA:$BA,"=Central West End",CurrentMonthAgingData!$AV:$AV,""&amp;$A67&amp;"")</f>
        <v>0</v>
      </c>
      <c r="G67" s="137">
        <f>SUMIFS(CurrentMonthAgingData!$AN:$AN,CurrentMonthAgingData!$BC:$BC,"=5",CurrentMonthAgingData!$BA:$BA,"=Central West End",CurrentMonthAgingData!$AV:$AV,""&amp;$A67&amp;"")</f>
        <v>0</v>
      </c>
      <c r="H67" s="137">
        <f>SUMIFS(CurrentMonthAgingData!$AN:$AN,CurrentMonthAgingData!$BC:$BC,"=6",CurrentMonthAgingData!$BA:$BA,"=Central West End",CurrentMonthAgingData!$AV:$AV,""&amp;$A67&amp;"")</f>
        <v>0</v>
      </c>
      <c r="I67" s="137">
        <f>SUMIFS(CurrentMonthAgingData!$AN:$AN,CurrentMonthAgingData!$BC:$BC,"=7",CurrentMonthAgingData!$BA:$BA,"=Central West End",CurrentMonthAgingData!$AV:$AV,""&amp;$A67&amp;"")</f>
        <v>0</v>
      </c>
      <c r="J67" s="137">
        <f>SUMIFS(CurrentMonthAgingData!$AN:$AN,CurrentMonthAgingData!$BC:$BC,"=8",CurrentMonthAgingData!$BA:$BA,"=Central West End",CurrentMonthAgingData!$AV:$AV,""&amp;$A67&amp;"")</f>
        <v>0</v>
      </c>
      <c r="K67" s="2">
        <f t="shared" si="22"/>
        <v>0</v>
      </c>
      <c r="L67" s="31"/>
      <c r="M67" s="1" t="s">
        <v>341</v>
      </c>
      <c r="N67" s="2">
        <v>0</v>
      </c>
      <c r="O67" s="2">
        <v>0</v>
      </c>
      <c r="P67" s="2">
        <v>0</v>
      </c>
      <c r="Q67" s="2">
        <v>0</v>
      </c>
      <c r="R67" s="2">
        <v>0</v>
      </c>
      <c r="S67" s="2">
        <v>0</v>
      </c>
      <c r="T67" s="2">
        <v>0</v>
      </c>
      <c r="U67" s="2">
        <v>0</v>
      </c>
      <c r="V67" s="2">
        <f t="shared" si="23"/>
        <v>0</v>
      </c>
      <c r="X67" s="1" t="s">
        <v>341</v>
      </c>
      <c r="Y67" s="2">
        <f t="shared" si="14"/>
        <v>0</v>
      </c>
      <c r="Z67" s="2">
        <f t="shared" si="15"/>
        <v>0</v>
      </c>
      <c r="AA67" s="2">
        <f t="shared" si="16"/>
        <v>0</v>
      </c>
      <c r="AB67" s="2">
        <f t="shared" si="17"/>
        <v>0</v>
      </c>
      <c r="AC67" s="2">
        <f t="shared" si="18"/>
        <v>0</v>
      </c>
      <c r="AD67" s="2">
        <f t="shared" si="19"/>
        <v>0</v>
      </c>
      <c r="AE67" s="2">
        <f t="shared" si="20"/>
        <v>0</v>
      </c>
      <c r="AF67" s="2">
        <f t="shared" si="21"/>
        <v>0</v>
      </c>
      <c r="AG67" s="2">
        <f t="shared" si="24"/>
        <v>0</v>
      </c>
    </row>
    <row r="68" spans="1:33" x14ac:dyDescent="0.25">
      <c r="A68" t="s">
        <v>340</v>
      </c>
      <c r="B68" s="1" t="s">
        <v>340</v>
      </c>
      <c r="C68" s="137">
        <f>SUMIFS(CurrentMonthAgingData!$AN:$AN,CurrentMonthAgingData!$BC:$BC,"=1",CurrentMonthAgingData!$BA:$BA,"=Central West End",CurrentMonthAgingData!$AV:$AV,""&amp;$A68&amp;"")</f>
        <v>0</v>
      </c>
      <c r="D68" s="137">
        <f>SUMIFS(CurrentMonthAgingData!$AN:$AN,CurrentMonthAgingData!$BC:$BC,"=2",CurrentMonthAgingData!$BA:$BA,"=Central West End",CurrentMonthAgingData!$AV:$AV,""&amp;$A68&amp;"")</f>
        <v>0</v>
      </c>
      <c r="E68" s="137">
        <f>SUMIFS(CurrentMonthAgingData!$AN:$AN,CurrentMonthAgingData!$BC:$BC,"=3",CurrentMonthAgingData!$BA:$BA,"=Central West End",CurrentMonthAgingData!$AV:$AV,""&amp;$A68&amp;"")</f>
        <v>0</v>
      </c>
      <c r="F68" s="137">
        <f>SUMIFS(CurrentMonthAgingData!$AN:$AN,CurrentMonthAgingData!$BC:$BC,"=4",CurrentMonthAgingData!$BA:$BA,"=Central West End",CurrentMonthAgingData!$AV:$AV,""&amp;$A68&amp;"")</f>
        <v>0</v>
      </c>
      <c r="G68" s="137">
        <f>SUMIFS(CurrentMonthAgingData!$AN:$AN,CurrentMonthAgingData!$BC:$BC,"=5",CurrentMonthAgingData!$BA:$BA,"=Central West End",CurrentMonthAgingData!$AV:$AV,""&amp;$A68&amp;"")</f>
        <v>0</v>
      </c>
      <c r="H68" s="137">
        <f>SUMIFS(CurrentMonthAgingData!$AN:$AN,CurrentMonthAgingData!$BC:$BC,"=6",CurrentMonthAgingData!$BA:$BA,"=Central West End",CurrentMonthAgingData!$AV:$AV,""&amp;$A68&amp;"")</f>
        <v>0</v>
      </c>
      <c r="I68" s="137">
        <f>SUMIFS(CurrentMonthAgingData!$AN:$AN,CurrentMonthAgingData!$BC:$BC,"=7",CurrentMonthAgingData!$BA:$BA,"=Central West End",CurrentMonthAgingData!$AV:$AV,""&amp;$A68&amp;"")</f>
        <v>0</v>
      </c>
      <c r="J68" s="137">
        <f>SUMIFS(CurrentMonthAgingData!$AN:$AN,CurrentMonthAgingData!$BC:$BC,"=8",CurrentMonthAgingData!$BA:$BA,"=Central West End",CurrentMonthAgingData!$AV:$AV,""&amp;$A68&amp;"")</f>
        <v>-709.63</v>
      </c>
      <c r="K68" s="2">
        <f t="shared" si="22"/>
        <v>-709.63</v>
      </c>
      <c r="L68" s="31"/>
      <c r="M68" s="1" t="s">
        <v>340</v>
      </c>
      <c r="N68" s="137">
        <v>0</v>
      </c>
      <c r="O68" s="137">
        <v>0</v>
      </c>
      <c r="P68" s="137">
        <v>0</v>
      </c>
      <c r="Q68" s="137">
        <v>0</v>
      </c>
      <c r="R68" s="137">
        <v>0</v>
      </c>
      <c r="S68" s="137">
        <v>0</v>
      </c>
      <c r="T68" s="137">
        <v>0</v>
      </c>
      <c r="U68" s="137">
        <v>-709.63</v>
      </c>
      <c r="V68" s="2">
        <f t="shared" si="23"/>
        <v>-709.63</v>
      </c>
      <c r="X68" s="1" t="s">
        <v>340</v>
      </c>
      <c r="Y68" s="2">
        <f t="shared" si="14"/>
        <v>0</v>
      </c>
      <c r="Z68" s="2">
        <f t="shared" si="15"/>
        <v>0</v>
      </c>
      <c r="AA68" s="2">
        <f t="shared" si="16"/>
        <v>0</v>
      </c>
      <c r="AB68" s="2">
        <f t="shared" si="17"/>
        <v>0</v>
      </c>
      <c r="AC68" s="2">
        <f t="shared" si="18"/>
        <v>0</v>
      </c>
      <c r="AD68" s="2">
        <f t="shared" si="19"/>
        <v>0</v>
      </c>
      <c r="AE68" s="2">
        <f t="shared" si="20"/>
        <v>0</v>
      </c>
      <c r="AF68" s="2">
        <f t="shared" si="21"/>
        <v>0</v>
      </c>
      <c r="AG68" s="2">
        <f t="shared" si="24"/>
        <v>0</v>
      </c>
    </row>
    <row r="69" spans="1:33" ht="15.75" thickBot="1" x14ac:dyDescent="0.3">
      <c r="C69" s="69">
        <f t="shared" ref="C69:K69" si="25">SUM(C49:C68)</f>
        <v>-13808.970000000001</v>
      </c>
      <c r="D69" s="69">
        <f t="shared" si="25"/>
        <v>0</v>
      </c>
      <c r="E69" s="69">
        <f t="shared" si="25"/>
        <v>0</v>
      </c>
      <c r="F69" s="69">
        <f t="shared" si="25"/>
        <v>0</v>
      </c>
      <c r="G69" s="69">
        <f t="shared" si="25"/>
        <v>0</v>
      </c>
      <c r="H69" s="69">
        <f t="shared" si="25"/>
        <v>0</v>
      </c>
      <c r="I69" s="69">
        <f t="shared" si="25"/>
        <v>0</v>
      </c>
      <c r="J69" s="69">
        <f t="shared" si="25"/>
        <v>-3410.3300000000008</v>
      </c>
      <c r="K69" s="69">
        <f t="shared" si="25"/>
        <v>-17219.300000000003</v>
      </c>
      <c r="L69" s="31"/>
      <c r="N69" s="69">
        <f t="shared" ref="N69:V69" si="26">SUM(N49:N68)</f>
        <v>-13808.970000000001</v>
      </c>
      <c r="O69" s="69">
        <f t="shared" si="26"/>
        <v>0</v>
      </c>
      <c r="P69" s="69">
        <f t="shared" si="26"/>
        <v>0</v>
      </c>
      <c r="Q69" s="69">
        <f t="shared" si="26"/>
        <v>0</v>
      </c>
      <c r="R69" s="69">
        <f t="shared" si="26"/>
        <v>0</v>
      </c>
      <c r="S69" s="69">
        <f t="shared" si="26"/>
        <v>0</v>
      </c>
      <c r="T69" s="69">
        <f t="shared" si="26"/>
        <v>0</v>
      </c>
      <c r="U69" s="69">
        <f t="shared" si="26"/>
        <v>-3410.3300000000008</v>
      </c>
      <c r="V69" s="69">
        <f t="shared" si="26"/>
        <v>-17219.300000000003</v>
      </c>
      <c r="Y69" s="69">
        <f t="shared" ref="Y69:AG69" si="27">SUM(Y49:Y68)</f>
        <v>0</v>
      </c>
      <c r="Z69" s="69">
        <f t="shared" si="27"/>
        <v>0</v>
      </c>
      <c r="AA69" s="69">
        <f t="shared" si="27"/>
        <v>0</v>
      </c>
      <c r="AB69" s="69">
        <f t="shared" si="27"/>
        <v>0</v>
      </c>
      <c r="AC69" s="69">
        <f t="shared" si="27"/>
        <v>0</v>
      </c>
      <c r="AD69" s="69">
        <f t="shared" si="27"/>
        <v>0</v>
      </c>
      <c r="AE69" s="69">
        <f t="shared" si="27"/>
        <v>0</v>
      </c>
      <c r="AF69" s="69">
        <f t="shared" si="27"/>
        <v>0</v>
      </c>
      <c r="AG69" s="69">
        <f t="shared" si="27"/>
        <v>0</v>
      </c>
    </row>
    <row r="70" spans="1:33" hidden="1" x14ac:dyDescent="0.25"/>
    <row r="71" spans="1:33" hidden="1" x14ac:dyDescent="0.25"/>
    <row r="72" spans="1:33" hidden="1" x14ac:dyDescent="0.25">
      <c r="B72" s="71" t="s">
        <v>97</v>
      </c>
      <c r="C72" s="167">
        <f>$C$20</f>
        <v>45199</v>
      </c>
      <c r="D72" s="164"/>
      <c r="E72" s="164"/>
      <c r="F72" s="164"/>
      <c r="G72" s="164"/>
      <c r="H72" s="164"/>
      <c r="I72" s="164"/>
      <c r="J72" s="164"/>
      <c r="K72" s="164"/>
      <c r="M72" s="71" t="s">
        <v>97</v>
      </c>
      <c r="N72" s="178">
        <f>$N$20</f>
        <v>45169</v>
      </c>
      <c r="O72" s="179"/>
      <c r="P72" s="179"/>
      <c r="Q72" s="179"/>
      <c r="R72" s="179"/>
      <c r="S72" s="179"/>
      <c r="T72" s="179"/>
      <c r="U72" s="179"/>
      <c r="V72" s="179"/>
      <c r="X72" s="71" t="s">
        <v>97</v>
      </c>
      <c r="Y72" s="164" t="s">
        <v>98</v>
      </c>
      <c r="Z72" s="164"/>
      <c r="AA72" s="164"/>
      <c r="AB72" s="164"/>
      <c r="AC72" s="164"/>
      <c r="AD72" s="164"/>
      <c r="AE72" s="164"/>
      <c r="AF72" s="164"/>
      <c r="AG72" s="164"/>
    </row>
    <row r="73" spans="1:33" hidden="1" x14ac:dyDescent="0.25">
      <c r="B73" s="71" t="s">
        <v>96</v>
      </c>
      <c r="C73" s="164" t="str">
        <f>'Reimbursement Rates &lt;-INPUT'!D7</f>
        <v>Clinic 3</v>
      </c>
      <c r="D73" s="164"/>
      <c r="E73" s="164"/>
      <c r="F73" s="164"/>
      <c r="G73" s="164"/>
      <c r="H73" s="164"/>
      <c r="I73" s="164"/>
      <c r="J73" s="164"/>
      <c r="K73" s="164"/>
      <c r="M73" s="71" t="s">
        <v>96</v>
      </c>
      <c r="N73" s="164" t="str">
        <f>C73</f>
        <v>Clinic 3</v>
      </c>
      <c r="O73" s="164"/>
      <c r="P73" s="164"/>
      <c r="Q73" s="164"/>
      <c r="R73" s="164"/>
      <c r="S73" s="164"/>
      <c r="T73" s="164"/>
      <c r="U73" s="164"/>
      <c r="V73" s="164"/>
      <c r="X73" s="71" t="s">
        <v>96</v>
      </c>
      <c r="Y73" s="164" t="str">
        <f>C73</f>
        <v>Clinic 3</v>
      </c>
      <c r="Z73" s="164"/>
      <c r="AA73" s="164"/>
      <c r="AB73" s="164"/>
      <c r="AC73" s="164"/>
      <c r="AD73" s="164"/>
      <c r="AE73" s="164"/>
      <c r="AF73" s="164"/>
      <c r="AG73" s="164"/>
    </row>
    <row r="74" spans="1:33" hidden="1" x14ac:dyDescent="0.25">
      <c r="B74" s="4" t="s">
        <v>16</v>
      </c>
      <c r="C74" s="5" t="s">
        <v>15</v>
      </c>
      <c r="D74" s="5" t="s">
        <v>14</v>
      </c>
      <c r="E74" s="5" t="s">
        <v>13</v>
      </c>
      <c r="F74" s="5" t="s">
        <v>12</v>
      </c>
      <c r="G74" s="5" t="s">
        <v>94</v>
      </c>
      <c r="H74" s="5" t="s">
        <v>95</v>
      </c>
      <c r="I74" s="5" t="s">
        <v>38</v>
      </c>
      <c r="J74" s="5" t="s">
        <v>9</v>
      </c>
      <c r="K74" s="5" t="s">
        <v>80</v>
      </c>
      <c r="M74" s="4" t="s">
        <v>16</v>
      </c>
      <c r="N74" s="5" t="s">
        <v>15</v>
      </c>
      <c r="O74" s="5" t="s">
        <v>14</v>
      </c>
      <c r="P74" s="5" t="s">
        <v>13</v>
      </c>
      <c r="Q74" s="5" t="s">
        <v>12</v>
      </c>
      <c r="R74" s="5" t="s">
        <v>94</v>
      </c>
      <c r="S74" s="5" t="s">
        <v>95</v>
      </c>
      <c r="T74" s="5" t="s">
        <v>38</v>
      </c>
      <c r="U74" s="5" t="s">
        <v>9</v>
      </c>
      <c r="V74" s="5" t="s">
        <v>80</v>
      </c>
      <c r="X74" s="4" t="s">
        <v>16</v>
      </c>
      <c r="Y74" s="5" t="s">
        <v>15</v>
      </c>
      <c r="Z74" s="5" t="s">
        <v>14</v>
      </c>
      <c r="AA74" s="5" t="s">
        <v>13</v>
      </c>
      <c r="AB74" s="5" t="s">
        <v>12</v>
      </c>
      <c r="AC74" s="5" t="s">
        <v>94</v>
      </c>
      <c r="AD74" s="5" t="s">
        <v>95</v>
      </c>
      <c r="AE74" s="5" t="s">
        <v>38</v>
      </c>
      <c r="AF74" s="5" t="s">
        <v>9</v>
      </c>
      <c r="AG74" s="5" t="s">
        <v>80</v>
      </c>
    </row>
    <row r="75" spans="1:33" hidden="1" x14ac:dyDescent="0.25">
      <c r="B75" s="1" t="s">
        <v>335</v>
      </c>
      <c r="C75" s="2"/>
      <c r="D75" s="2"/>
      <c r="E75" s="2"/>
      <c r="F75" s="2"/>
      <c r="G75" s="2"/>
      <c r="H75" s="2"/>
      <c r="I75" s="2"/>
      <c r="J75" s="2"/>
      <c r="K75" s="2">
        <f>SUM(C75:J75)</f>
        <v>0</v>
      </c>
      <c r="M75" s="1" t="s">
        <v>335</v>
      </c>
      <c r="N75" s="2"/>
      <c r="O75" s="2"/>
      <c r="P75" s="2"/>
      <c r="Q75" s="2"/>
      <c r="R75" s="2"/>
      <c r="S75" s="2"/>
      <c r="T75" s="2"/>
      <c r="U75" s="2"/>
      <c r="V75" s="2">
        <f>SUM(N75:U75)</f>
        <v>0</v>
      </c>
      <c r="X75" s="1" t="s">
        <v>49</v>
      </c>
      <c r="Y75" s="2">
        <f t="shared" ref="Y75:Y94" si="28">C75-N75</f>
        <v>0</v>
      </c>
      <c r="Z75" s="2">
        <f t="shared" ref="Z75:Z94" si="29">D75-O75</f>
        <v>0</v>
      </c>
      <c r="AA75" s="2">
        <f t="shared" ref="AA75:AA94" si="30">E75-P75</f>
        <v>0</v>
      </c>
      <c r="AB75" s="2">
        <f t="shared" ref="AB75:AB94" si="31">F75-Q75</f>
        <v>0</v>
      </c>
      <c r="AC75" s="2">
        <f t="shared" ref="AC75:AC94" si="32">G75-R75</f>
        <v>0</v>
      </c>
      <c r="AD75" s="2">
        <f t="shared" ref="AD75:AD94" si="33">H75-S75</f>
        <v>0</v>
      </c>
      <c r="AE75" s="2">
        <f t="shared" ref="AE75:AE94" si="34">I75-T75</f>
        <v>0</v>
      </c>
      <c r="AF75" s="2">
        <f t="shared" ref="AF75:AF94" si="35">J75-U75</f>
        <v>0</v>
      </c>
      <c r="AG75" s="2">
        <f>SUM(Y75:AF75)</f>
        <v>0</v>
      </c>
    </row>
    <row r="76" spans="1:33" hidden="1" x14ac:dyDescent="0.25">
      <c r="B76" s="1" t="s">
        <v>8</v>
      </c>
      <c r="C76" s="2"/>
      <c r="D76" s="2"/>
      <c r="E76" s="2"/>
      <c r="F76" s="2"/>
      <c r="G76" s="2"/>
      <c r="H76" s="2"/>
      <c r="I76" s="2"/>
      <c r="J76" s="2"/>
      <c r="K76" s="2">
        <f t="shared" ref="K76:K94" si="36">SUM(C76:J76)</f>
        <v>0</v>
      </c>
      <c r="M76" s="1" t="s">
        <v>8</v>
      </c>
      <c r="N76" s="2"/>
      <c r="O76" s="2"/>
      <c r="P76" s="2"/>
      <c r="Q76" s="2"/>
      <c r="R76" s="2"/>
      <c r="S76" s="2"/>
      <c r="T76" s="2"/>
      <c r="U76" s="2"/>
      <c r="V76" s="2">
        <f t="shared" ref="V76:V94" si="37">SUM(N76:U76)</f>
        <v>0</v>
      </c>
      <c r="X76" s="1" t="s">
        <v>8</v>
      </c>
      <c r="Y76" s="2">
        <f t="shared" si="28"/>
        <v>0</v>
      </c>
      <c r="Z76" s="2">
        <f t="shared" si="29"/>
        <v>0</v>
      </c>
      <c r="AA76" s="2">
        <f t="shared" si="30"/>
        <v>0</v>
      </c>
      <c r="AB76" s="2">
        <f t="shared" si="31"/>
        <v>0</v>
      </c>
      <c r="AC76" s="2">
        <f t="shared" si="32"/>
        <v>0</v>
      </c>
      <c r="AD76" s="2">
        <f t="shared" si="33"/>
        <v>0</v>
      </c>
      <c r="AE76" s="2">
        <f t="shared" si="34"/>
        <v>0</v>
      </c>
      <c r="AF76" s="2">
        <f t="shared" si="35"/>
        <v>0</v>
      </c>
      <c r="AG76" s="2">
        <f t="shared" ref="AG76:AG94" si="38">SUM(Y76:AF76)</f>
        <v>0</v>
      </c>
    </row>
    <row r="77" spans="1:33" hidden="1" x14ac:dyDescent="0.25">
      <c r="B77" s="1" t="s">
        <v>336</v>
      </c>
      <c r="C77" s="2"/>
      <c r="D77" s="2"/>
      <c r="E77" s="2"/>
      <c r="F77" s="2"/>
      <c r="G77" s="2"/>
      <c r="H77" s="2"/>
      <c r="I77" s="2"/>
      <c r="J77" s="2"/>
      <c r="K77" s="2">
        <f t="shared" si="36"/>
        <v>0</v>
      </c>
      <c r="M77" s="1" t="s">
        <v>336</v>
      </c>
      <c r="N77" s="2"/>
      <c r="O77" s="2"/>
      <c r="P77" s="2"/>
      <c r="Q77" s="2"/>
      <c r="R77" s="2"/>
      <c r="S77" s="2"/>
      <c r="T77" s="2"/>
      <c r="U77" s="2"/>
      <c r="V77" s="2">
        <f t="shared" si="37"/>
        <v>0</v>
      </c>
      <c r="X77" s="1" t="s">
        <v>7</v>
      </c>
      <c r="Y77" s="2">
        <f t="shared" si="28"/>
        <v>0</v>
      </c>
      <c r="Z77" s="2">
        <f t="shared" si="29"/>
        <v>0</v>
      </c>
      <c r="AA77" s="2">
        <f t="shared" si="30"/>
        <v>0</v>
      </c>
      <c r="AB77" s="2">
        <f t="shared" si="31"/>
        <v>0</v>
      </c>
      <c r="AC77" s="2">
        <f t="shared" si="32"/>
        <v>0</v>
      </c>
      <c r="AD77" s="2">
        <f t="shared" si="33"/>
        <v>0</v>
      </c>
      <c r="AE77" s="2">
        <f t="shared" si="34"/>
        <v>0</v>
      </c>
      <c r="AF77" s="2">
        <f t="shared" si="35"/>
        <v>0</v>
      </c>
      <c r="AG77" s="2">
        <f t="shared" si="38"/>
        <v>0</v>
      </c>
    </row>
    <row r="78" spans="1:33" hidden="1" x14ac:dyDescent="0.25">
      <c r="B78" s="1" t="s">
        <v>42</v>
      </c>
      <c r="C78" s="2"/>
      <c r="D78" s="2"/>
      <c r="E78" s="2"/>
      <c r="F78" s="2"/>
      <c r="G78" s="2"/>
      <c r="H78" s="2"/>
      <c r="I78" s="2"/>
      <c r="J78" s="2"/>
      <c r="K78" s="2">
        <f t="shared" si="36"/>
        <v>0</v>
      </c>
      <c r="M78" s="1" t="s">
        <v>42</v>
      </c>
      <c r="N78" s="2"/>
      <c r="O78" s="2"/>
      <c r="P78" s="2"/>
      <c r="Q78" s="2"/>
      <c r="R78" s="2"/>
      <c r="S78" s="2"/>
      <c r="T78" s="2"/>
      <c r="U78" s="2"/>
      <c r="V78" s="2">
        <f t="shared" si="37"/>
        <v>0</v>
      </c>
      <c r="X78" s="1" t="s">
        <v>42</v>
      </c>
      <c r="Y78" s="2">
        <f t="shared" si="28"/>
        <v>0</v>
      </c>
      <c r="Z78" s="2">
        <f t="shared" si="29"/>
        <v>0</v>
      </c>
      <c r="AA78" s="2">
        <f t="shared" si="30"/>
        <v>0</v>
      </c>
      <c r="AB78" s="2">
        <f t="shared" si="31"/>
        <v>0</v>
      </c>
      <c r="AC78" s="2">
        <f t="shared" si="32"/>
        <v>0</v>
      </c>
      <c r="AD78" s="2">
        <f t="shared" si="33"/>
        <v>0</v>
      </c>
      <c r="AE78" s="2">
        <f t="shared" si="34"/>
        <v>0</v>
      </c>
      <c r="AF78" s="2">
        <f t="shared" si="35"/>
        <v>0</v>
      </c>
      <c r="AG78" s="2">
        <f t="shared" si="38"/>
        <v>0</v>
      </c>
    </row>
    <row r="79" spans="1:33" hidden="1" x14ac:dyDescent="0.25">
      <c r="B79" s="1" t="s">
        <v>6</v>
      </c>
      <c r="C79" s="2"/>
      <c r="D79" s="2"/>
      <c r="E79" s="2"/>
      <c r="F79" s="2"/>
      <c r="G79" s="2"/>
      <c r="H79" s="2"/>
      <c r="I79" s="2"/>
      <c r="J79" s="2"/>
      <c r="K79" s="2">
        <f t="shared" si="36"/>
        <v>0</v>
      </c>
      <c r="M79" s="1" t="s">
        <v>6</v>
      </c>
      <c r="N79" s="2"/>
      <c r="O79" s="2"/>
      <c r="P79" s="2"/>
      <c r="Q79" s="2"/>
      <c r="R79" s="2"/>
      <c r="S79" s="2"/>
      <c r="T79" s="2"/>
      <c r="U79" s="2"/>
      <c r="V79" s="2">
        <f t="shared" si="37"/>
        <v>0</v>
      </c>
      <c r="X79" s="1" t="s">
        <v>6</v>
      </c>
      <c r="Y79" s="2">
        <f t="shared" si="28"/>
        <v>0</v>
      </c>
      <c r="Z79" s="2">
        <f t="shared" si="29"/>
        <v>0</v>
      </c>
      <c r="AA79" s="2">
        <f t="shared" si="30"/>
        <v>0</v>
      </c>
      <c r="AB79" s="2">
        <f t="shared" si="31"/>
        <v>0</v>
      </c>
      <c r="AC79" s="2">
        <f t="shared" si="32"/>
        <v>0</v>
      </c>
      <c r="AD79" s="2">
        <f t="shared" si="33"/>
        <v>0</v>
      </c>
      <c r="AE79" s="2">
        <f t="shared" si="34"/>
        <v>0</v>
      </c>
      <c r="AF79" s="2">
        <f t="shared" si="35"/>
        <v>0</v>
      </c>
      <c r="AG79" s="2">
        <f t="shared" si="38"/>
        <v>0</v>
      </c>
    </row>
    <row r="80" spans="1:33" hidden="1" x14ac:dyDescent="0.25">
      <c r="B80" s="1" t="s">
        <v>90</v>
      </c>
      <c r="C80" s="2"/>
      <c r="D80" s="2"/>
      <c r="E80" s="2"/>
      <c r="F80" s="2"/>
      <c r="G80" s="2"/>
      <c r="H80" s="2"/>
      <c r="I80" s="2"/>
      <c r="J80" s="2"/>
      <c r="K80" s="2">
        <f t="shared" si="36"/>
        <v>0</v>
      </c>
      <c r="M80" s="1" t="s">
        <v>90</v>
      </c>
      <c r="N80" s="2"/>
      <c r="O80" s="2"/>
      <c r="P80" s="2"/>
      <c r="Q80" s="2"/>
      <c r="R80" s="2"/>
      <c r="S80" s="2"/>
      <c r="T80" s="2"/>
      <c r="U80" s="2"/>
      <c r="V80" s="2">
        <f t="shared" si="37"/>
        <v>0</v>
      </c>
      <c r="X80" s="1" t="s">
        <v>90</v>
      </c>
      <c r="Y80" s="2">
        <f t="shared" si="28"/>
        <v>0</v>
      </c>
      <c r="Z80" s="2">
        <f t="shared" si="29"/>
        <v>0</v>
      </c>
      <c r="AA80" s="2">
        <f t="shared" si="30"/>
        <v>0</v>
      </c>
      <c r="AB80" s="2">
        <f t="shared" si="31"/>
        <v>0</v>
      </c>
      <c r="AC80" s="2">
        <f t="shared" si="32"/>
        <v>0</v>
      </c>
      <c r="AD80" s="2">
        <f t="shared" si="33"/>
        <v>0</v>
      </c>
      <c r="AE80" s="2">
        <f t="shared" si="34"/>
        <v>0</v>
      </c>
      <c r="AF80" s="2">
        <f t="shared" si="35"/>
        <v>0</v>
      </c>
      <c r="AG80" s="2">
        <f t="shared" si="38"/>
        <v>0</v>
      </c>
    </row>
    <row r="81" spans="2:33" hidden="1" x14ac:dyDescent="0.25">
      <c r="B81" s="1" t="s">
        <v>342</v>
      </c>
      <c r="C81" s="2"/>
      <c r="D81" s="2"/>
      <c r="E81" s="2"/>
      <c r="F81" s="2"/>
      <c r="G81" s="2"/>
      <c r="H81" s="2"/>
      <c r="I81" s="2"/>
      <c r="J81" s="2"/>
      <c r="K81" s="2">
        <f t="shared" si="36"/>
        <v>0</v>
      </c>
      <c r="M81" s="1" t="s">
        <v>342</v>
      </c>
      <c r="N81" s="2"/>
      <c r="O81" s="2"/>
      <c r="P81" s="2"/>
      <c r="Q81" s="2"/>
      <c r="R81" s="2"/>
      <c r="S81" s="2"/>
      <c r="T81" s="2"/>
      <c r="U81" s="2"/>
      <c r="V81" s="2">
        <f t="shared" si="37"/>
        <v>0</v>
      </c>
      <c r="X81" s="1" t="s">
        <v>50</v>
      </c>
      <c r="Y81" s="2">
        <f t="shared" si="28"/>
        <v>0</v>
      </c>
      <c r="Z81" s="2">
        <f t="shared" si="29"/>
        <v>0</v>
      </c>
      <c r="AA81" s="2">
        <f t="shared" si="30"/>
        <v>0</v>
      </c>
      <c r="AB81" s="2">
        <f t="shared" si="31"/>
        <v>0</v>
      </c>
      <c r="AC81" s="2">
        <f t="shared" si="32"/>
        <v>0</v>
      </c>
      <c r="AD81" s="2">
        <f t="shared" si="33"/>
        <v>0</v>
      </c>
      <c r="AE81" s="2">
        <f t="shared" si="34"/>
        <v>0</v>
      </c>
      <c r="AF81" s="2">
        <f t="shared" si="35"/>
        <v>0</v>
      </c>
      <c r="AG81" s="2">
        <f t="shared" si="38"/>
        <v>0</v>
      </c>
    </row>
    <row r="82" spans="2:33" hidden="1" x14ac:dyDescent="0.25">
      <c r="B82" s="1" t="s">
        <v>89</v>
      </c>
      <c r="C82" s="2"/>
      <c r="D82" s="2"/>
      <c r="E82" s="2"/>
      <c r="F82" s="2"/>
      <c r="G82" s="2"/>
      <c r="H82" s="2"/>
      <c r="I82" s="2"/>
      <c r="J82" s="2"/>
      <c r="K82" s="2">
        <f t="shared" si="36"/>
        <v>0</v>
      </c>
      <c r="M82" s="1" t="s">
        <v>89</v>
      </c>
      <c r="N82" s="2"/>
      <c r="O82" s="2"/>
      <c r="P82" s="2"/>
      <c r="Q82" s="2"/>
      <c r="R82" s="2"/>
      <c r="S82" s="2"/>
      <c r="T82" s="2"/>
      <c r="U82" s="2"/>
      <c r="V82" s="2">
        <f t="shared" si="37"/>
        <v>0</v>
      </c>
      <c r="X82" s="1" t="s">
        <v>89</v>
      </c>
      <c r="Y82" s="2">
        <f t="shared" si="28"/>
        <v>0</v>
      </c>
      <c r="Z82" s="2">
        <f t="shared" si="29"/>
        <v>0</v>
      </c>
      <c r="AA82" s="2">
        <f t="shared" si="30"/>
        <v>0</v>
      </c>
      <c r="AB82" s="2">
        <f t="shared" si="31"/>
        <v>0</v>
      </c>
      <c r="AC82" s="2">
        <f t="shared" si="32"/>
        <v>0</v>
      </c>
      <c r="AD82" s="2">
        <f t="shared" si="33"/>
        <v>0</v>
      </c>
      <c r="AE82" s="2">
        <f t="shared" si="34"/>
        <v>0</v>
      </c>
      <c r="AF82" s="2">
        <f t="shared" si="35"/>
        <v>0</v>
      </c>
      <c r="AG82" s="2">
        <f t="shared" si="38"/>
        <v>0</v>
      </c>
    </row>
    <row r="83" spans="2:33" hidden="1" x14ac:dyDescent="0.25">
      <c r="B83" s="1" t="s">
        <v>5</v>
      </c>
      <c r="C83" s="2"/>
      <c r="D83" s="2"/>
      <c r="E83" s="2"/>
      <c r="F83" s="2"/>
      <c r="G83" s="2"/>
      <c r="H83" s="2"/>
      <c r="I83" s="2"/>
      <c r="J83" s="2"/>
      <c r="K83" s="2">
        <f t="shared" si="36"/>
        <v>0</v>
      </c>
      <c r="M83" s="1" t="s">
        <v>5</v>
      </c>
      <c r="N83" s="2"/>
      <c r="O83" s="2"/>
      <c r="P83" s="2"/>
      <c r="Q83" s="2"/>
      <c r="R83" s="2"/>
      <c r="S83" s="2"/>
      <c r="T83" s="2"/>
      <c r="U83" s="2"/>
      <c r="V83" s="2">
        <f t="shared" si="37"/>
        <v>0</v>
      </c>
      <c r="X83" s="1" t="s">
        <v>5</v>
      </c>
      <c r="Y83" s="2">
        <f t="shared" si="28"/>
        <v>0</v>
      </c>
      <c r="Z83" s="2">
        <f t="shared" si="29"/>
        <v>0</v>
      </c>
      <c r="AA83" s="2">
        <f t="shared" si="30"/>
        <v>0</v>
      </c>
      <c r="AB83" s="2">
        <f t="shared" si="31"/>
        <v>0</v>
      </c>
      <c r="AC83" s="2">
        <f t="shared" si="32"/>
        <v>0</v>
      </c>
      <c r="AD83" s="2">
        <f t="shared" si="33"/>
        <v>0</v>
      </c>
      <c r="AE83" s="2">
        <f t="shared" si="34"/>
        <v>0</v>
      </c>
      <c r="AF83" s="2">
        <f t="shared" si="35"/>
        <v>0</v>
      </c>
      <c r="AG83" s="2">
        <f t="shared" si="38"/>
        <v>0</v>
      </c>
    </row>
    <row r="84" spans="2:33" hidden="1" x14ac:dyDescent="0.25">
      <c r="B84" s="1" t="s">
        <v>84</v>
      </c>
      <c r="C84" s="2"/>
      <c r="D84" s="2"/>
      <c r="E84" s="2"/>
      <c r="F84" s="2"/>
      <c r="G84" s="2"/>
      <c r="H84" s="2"/>
      <c r="I84" s="2"/>
      <c r="J84" s="2"/>
      <c r="K84" s="2">
        <f t="shared" si="36"/>
        <v>0</v>
      </c>
      <c r="M84" s="1" t="s">
        <v>84</v>
      </c>
      <c r="N84" s="2"/>
      <c r="O84" s="2"/>
      <c r="P84" s="2"/>
      <c r="Q84" s="2"/>
      <c r="R84" s="2"/>
      <c r="S84" s="2"/>
      <c r="T84" s="2"/>
      <c r="U84" s="2"/>
      <c r="V84" s="2">
        <f t="shared" si="37"/>
        <v>0</v>
      </c>
      <c r="X84" s="1" t="s">
        <v>84</v>
      </c>
      <c r="Y84" s="2">
        <f t="shared" si="28"/>
        <v>0</v>
      </c>
      <c r="Z84" s="2">
        <f t="shared" si="29"/>
        <v>0</v>
      </c>
      <c r="AA84" s="2">
        <f t="shared" si="30"/>
        <v>0</v>
      </c>
      <c r="AB84" s="2">
        <f t="shared" si="31"/>
        <v>0</v>
      </c>
      <c r="AC84" s="2">
        <f t="shared" si="32"/>
        <v>0</v>
      </c>
      <c r="AD84" s="2">
        <f t="shared" si="33"/>
        <v>0</v>
      </c>
      <c r="AE84" s="2">
        <f t="shared" si="34"/>
        <v>0</v>
      </c>
      <c r="AF84" s="2">
        <f t="shared" si="35"/>
        <v>0</v>
      </c>
      <c r="AG84" s="2">
        <f t="shared" si="38"/>
        <v>0</v>
      </c>
    </row>
    <row r="85" spans="2:33" hidden="1" x14ac:dyDescent="0.25">
      <c r="B85" s="1" t="s">
        <v>4</v>
      </c>
      <c r="C85" s="2"/>
      <c r="D85" s="2"/>
      <c r="E85" s="2"/>
      <c r="F85" s="2"/>
      <c r="G85" s="2"/>
      <c r="H85" s="2"/>
      <c r="I85" s="2"/>
      <c r="J85" s="2"/>
      <c r="K85" s="2">
        <f t="shared" si="36"/>
        <v>0</v>
      </c>
      <c r="M85" s="1" t="s">
        <v>4</v>
      </c>
      <c r="N85" s="2"/>
      <c r="O85" s="2"/>
      <c r="P85" s="2"/>
      <c r="Q85" s="2"/>
      <c r="R85" s="2"/>
      <c r="S85" s="2"/>
      <c r="T85" s="2"/>
      <c r="U85" s="2"/>
      <c r="V85" s="2">
        <f t="shared" si="37"/>
        <v>0</v>
      </c>
      <c r="X85" s="1" t="s">
        <v>4</v>
      </c>
      <c r="Y85" s="2">
        <f t="shared" si="28"/>
        <v>0</v>
      </c>
      <c r="Z85" s="2">
        <f t="shared" si="29"/>
        <v>0</v>
      </c>
      <c r="AA85" s="2">
        <f t="shared" si="30"/>
        <v>0</v>
      </c>
      <c r="AB85" s="2">
        <f t="shared" si="31"/>
        <v>0</v>
      </c>
      <c r="AC85" s="2">
        <f t="shared" si="32"/>
        <v>0</v>
      </c>
      <c r="AD85" s="2">
        <f t="shared" si="33"/>
        <v>0</v>
      </c>
      <c r="AE85" s="2">
        <f t="shared" si="34"/>
        <v>0</v>
      </c>
      <c r="AF85" s="2">
        <f t="shared" si="35"/>
        <v>0</v>
      </c>
      <c r="AG85" s="2">
        <f t="shared" si="38"/>
        <v>0</v>
      </c>
    </row>
    <row r="86" spans="2:33" hidden="1" x14ac:dyDescent="0.25">
      <c r="B86" s="1" t="s">
        <v>51</v>
      </c>
      <c r="C86" s="2"/>
      <c r="D86" s="2"/>
      <c r="E86" s="2"/>
      <c r="F86" s="2"/>
      <c r="G86" s="2"/>
      <c r="H86" s="2"/>
      <c r="I86" s="2"/>
      <c r="J86" s="2"/>
      <c r="K86" s="2">
        <f t="shared" si="36"/>
        <v>0</v>
      </c>
      <c r="M86" s="1" t="s">
        <v>51</v>
      </c>
      <c r="N86" s="2"/>
      <c r="O86" s="2"/>
      <c r="P86" s="2"/>
      <c r="Q86" s="2"/>
      <c r="R86" s="2"/>
      <c r="S86" s="2"/>
      <c r="T86" s="2"/>
      <c r="U86" s="2"/>
      <c r="V86" s="2">
        <f t="shared" si="37"/>
        <v>0</v>
      </c>
      <c r="X86" s="1" t="s">
        <v>51</v>
      </c>
      <c r="Y86" s="2">
        <f t="shared" si="28"/>
        <v>0</v>
      </c>
      <c r="Z86" s="2">
        <f t="shared" si="29"/>
        <v>0</v>
      </c>
      <c r="AA86" s="2">
        <f t="shared" si="30"/>
        <v>0</v>
      </c>
      <c r="AB86" s="2">
        <f t="shared" si="31"/>
        <v>0</v>
      </c>
      <c r="AC86" s="2">
        <f t="shared" si="32"/>
        <v>0</v>
      </c>
      <c r="AD86" s="2">
        <f t="shared" si="33"/>
        <v>0</v>
      </c>
      <c r="AE86" s="2">
        <f t="shared" si="34"/>
        <v>0</v>
      </c>
      <c r="AF86" s="2">
        <f t="shared" si="35"/>
        <v>0</v>
      </c>
      <c r="AG86" s="2">
        <f t="shared" si="38"/>
        <v>0</v>
      </c>
    </row>
    <row r="87" spans="2:33" hidden="1" x14ac:dyDescent="0.25">
      <c r="B87" s="1" t="s">
        <v>87</v>
      </c>
      <c r="C87" s="2"/>
      <c r="D87" s="2"/>
      <c r="E87" s="2"/>
      <c r="F87" s="2"/>
      <c r="G87" s="2"/>
      <c r="H87" s="2"/>
      <c r="I87" s="2"/>
      <c r="J87" s="2"/>
      <c r="K87" s="2">
        <f t="shared" si="36"/>
        <v>0</v>
      </c>
      <c r="M87" s="1" t="s">
        <v>87</v>
      </c>
      <c r="N87" s="2"/>
      <c r="O87" s="2"/>
      <c r="P87" s="2"/>
      <c r="Q87" s="2"/>
      <c r="R87" s="2"/>
      <c r="S87" s="2"/>
      <c r="T87" s="2"/>
      <c r="U87" s="2"/>
      <c r="V87" s="2">
        <f t="shared" si="37"/>
        <v>0</v>
      </c>
      <c r="X87" s="1" t="s">
        <v>87</v>
      </c>
      <c r="Y87" s="2">
        <f t="shared" si="28"/>
        <v>0</v>
      </c>
      <c r="Z87" s="2">
        <f t="shared" si="29"/>
        <v>0</v>
      </c>
      <c r="AA87" s="2">
        <f t="shared" si="30"/>
        <v>0</v>
      </c>
      <c r="AB87" s="2">
        <f t="shared" si="31"/>
        <v>0</v>
      </c>
      <c r="AC87" s="2">
        <f t="shared" si="32"/>
        <v>0</v>
      </c>
      <c r="AD87" s="2">
        <f t="shared" si="33"/>
        <v>0</v>
      </c>
      <c r="AE87" s="2">
        <f t="shared" si="34"/>
        <v>0</v>
      </c>
      <c r="AF87" s="2">
        <f t="shared" si="35"/>
        <v>0</v>
      </c>
      <c r="AG87" s="2">
        <f t="shared" si="38"/>
        <v>0</v>
      </c>
    </row>
    <row r="88" spans="2:33" hidden="1" x14ac:dyDescent="0.25">
      <c r="B88" s="1" t="s">
        <v>85</v>
      </c>
      <c r="C88" s="2"/>
      <c r="D88" s="2"/>
      <c r="E88" s="2"/>
      <c r="F88" s="2"/>
      <c r="G88" s="2"/>
      <c r="H88" s="2"/>
      <c r="I88" s="2"/>
      <c r="J88" s="2"/>
      <c r="K88" s="2">
        <f t="shared" si="36"/>
        <v>0</v>
      </c>
      <c r="M88" s="1" t="s">
        <v>85</v>
      </c>
      <c r="N88" s="2"/>
      <c r="O88" s="2"/>
      <c r="P88" s="2"/>
      <c r="Q88" s="2"/>
      <c r="R88" s="2"/>
      <c r="S88" s="2"/>
      <c r="T88" s="2"/>
      <c r="U88" s="2"/>
      <c r="V88" s="2">
        <f t="shared" si="37"/>
        <v>0</v>
      </c>
      <c r="X88" s="1" t="s">
        <v>85</v>
      </c>
      <c r="Y88" s="2">
        <f t="shared" si="28"/>
        <v>0</v>
      </c>
      <c r="Z88" s="2">
        <f t="shared" si="29"/>
        <v>0</v>
      </c>
      <c r="AA88" s="2">
        <f t="shared" si="30"/>
        <v>0</v>
      </c>
      <c r="AB88" s="2">
        <f t="shared" si="31"/>
        <v>0</v>
      </c>
      <c r="AC88" s="2">
        <f t="shared" si="32"/>
        <v>0</v>
      </c>
      <c r="AD88" s="2">
        <f t="shared" si="33"/>
        <v>0</v>
      </c>
      <c r="AE88" s="2">
        <f t="shared" si="34"/>
        <v>0</v>
      </c>
      <c r="AF88" s="2">
        <f t="shared" si="35"/>
        <v>0</v>
      </c>
      <c r="AG88" s="2">
        <f t="shared" si="38"/>
        <v>0</v>
      </c>
    </row>
    <row r="89" spans="2:33" hidden="1" x14ac:dyDescent="0.25">
      <c r="B89" s="1" t="s">
        <v>2</v>
      </c>
      <c r="C89" s="2"/>
      <c r="D89" s="2"/>
      <c r="E89" s="2"/>
      <c r="F89" s="2"/>
      <c r="G89" s="2"/>
      <c r="H89" s="2"/>
      <c r="I89" s="2"/>
      <c r="J89" s="2"/>
      <c r="K89" s="2">
        <f t="shared" si="36"/>
        <v>0</v>
      </c>
      <c r="M89" s="1" t="s">
        <v>2</v>
      </c>
      <c r="N89" s="2"/>
      <c r="O89" s="2"/>
      <c r="P89" s="2"/>
      <c r="Q89" s="2"/>
      <c r="R89" s="2"/>
      <c r="S89" s="2"/>
      <c r="T89" s="2"/>
      <c r="U89" s="2"/>
      <c r="V89" s="2">
        <f t="shared" si="37"/>
        <v>0</v>
      </c>
      <c r="X89" s="1" t="s">
        <v>2</v>
      </c>
      <c r="Y89" s="2">
        <f t="shared" si="28"/>
        <v>0</v>
      </c>
      <c r="Z89" s="2">
        <f t="shared" si="29"/>
        <v>0</v>
      </c>
      <c r="AA89" s="2">
        <f t="shared" si="30"/>
        <v>0</v>
      </c>
      <c r="AB89" s="2">
        <f t="shared" si="31"/>
        <v>0</v>
      </c>
      <c r="AC89" s="2">
        <f t="shared" si="32"/>
        <v>0</v>
      </c>
      <c r="AD89" s="2">
        <f t="shared" si="33"/>
        <v>0</v>
      </c>
      <c r="AE89" s="2">
        <f t="shared" si="34"/>
        <v>0</v>
      </c>
      <c r="AF89" s="2">
        <f t="shared" si="35"/>
        <v>0</v>
      </c>
      <c r="AG89" s="2">
        <f t="shared" si="38"/>
        <v>0</v>
      </c>
    </row>
    <row r="90" spans="2:33" hidden="1" x14ac:dyDescent="0.25">
      <c r="B90" s="1" t="s">
        <v>86</v>
      </c>
      <c r="C90" s="2"/>
      <c r="D90" s="2"/>
      <c r="E90" s="2"/>
      <c r="F90" s="2"/>
      <c r="G90" s="2"/>
      <c r="H90" s="2"/>
      <c r="I90" s="2"/>
      <c r="J90" s="2"/>
      <c r="K90" s="2">
        <f t="shared" si="36"/>
        <v>0</v>
      </c>
      <c r="M90" s="1" t="s">
        <v>86</v>
      </c>
      <c r="N90" s="2"/>
      <c r="O90" s="2"/>
      <c r="P90" s="2"/>
      <c r="Q90" s="2"/>
      <c r="R90" s="2"/>
      <c r="S90" s="2"/>
      <c r="T90" s="2"/>
      <c r="U90" s="2"/>
      <c r="V90" s="2">
        <f t="shared" si="37"/>
        <v>0</v>
      </c>
      <c r="X90" s="1" t="s">
        <v>86</v>
      </c>
      <c r="Y90" s="2">
        <f t="shared" si="28"/>
        <v>0</v>
      </c>
      <c r="Z90" s="2">
        <f t="shared" si="29"/>
        <v>0</v>
      </c>
      <c r="AA90" s="2">
        <f t="shared" si="30"/>
        <v>0</v>
      </c>
      <c r="AB90" s="2">
        <f t="shared" si="31"/>
        <v>0</v>
      </c>
      <c r="AC90" s="2">
        <f t="shared" si="32"/>
        <v>0</v>
      </c>
      <c r="AD90" s="2">
        <f t="shared" si="33"/>
        <v>0</v>
      </c>
      <c r="AE90" s="2">
        <f t="shared" si="34"/>
        <v>0</v>
      </c>
      <c r="AF90" s="2">
        <f t="shared" si="35"/>
        <v>0</v>
      </c>
      <c r="AG90" s="2">
        <f t="shared" si="38"/>
        <v>0</v>
      </c>
    </row>
    <row r="91" spans="2:33" hidden="1" x14ac:dyDescent="0.25">
      <c r="B91" s="1" t="s">
        <v>29</v>
      </c>
      <c r="C91" s="2"/>
      <c r="D91" s="2"/>
      <c r="E91" s="2"/>
      <c r="F91" s="2"/>
      <c r="G91" s="2"/>
      <c r="H91" s="2"/>
      <c r="I91" s="2"/>
      <c r="J91" s="2"/>
      <c r="K91" s="2">
        <f t="shared" si="36"/>
        <v>0</v>
      </c>
      <c r="M91" s="1" t="s">
        <v>29</v>
      </c>
      <c r="N91" s="2"/>
      <c r="O91" s="2"/>
      <c r="P91" s="2"/>
      <c r="Q91" s="2"/>
      <c r="R91" s="2"/>
      <c r="S91" s="2"/>
      <c r="T91" s="2"/>
      <c r="U91" s="2"/>
      <c r="V91" s="2">
        <f t="shared" si="37"/>
        <v>0</v>
      </c>
      <c r="X91" s="1" t="s">
        <v>29</v>
      </c>
      <c r="Y91" s="2">
        <f t="shared" si="28"/>
        <v>0</v>
      </c>
      <c r="Z91" s="2">
        <f t="shared" si="29"/>
        <v>0</v>
      </c>
      <c r="AA91" s="2">
        <f t="shared" si="30"/>
        <v>0</v>
      </c>
      <c r="AB91" s="2">
        <f t="shared" si="31"/>
        <v>0</v>
      </c>
      <c r="AC91" s="2">
        <f t="shared" si="32"/>
        <v>0</v>
      </c>
      <c r="AD91" s="2">
        <f t="shared" si="33"/>
        <v>0</v>
      </c>
      <c r="AE91" s="2">
        <f t="shared" si="34"/>
        <v>0</v>
      </c>
      <c r="AF91" s="2">
        <f t="shared" si="35"/>
        <v>0</v>
      </c>
      <c r="AG91" s="2">
        <f t="shared" si="38"/>
        <v>0</v>
      </c>
    </row>
    <row r="92" spans="2:33" hidden="1" x14ac:dyDescent="0.25">
      <c r="B92" s="1" t="s">
        <v>88</v>
      </c>
      <c r="C92" s="2"/>
      <c r="D92" s="2"/>
      <c r="E92" s="2"/>
      <c r="F92" s="2"/>
      <c r="G92" s="2"/>
      <c r="H92" s="2"/>
      <c r="I92" s="2"/>
      <c r="J92" s="2"/>
      <c r="K92" s="2">
        <f t="shared" si="36"/>
        <v>0</v>
      </c>
      <c r="M92" s="1" t="s">
        <v>88</v>
      </c>
      <c r="N92" s="2"/>
      <c r="O92" s="2"/>
      <c r="P92" s="2"/>
      <c r="Q92" s="2"/>
      <c r="R92" s="2"/>
      <c r="S92" s="2"/>
      <c r="T92" s="2"/>
      <c r="U92" s="2"/>
      <c r="V92" s="2">
        <f t="shared" si="37"/>
        <v>0</v>
      </c>
      <c r="X92" s="1" t="s">
        <v>52</v>
      </c>
      <c r="Y92" s="2">
        <f t="shared" si="28"/>
        <v>0</v>
      </c>
      <c r="Z92" s="2">
        <f t="shared" si="29"/>
        <v>0</v>
      </c>
      <c r="AA92" s="2">
        <f t="shared" si="30"/>
        <v>0</v>
      </c>
      <c r="AB92" s="2">
        <f t="shared" si="31"/>
        <v>0</v>
      </c>
      <c r="AC92" s="2">
        <f t="shared" si="32"/>
        <v>0</v>
      </c>
      <c r="AD92" s="2">
        <f t="shared" si="33"/>
        <v>0</v>
      </c>
      <c r="AE92" s="2">
        <f t="shared" si="34"/>
        <v>0</v>
      </c>
      <c r="AF92" s="2">
        <f t="shared" si="35"/>
        <v>0</v>
      </c>
      <c r="AG92" s="2">
        <f t="shared" si="38"/>
        <v>0</v>
      </c>
    </row>
    <row r="93" spans="2:33" hidden="1" x14ac:dyDescent="0.25">
      <c r="B93" s="1" t="s">
        <v>341</v>
      </c>
      <c r="C93" s="2"/>
      <c r="D93" s="2"/>
      <c r="E93" s="2"/>
      <c r="F93" s="2"/>
      <c r="G93" s="2"/>
      <c r="H93" s="2"/>
      <c r="I93" s="2"/>
      <c r="J93" s="2"/>
      <c r="K93" s="2">
        <f t="shared" si="36"/>
        <v>0</v>
      </c>
      <c r="M93" s="1" t="s">
        <v>341</v>
      </c>
      <c r="N93" s="2"/>
      <c r="O93" s="2"/>
      <c r="P93" s="2"/>
      <c r="Q93" s="2"/>
      <c r="R93" s="2"/>
      <c r="S93" s="2"/>
      <c r="T93" s="2"/>
      <c r="U93" s="2"/>
      <c r="V93" s="2">
        <f t="shared" si="37"/>
        <v>0</v>
      </c>
      <c r="X93" s="1" t="s">
        <v>88</v>
      </c>
      <c r="Y93" s="2">
        <f t="shared" si="28"/>
        <v>0</v>
      </c>
      <c r="Z93" s="2">
        <f t="shared" si="29"/>
        <v>0</v>
      </c>
      <c r="AA93" s="2">
        <f t="shared" si="30"/>
        <v>0</v>
      </c>
      <c r="AB93" s="2">
        <f t="shared" si="31"/>
        <v>0</v>
      </c>
      <c r="AC93" s="2">
        <f t="shared" si="32"/>
        <v>0</v>
      </c>
      <c r="AD93" s="2">
        <f t="shared" si="33"/>
        <v>0</v>
      </c>
      <c r="AE93" s="2">
        <f t="shared" si="34"/>
        <v>0</v>
      </c>
      <c r="AF93" s="2">
        <f t="shared" si="35"/>
        <v>0</v>
      </c>
      <c r="AG93" s="2">
        <f t="shared" si="38"/>
        <v>0</v>
      </c>
    </row>
    <row r="94" spans="2:33" hidden="1" x14ac:dyDescent="0.25">
      <c r="B94" s="1" t="s">
        <v>340</v>
      </c>
      <c r="C94" s="2"/>
      <c r="D94" s="2"/>
      <c r="E94" s="2"/>
      <c r="F94" s="2"/>
      <c r="G94" s="2"/>
      <c r="H94" s="2"/>
      <c r="I94" s="2"/>
      <c r="J94" s="2"/>
      <c r="K94" s="2">
        <f t="shared" si="36"/>
        <v>0</v>
      </c>
      <c r="M94" s="1" t="s">
        <v>340</v>
      </c>
      <c r="N94" s="2"/>
      <c r="O94" s="2"/>
      <c r="P94" s="2"/>
      <c r="Q94" s="2"/>
      <c r="R94" s="2"/>
      <c r="S94" s="2"/>
      <c r="T94" s="2"/>
      <c r="U94" s="2"/>
      <c r="V94" s="2">
        <f t="shared" si="37"/>
        <v>0</v>
      </c>
      <c r="X94" s="1" t="s">
        <v>1</v>
      </c>
      <c r="Y94" s="2">
        <f t="shared" si="28"/>
        <v>0</v>
      </c>
      <c r="Z94" s="2">
        <f t="shared" si="29"/>
        <v>0</v>
      </c>
      <c r="AA94" s="2">
        <f t="shared" si="30"/>
        <v>0</v>
      </c>
      <c r="AB94" s="2">
        <f t="shared" si="31"/>
        <v>0</v>
      </c>
      <c r="AC94" s="2">
        <f t="shared" si="32"/>
        <v>0</v>
      </c>
      <c r="AD94" s="2">
        <f t="shared" si="33"/>
        <v>0</v>
      </c>
      <c r="AE94" s="2">
        <f t="shared" si="34"/>
        <v>0</v>
      </c>
      <c r="AF94" s="2">
        <f t="shared" si="35"/>
        <v>0</v>
      </c>
      <c r="AG94" s="2">
        <f t="shared" si="38"/>
        <v>0</v>
      </c>
    </row>
    <row r="95" spans="2:33" ht="15.75" hidden="1" thickBot="1" x14ac:dyDescent="0.3">
      <c r="C95" s="69">
        <f>SUM(C75:C94)</f>
        <v>0</v>
      </c>
      <c r="D95" s="69">
        <f t="shared" ref="D95:J95" si="39">SUM(D75:D94)</f>
        <v>0</v>
      </c>
      <c r="E95" s="69">
        <f t="shared" si="39"/>
        <v>0</v>
      </c>
      <c r="F95" s="69">
        <f t="shared" si="39"/>
        <v>0</v>
      </c>
      <c r="G95" s="69">
        <f t="shared" si="39"/>
        <v>0</v>
      </c>
      <c r="H95" s="69">
        <f t="shared" si="39"/>
        <v>0</v>
      </c>
      <c r="I95" s="69">
        <f t="shared" si="39"/>
        <v>0</v>
      </c>
      <c r="J95" s="69">
        <f t="shared" si="39"/>
        <v>0</v>
      </c>
      <c r="K95" s="69">
        <f>SUM(K75:K94)</f>
        <v>0</v>
      </c>
      <c r="N95" s="69">
        <f>SUM(N75:N94)</f>
        <v>0</v>
      </c>
      <c r="O95" s="69">
        <f t="shared" ref="O95:U95" si="40">SUM(O75:O94)</f>
        <v>0</v>
      </c>
      <c r="P95" s="69">
        <f t="shared" si="40"/>
        <v>0</v>
      </c>
      <c r="Q95" s="69">
        <f t="shared" si="40"/>
        <v>0</v>
      </c>
      <c r="R95" s="69">
        <f t="shared" si="40"/>
        <v>0</v>
      </c>
      <c r="S95" s="69">
        <f t="shared" si="40"/>
        <v>0</v>
      </c>
      <c r="T95" s="69">
        <f t="shared" si="40"/>
        <v>0</v>
      </c>
      <c r="U95" s="69">
        <f t="shared" si="40"/>
        <v>0</v>
      </c>
      <c r="V95" s="69">
        <f>SUM(V75:V94)</f>
        <v>0</v>
      </c>
      <c r="Y95" s="69">
        <f>SUM(Y75:Y94)</f>
        <v>0</v>
      </c>
      <c r="Z95" s="69">
        <f t="shared" ref="Z95:AF95" si="41">SUM(Z75:Z94)</f>
        <v>0</v>
      </c>
      <c r="AA95" s="69">
        <f t="shared" si="41"/>
        <v>0</v>
      </c>
      <c r="AB95" s="69">
        <f t="shared" si="41"/>
        <v>0</v>
      </c>
      <c r="AC95" s="69">
        <f t="shared" si="41"/>
        <v>0</v>
      </c>
      <c r="AD95" s="69">
        <f t="shared" si="41"/>
        <v>0</v>
      </c>
      <c r="AE95" s="69">
        <f t="shared" si="41"/>
        <v>0</v>
      </c>
      <c r="AF95" s="69">
        <f t="shared" si="41"/>
        <v>0</v>
      </c>
      <c r="AG95" s="69">
        <f>SUM(AG75:AG94)</f>
        <v>0</v>
      </c>
    </row>
    <row r="96" spans="2:33" hidden="1" x14ac:dyDescent="0.25"/>
    <row r="97" spans="2:33" hidden="1" x14ac:dyDescent="0.25"/>
    <row r="98" spans="2:33" hidden="1" x14ac:dyDescent="0.25">
      <c r="B98" s="71" t="s">
        <v>97</v>
      </c>
      <c r="C98" s="167">
        <f>$C$20</f>
        <v>45199</v>
      </c>
      <c r="D98" s="164"/>
      <c r="E98" s="164"/>
      <c r="F98" s="164"/>
      <c r="G98" s="164"/>
      <c r="H98" s="164"/>
      <c r="I98" s="164"/>
      <c r="J98" s="164"/>
      <c r="K98" s="164"/>
      <c r="M98" s="71" t="s">
        <v>97</v>
      </c>
      <c r="N98" s="178">
        <f>$N$20</f>
        <v>45169</v>
      </c>
      <c r="O98" s="179"/>
      <c r="P98" s="179"/>
      <c r="Q98" s="179"/>
      <c r="R98" s="179"/>
      <c r="S98" s="179"/>
      <c r="T98" s="179"/>
      <c r="U98" s="179"/>
      <c r="V98" s="179"/>
      <c r="X98" s="71" t="s">
        <v>97</v>
      </c>
      <c r="Y98" s="164" t="s">
        <v>98</v>
      </c>
      <c r="Z98" s="164"/>
      <c r="AA98" s="164"/>
      <c r="AB98" s="164"/>
      <c r="AC98" s="164"/>
      <c r="AD98" s="164"/>
      <c r="AE98" s="164"/>
      <c r="AF98" s="164"/>
      <c r="AG98" s="164"/>
    </row>
    <row r="99" spans="2:33" hidden="1" x14ac:dyDescent="0.25">
      <c r="B99" s="71" t="s">
        <v>96</v>
      </c>
      <c r="C99" s="164" t="str">
        <f>'Reimbursement Rates &lt;-INPUT'!E7</f>
        <v>Clinic 4</v>
      </c>
      <c r="D99" s="164"/>
      <c r="E99" s="164"/>
      <c r="F99" s="164"/>
      <c r="G99" s="164"/>
      <c r="H99" s="164"/>
      <c r="I99" s="164"/>
      <c r="J99" s="164"/>
      <c r="K99" s="164"/>
      <c r="M99" s="71" t="s">
        <v>96</v>
      </c>
      <c r="N99" s="164" t="str">
        <f>C99</f>
        <v>Clinic 4</v>
      </c>
      <c r="O99" s="164"/>
      <c r="P99" s="164"/>
      <c r="Q99" s="164"/>
      <c r="R99" s="164"/>
      <c r="S99" s="164"/>
      <c r="T99" s="164"/>
      <c r="U99" s="164"/>
      <c r="V99" s="164"/>
      <c r="X99" s="71" t="s">
        <v>96</v>
      </c>
      <c r="Y99" s="164" t="str">
        <f>C99</f>
        <v>Clinic 4</v>
      </c>
      <c r="Z99" s="164"/>
      <c r="AA99" s="164"/>
      <c r="AB99" s="164"/>
      <c r="AC99" s="164"/>
      <c r="AD99" s="164"/>
      <c r="AE99" s="164"/>
      <c r="AF99" s="164"/>
      <c r="AG99" s="164"/>
    </row>
    <row r="100" spans="2:33" hidden="1" x14ac:dyDescent="0.25">
      <c r="B100" s="4" t="s">
        <v>16</v>
      </c>
      <c r="C100" s="5" t="s">
        <v>15</v>
      </c>
      <c r="D100" s="5" t="s">
        <v>14</v>
      </c>
      <c r="E100" s="5" t="s">
        <v>13</v>
      </c>
      <c r="F100" s="5" t="s">
        <v>12</v>
      </c>
      <c r="G100" s="5" t="s">
        <v>94</v>
      </c>
      <c r="H100" s="5" t="s">
        <v>95</v>
      </c>
      <c r="I100" s="5" t="s">
        <v>38</v>
      </c>
      <c r="J100" s="5" t="s">
        <v>9</v>
      </c>
      <c r="K100" s="5" t="s">
        <v>80</v>
      </c>
      <c r="M100" s="4" t="s">
        <v>16</v>
      </c>
      <c r="N100" s="5" t="s">
        <v>15</v>
      </c>
      <c r="O100" s="5" t="s">
        <v>14</v>
      </c>
      <c r="P100" s="5" t="s">
        <v>13</v>
      </c>
      <c r="Q100" s="5" t="s">
        <v>12</v>
      </c>
      <c r="R100" s="5" t="s">
        <v>94</v>
      </c>
      <c r="S100" s="5" t="s">
        <v>95</v>
      </c>
      <c r="T100" s="5" t="s">
        <v>38</v>
      </c>
      <c r="U100" s="5" t="s">
        <v>9</v>
      </c>
      <c r="V100" s="5" t="s">
        <v>80</v>
      </c>
      <c r="X100" s="4" t="s">
        <v>16</v>
      </c>
      <c r="Y100" s="5" t="s">
        <v>15</v>
      </c>
      <c r="Z100" s="5" t="s">
        <v>14</v>
      </c>
      <c r="AA100" s="5" t="s">
        <v>13</v>
      </c>
      <c r="AB100" s="5" t="s">
        <v>12</v>
      </c>
      <c r="AC100" s="5" t="s">
        <v>94</v>
      </c>
      <c r="AD100" s="5" t="s">
        <v>95</v>
      </c>
      <c r="AE100" s="5" t="s">
        <v>38</v>
      </c>
      <c r="AF100" s="5" t="s">
        <v>9</v>
      </c>
      <c r="AG100" s="5" t="s">
        <v>80</v>
      </c>
    </row>
    <row r="101" spans="2:33" hidden="1" x14ac:dyDescent="0.25">
      <c r="B101" s="1" t="s">
        <v>335</v>
      </c>
      <c r="C101" s="2"/>
      <c r="D101" s="2"/>
      <c r="E101" s="2"/>
      <c r="F101" s="2"/>
      <c r="G101" s="2"/>
      <c r="H101" s="2"/>
      <c r="I101" s="2"/>
      <c r="J101" s="2"/>
      <c r="K101" s="2">
        <f>SUM(C101:J101)</f>
        <v>0</v>
      </c>
      <c r="M101" s="1" t="s">
        <v>335</v>
      </c>
      <c r="N101" s="2"/>
      <c r="O101" s="2"/>
      <c r="P101" s="2"/>
      <c r="Q101" s="2"/>
      <c r="R101" s="2"/>
      <c r="S101" s="2"/>
      <c r="T101" s="2"/>
      <c r="U101" s="2"/>
      <c r="V101" s="2">
        <f>SUM(N101:U101)</f>
        <v>0</v>
      </c>
      <c r="X101" s="1" t="s">
        <v>49</v>
      </c>
      <c r="Y101" s="2">
        <f t="shared" ref="Y101:Y120" si="42">C101-N101</f>
        <v>0</v>
      </c>
      <c r="Z101" s="2">
        <f t="shared" ref="Z101:Z120" si="43">D101-O101</f>
        <v>0</v>
      </c>
      <c r="AA101" s="2">
        <f t="shared" ref="AA101:AA120" si="44">E101-P101</f>
        <v>0</v>
      </c>
      <c r="AB101" s="2">
        <f t="shared" ref="AB101:AB120" si="45">F101-Q101</f>
        <v>0</v>
      </c>
      <c r="AC101" s="2">
        <f t="shared" ref="AC101:AC120" si="46">G101-R101</f>
        <v>0</v>
      </c>
      <c r="AD101" s="2">
        <f t="shared" ref="AD101:AD120" si="47">H101-S101</f>
        <v>0</v>
      </c>
      <c r="AE101" s="2">
        <f t="shared" ref="AE101:AE120" si="48">I101-T101</f>
        <v>0</v>
      </c>
      <c r="AF101" s="2">
        <f t="shared" ref="AF101:AF120" si="49">J101-U101</f>
        <v>0</v>
      </c>
      <c r="AG101" s="2">
        <f>SUM(Y101:AF101)</f>
        <v>0</v>
      </c>
    </row>
    <row r="102" spans="2:33" hidden="1" x14ac:dyDescent="0.25">
      <c r="B102" s="1" t="s">
        <v>8</v>
      </c>
      <c r="C102" s="2"/>
      <c r="D102" s="2"/>
      <c r="E102" s="2"/>
      <c r="F102" s="2"/>
      <c r="G102" s="2"/>
      <c r="H102" s="2"/>
      <c r="I102" s="2"/>
      <c r="J102" s="2"/>
      <c r="K102" s="2">
        <f t="shared" ref="K102:K120" si="50">SUM(C102:J102)</f>
        <v>0</v>
      </c>
      <c r="M102" s="1" t="s">
        <v>8</v>
      </c>
      <c r="N102" s="2"/>
      <c r="O102" s="2"/>
      <c r="P102" s="2"/>
      <c r="Q102" s="2"/>
      <c r="R102" s="2"/>
      <c r="S102" s="2"/>
      <c r="T102" s="2"/>
      <c r="U102" s="2"/>
      <c r="V102" s="2">
        <f t="shared" ref="V102:V120" si="51">SUM(N102:U102)</f>
        <v>0</v>
      </c>
      <c r="X102" s="1" t="s">
        <v>8</v>
      </c>
      <c r="Y102" s="2">
        <f t="shared" si="42"/>
        <v>0</v>
      </c>
      <c r="Z102" s="2">
        <f t="shared" si="43"/>
        <v>0</v>
      </c>
      <c r="AA102" s="2">
        <f t="shared" si="44"/>
        <v>0</v>
      </c>
      <c r="AB102" s="2">
        <f t="shared" si="45"/>
        <v>0</v>
      </c>
      <c r="AC102" s="2">
        <f t="shared" si="46"/>
        <v>0</v>
      </c>
      <c r="AD102" s="2">
        <f t="shared" si="47"/>
        <v>0</v>
      </c>
      <c r="AE102" s="2">
        <f t="shared" si="48"/>
        <v>0</v>
      </c>
      <c r="AF102" s="2">
        <f t="shared" si="49"/>
        <v>0</v>
      </c>
      <c r="AG102" s="2">
        <f t="shared" ref="AG102:AG120" si="52">SUM(Y102:AF102)</f>
        <v>0</v>
      </c>
    </row>
    <row r="103" spans="2:33" hidden="1" x14ac:dyDescent="0.25">
      <c r="B103" s="1" t="s">
        <v>336</v>
      </c>
      <c r="C103" s="2"/>
      <c r="D103" s="2"/>
      <c r="E103" s="2"/>
      <c r="F103" s="2"/>
      <c r="G103" s="2"/>
      <c r="H103" s="2"/>
      <c r="I103" s="2"/>
      <c r="J103" s="2"/>
      <c r="K103" s="2">
        <f t="shared" si="50"/>
        <v>0</v>
      </c>
      <c r="M103" s="1" t="s">
        <v>336</v>
      </c>
      <c r="N103" s="2"/>
      <c r="O103" s="2"/>
      <c r="P103" s="2"/>
      <c r="Q103" s="2"/>
      <c r="R103" s="2"/>
      <c r="S103" s="2"/>
      <c r="T103" s="2"/>
      <c r="U103" s="2"/>
      <c r="V103" s="2">
        <f t="shared" si="51"/>
        <v>0</v>
      </c>
      <c r="X103" s="1" t="s">
        <v>7</v>
      </c>
      <c r="Y103" s="2">
        <f t="shared" si="42"/>
        <v>0</v>
      </c>
      <c r="Z103" s="2">
        <f t="shared" si="43"/>
        <v>0</v>
      </c>
      <c r="AA103" s="2">
        <f t="shared" si="44"/>
        <v>0</v>
      </c>
      <c r="AB103" s="2">
        <f t="shared" si="45"/>
        <v>0</v>
      </c>
      <c r="AC103" s="2">
        <f t="shared" si="46"/>
        <v>0</v>
      </c>
      <c r="AD103" s="2">
        <f t="shared" si="47"/>
        <v>0</v>
      </c>
      <c r="AE103" s="2">
        <f t="shared" si="48"/>
        <v>0</v>
      </c>
      <c r="AF103" s="2">
        <f t="shared" si="49"/>
        <v>0</v>
      </c>
      <c r="AG103" s="2">
        <f t="shared" si="52"/>
        <v>0</v>
      </c>
    </row>
    <row r="104" spans="2:33" hidden="1" x14ac:dyDescent="0.25">
      <c r="B104" s="1" t="s">
        <v>42</v>
      </c>
      <c r="C104" s="2"/>
      <c r="D104" s="2"/>
      <c r="E104" s="2"/>
      <c r="F104" s="2"/>
      <c r="G104" s="2"/>
      <c r="H104" s="2"/>
      <c r="I104" s="2"/>
      <c r="J104" s="2"/>
      <c r="K104" s="2">
        <f t="shared" si="50"/>
        <v>0</v>
      </c>
      <c r="M104" s="1" t="s">
        <v>42</v>
      </c>
      <c r="N104" s="2"/>
      <c r="O104" s="2"/>
      <c r="P104" s="2"/>
      <c r="Q104" s="2"/>
      <c r="R104" s="2"/>
      <c r="S104" s="2"/>
      <c r="T104" s="2"/>
      <c r="U104" s="2"/>
      <c r="V104" s="2">
        <f t="shared" si="51"/>
        <v>0</v>
      </c>
      <c r="X104" s="1" t="s">
        <v>42</v>
      </c>
      <c r="Y104" s="2">
        <f t="shared" si="42"/>
        <v>0</v>
      </c>
      <c r="Z104" s="2">
        <f t="shared" si="43"/>
        <v>0</v>
      </c>
      <c r="AA104" s="2">
        <f t="shared" si="44"/>
        <v>0</v>
      </c>
      <c r="AB104" s="2">
        <f t="shared" si="45"/>
        <v>0</v>
      </c>
      <c r="AC104" s="2">
        <f t="shared" si="46"/>
        <v>0</v>
      </c>
      <c r="AD104" s="2">
        <f t="shared" si="47"/>
        <v>0</v>
      </c>
      <c r="AE104" s="2">
        <f t="shared" si="48"/>
        <v>0</v>
      </c>
      <c r="AF104" s="2">
        <f t="shared" si="49"/>
        <v>0</v>
      </c>
      <c r="AG104" s="2">
        <f t="shared" si="52"/>
        <v>0</v>
      </c>
    </row>
    <row r="105" spans="2:33" hidden="1" x14ac:dyDescent="0.25">
      <c r="B105" s="1" t="s">
        <v>6</v>
      </c>
      <c r="C105" s="2"/>
      <c r="D105" s="2"/>
      <c r="E105" s="2"/>
      <c r="F105" s="2"/>
      <c r="G105" s="2"/>
      <c r="H105" s="2"/>
      <c r="I105" s="2"/>
      <c r="J105" s="2"/>
      <c r="K105" s="2">
        <f t="shared" si="50"/>
        <v>0</v>
      </c>
      <c r="M105" s="1" t="s">
        <v>6</v>
      </c>
      <c r="N105" s="2"/>
      <c r="O105" s="2"/>
      <c r="P105" s="2"/>
      <c r="Q105" s="2"/>
      <c r="R105" s="2"/>
      <c r="S105" s="2"/>
      <c r="T105" s="2"/>
      <c r="U105" s="2"/>
      <c r="V105" s="2">
        <f t="shared" si="51"/>
        <v>0</v>
      </c>
      <c r="X105" s="1" t="s">
        <v>6</v>
      </c>
      <c r="Y105" s="2">
        <f t="shared" si="42"/>
        <v>0</v>
      </c>
      <c r="Z105" s="2">
        <f t="shared" si="43"/>
        <v>0</v>
      </c>
      <c r="AA105" s="2">
        <f t="shared" si="44"/>
        <v>0</v>
      </c>
      <c r="AB105" s="2">
        <f t="shared" si="45"/>
        <v>0</v>
      </c>
      <c r="AC105" s="2">
        <f t="shared" si="46"/>
        <v>0</v>
      </c>
      <c r="AD105" s="2">
        <f t="shared" si="47"/>
        <v>0</v>
      </c>
      <c r="AE105" s="2">
        <f t="shared" si="48"/>
        <v>0</v>
      </c>
      <c r="AF105" s="2">
        <f t="shared" si="49"/>
        <v>0</v>
      </c>
      <c r="AG105" s="2">
        <f t="shared" si="52"/>
        <v>0</v>
      </c>
    </row>
    <row r="106" spans="2:33" hidden="1" x14ac:dyDescent="0.25">
      <c r="B106" s="1" t="s">
        <v>90</v>
      </c>
      <c r="C106" s="2"/>
      <c r="D106" s="2"/>
      <c r="E106" s="2"/>
      <c r="F106" s="2"/>
      <c r="G106" s="2"/>
      <c r="H106" s="2"/>
      <c r="I106" s="2"/>
      <c r="J106" s="2"/>
      <c r="K106" s="2">
        <f t="shared" si="50"/>
        <v>0</v>
      </c>
      <c r="M106" s="1" t="s">
        <v>90</v>
      </c>
      <c r="N106" s="2"/>
      <c r="O106" s="2"/>
      <c r="P106" s="2"/>
      <c r="Q106" s="2"/>
      <c r="R106" s="2"/>
      <c r="S106" s="2"/>
      <c r="T106" s="2"/>
      <c r="U106" s="2"/>
      <c r="V106" s="2">
        <f t="shared" si="51"/>
        <v>0</v>
      </c>
      <c r="X106" s="1" t="s">
        <v>90</v>
      </c>
      <c r="Y106" s="2">
        <f t="shared" si="42"/>
        <v>0</v>
      </c>
      <c r="Z106" s="2">
        <f t="shared" si="43"/>
        <v>0</v>
      </c>
      <c r="AA106" s="2">
        <f t="shared" si="44"/>
        <v>0</v>
      </c>
      <c r="AB106" s="2">
        <f t="shared" si="45"/>
        <v>0</v>
      </c>
      <c r="AC106" s="2">
        <f t="shared" si="46"/>
        <v>0</v>
      </c>
      <c r="AD106" s="2">
        <f t="shared" si="47"/>
        <v>0</v>
      </c>
      <c r="AE106" s="2">
        <f t="shared" si="48"/>
        <v>0</v>
      </c>
      <c r="AF106" s="2">
        <f t="shared" si="49"/>
        <v>0</v>
      </c>
      <c r="AG106" s="2">
        <f t="shared" si="52"/>
        <v>0</v>
      </c>
    </row>
    <row r="107" spans="2:33" hidden="1" x14ac:dyDescent="0.25">
      <c r="B107" s="1" t="s">
        <v>342</v>
      </c>
      <c r="C107" s="2"/>
      <c r="D107" s="2"/>
      <c r="E107" s="2"/>
      <c r="F107" s="2"/>
      <c r="G107" s="2"/>
      <c r="H107" s="2"/>
      <c r="I107" s="2"/>
      <c r="J107" s="2"/>
      <c r="K107" s="2">
        <f t="shared" si="50"/>
        <v>0</v>
      </c>
      <c r="M107" s="1" t="s">
        <v>342</v>
      </c>
      <c r="N107" s="2"/>
      <c r="O107" s="2"/>
      <c r="P107" s="2"/>
      <c r="Q107" s="2"/>
      <c r="R107" s="2"/>
      <c r="S107" s="2"/>
      <c r="T107" s="2"/>
      <c r="U107" s="2"/>
      <c r="V107" s="2">
        <f t="shared" si="51"/>
        <v>0</v>
      </c>
      <c r="X107" s="1" t="s">
        <v>50</v>
      </c>
      <c r="Y107" s="2">
        <f t="shared" si="42"/>
        <v>0</v>
      </c>
      <c r="Z107" s="2">
        <f t="shared" si="43"/>
        <v>0</v>
      </c>
      <c r="AA107" s="2">
        <f t="shared" si="44"/>
        <v>0</v>
      </c>
      <c r="AB107" s="2">
        <f t="shared" si="45"/>
        <v>0</v>
      </c>
      <c r="AC107" s="2">
        <f t="shared" si="46"/>
        <v>0</v>
      </c>
      <c r="AD107" s="2">
        <f t="shared" si="47"/>
        <v>0</v>
      </c>
      <c r="AE107" s="2">
        <f t="shared" si="48"/>
        <v>0</v>
      </c>
      <c r="AF107" s="2">
        <f t="shared" si="49"/>
        <v>0</v>
      </c>
      <c r="AG107" s="2">
        <f t="shared" si="52"/>
        <v>0</v>
      </c>
    </row>
    <row r="108" spans="2:33" hidden="1" x14ac:dyDescent="0.25">
      <c r="B108" s="1" t="s">
        <v>89</v>
      </c>
      <c r="C108" s="2"/>
      <c r="D108" s="2"/>
      <c r="E108" s="2"/>
      <c r="F108" s="2"/>
      <c r="G108" s="2"/>
      <c r="H108" s="2"/>
      <c r="I108" s="2"/>
      <c r="J108" s="2"/>
      <c r="K108" s="2">
        <f t="shared" si="50"/>
        <v>0</v>
      </c>
      <c r="M108" s="1" t="s">
        <v>89</v>
      </c>
      <c r="N108" s="2"/>
      <c r="O108" s="2"/>
      <c r="P108" s="2"/>
      <c r="Q108" s="2"/>
      <c r="R108" s="2"/>
      <c r="S108" s="2"/>
      <c r="T108" s="2"/>
      <c r="U108" s="2"/>
      <c r="V108" s="2">
        <f t="shared" si="51"/>
        <v>0</v>
      </c>
      <c r="X108" s="1" t="s">
        <v>89</v>
      </c>
      <c r="Y108" s="2">
        <f t="shared" si="42"/>
        <v>0</v>
      </c>
      <c r="Z108" s="2">
        <f t="shared" si="43"/>
        <v>0</v>
      </c>
      <c r="AA108" s="2">
        <f t="shared" si="44"/>
        <v>0</v>
      </c>
      <c r="AB108" s="2">
        <f t="shared" si="45"/>
        <v>0</v>
      </c>
      <c r="AC108" s="2">
        <f t="shared" si="46"/>
        <v>0</v>
      </c>
      <c r="AD108" s="2">
        <f t="shared" si="47"/>
        <v>0</v>
      </c>
      <c r="AE108" s="2">
        <f t="shared" si="48"/>
        <v>0</v>
      </c>
      <c r="AF108" s="2">
        <f t="shared" si="49"/>
        <v>0</v>
      </c>
      <c r="AG108" s="2">
        <f t="shared" si="52"/>
        <v>0</v>
      </c>
    </row>
    <row r="109" spans="2:33" hidden="1" x14ac:dyDescent="0.25">
      <c r="B109" s="1" t="s">
        <v>5</v>
      </c>
      <c r="C109" s="2"/>
      <c r="D109" s="2"/>
      <c r="E109" s="2"/>
      <c r="F109" s="2"/>
      <c r="G109" s="2"/>
      <c r="H109" s="2"/>
      <c r="I109" s="2"/>
      <c r="J109" s="2"/>
      <c r="K109" s="2">
        <f t="shared" si="50"/>
        <v>0</v>
      </c>
      <c r="M109" s="1" t="s">
        <v>5</v>
      </c>
      <c r="N109" s="2"/>
      <c r="O109" s="2"/>
      <c r="P109" s="2"/>
      <c r="Q109" s="2"/>
      <c r="R109" s="2"/>
      <c r="S109" s="2"/>
      <c r="T109" s="2"/>
      <c r="U109" s="2"/>
      <c r="V109" s="2">
        <f t="shared" si="51"/>
        <v>0</v>
      </c>
      <c r="X109" s="1" t="s">
        <v>5</v>
      </c>
      <c r="Y109" s="2">
        <f t="shared" si="42"/>
        <v>0</v>
      </c>
      <c r="Z109" s="2">
        <f t="shared" si="43"/>
        <v>0</v>
      </c>
      <c r="AA109" s="2">
        <f t="shared" si="44"/>
        <v>0</v>
      </c>
      <c r="AB109" s="2">
        <f t="shared" si="45"/>
        <v>0</v>
      </c>
      <c r="AC109" s="2">
        <f t="shared" si="46"/>
        <v>0</v>
      </c>
      <c r="AD109" s="2">
        <f t="shared" si="47"/>
        <v>0</v>
      </c>
      <c r="AE109" s="2">
        <f t="shared" si="48"/>
        <v>0</v>
      </c>
      <c r="AF109" s="2">
        <f t="shared" si="49"/>
        <v>0</v>
      </c>
      <c r="AG109" s="2">
        <f t="shared" si="52"/>
        <v>0</v>
      </c>
    </row>
    <row r="110" spans="2:33" hidden="1" x14ac:dyDescent="0.25">
      <c r="B110" s="1" t="s">
        <v>84</v>
      </c>
      <c r="C110" s="2"/>
      <c r="D110" s="2"/>
      <c r="E110" s="2"/>
      <c r="F110" s="2"/>
      <c r="G110" s="2"/>
      <c r="H110" s="2"/>
      <c r="I110" s="2"/>
      <c r="J110" s="2"/>
      <c r="K110" s="2">
        <f t="shared" si="50"/>
        <v>0</v>
      </c>
      <c r="M110" s="1" t="s">
        <v>84</v>
      </c>
      <c r="N110" s="2"/>
      <c r="O110" s="2"/>
      <c r="P110" s="2"/>
      <c r="Q110" s="2"/>
      <c r="R110" s="2"/>
      <c r="S110" s="2"/>
      <c r="T110" s="2"/>
      <c r="U110" s="2"/>
      <c r="V110" s="2">
        <f t="shared" si="51"/>
        <v>0</v>
      </c>
      <c r="X110" s="1" t="s">
        <v>84</v>
      </c>
      <c r="Y110" s="2">
        <f t="shared" si="42"/>
        <v>0</v>
      </c>
      <c r="Z110" s="2">
        <f t="shared" si="43"/>
        <v>0</v>
      </c>
      <c r="AA110" s="2">
        <f t="shared" si="44"/>
        <v>0</v>
      </c>
      <c r="AB110" s="2">
        <f t="shared" si="45"/>
        <v>0</v>
      </c>
      <c r="AC110" s="2">
        <f t="shared" si="46"/>
        <v>0</v>
      </c>
      <c r="AD110" s="2">
        <f t="shared" si="47"/>
        <v>0</v>
      </c>
      <c r="AE110" s="2">
        <f t="shared" si="48"/>
        <v>0</v>
      </c>
      <c r="AF110" s="2">
        <f t="shared" si="49"/>
        <v>0</v>
      </c>
      <c r="AG110" s="2">
        <f t="shared" si="52"/>
        <v>0</v>
      </c>
    </row>
    <row r="111" spans="2:33" hidden="1" x14ac:dyDescent="0.25">
      <c r="B111" s="1" t="s">
        <v>4</v>
      </c>
      <c r="C111" s="2"/>
      <c r="D111" s="2"/>
      <c r="E111" s="2"/>
      <c r="F111" s="2"/>
      <c r="G111" s="2"/>
      <c r="H111" s="2"/>
      <c r="I111" s="2"/>
      <c r="J111" s="2"/>
      <c r="K111" s="2">
        <f t="shared" si="50"/>
        <v>0</v>
      </c>
      <c r="M111" s="1" t="s">
        <v>4</v>
      </c>
      <c r="N111" s="2"/>
      <c r="O111" s="2"/>
      <c r="P111" s="2"/>
      <c r="Q111" s="2"/>
      <c r="R111" s="2"/>
      <c r="S111" s="2"/>
      <c r="T111" s="2"/>
      <c r="U111" s="2"/>
      <c r="V111" s="2">
        <f t="shared" si="51"/>
        <v>0</v>
      </c>
      <c r="X111" s="1" t="s">
        <v>4</v>
      </c>
      <c r="Y111" s="2">
        <f t="shared" si="42"/>
        <v>0</v>
      </c>
      <c r="Z111" s="2">
        <f t="shared" si="43"/>
        <v>0</v>
      </c>
      <c r="AA111" s="2">
        <f t="shared" si="44"/>
        <v>0</v>
      </c>
      <c r="AB111" s="2">
        <f t="shared" si="45"/>
        <v>0</v>
      </c>
      <c r="AC111" s="2">
        <f t="shared" si="46"/>
        <v>0</v>
      </c>
      <c r="AD111" s="2">
        <f t="shared" si="47"/>
        <v>0</v>
      </c>
      <c r="AE111" s="2">
        <f t="shared" si="48"/>
        <v>0</v>
      </c>
      <c r="AF111" s="2">
        <f t="shared" si="49"/>
        <v>0</v>
      </c>
      <c r="AG111" s="2">
        <f t="shared" si="52"/>
        <v>0</v>
      </c>
    </row>
    <row r="112" spans="2:33" hidden="1" x14ac:dyDescent="0.25">
      <c r="B112" s="1" t="s">
        <v>51</v>
      </c>
      <c r="C112" s="2"/>
      <c r="D112" s="2"/>
      <c r="E112" s="2"/>
      <c r="F112" s="2"/>
      <c r="G112" s="2"/>
      <c r="H112" s="2"/>
      <c r="I112" s="2"/>
      <c r="J112" s="2"/>
      <c r="K112" s="2">
        <f t="shared" si="50"/>
        <v>0</v>
      </c>
      <c r="M112" s="1" t="s">
        <v>51</v>
      </c>
      <c r="N112" s="2"/>
      <c r="O112" s="2"/>
      <c r="P112" s="2"/>
      <c r="Q112" s="2"/>
      <c r="R112" s="2"/>
      <c r="S112" s="2"/>
      <c r="T112" s="2"/>
      <c r="U112" s="2"/>
      <c r="V112" s="2">
        <f t="shared" si="51"/>
        <v>0</v>
      </c>
      <c r="X112" s="1" t="s">
        <v>51</v>
      </c>
      <c r="Y112" s="2">
        <f t="shared" si="42"/>
        <v>0</v>
      </c>
      <c r="Z112" s="2">
        <f t="shared" si="43"/>
        <v>0</v>
      </c>
      <c r="AA112" s="2">
        <f t="shared" si="44"/>
        <v>0</v>
      </c>
      <c r="AB112" s="2">
        <f t="shared" si="45"/>
        <v>0</v>
      </c>
      <c r="AC112" s="2">
        <f t="shared" si="46"/>
        <v>0</v>
      </c>
      <c r="AD112" s="2">
        <f t="shared" si="47"/>
        <v>0</v>
      </c>
      <c r="AE112" s="2">
        <f t="shared" si="48"/>
        <v>0</v>
      </c>
      <c r="AF112" s="2">
        <f t="shared" si="49"/>
        <v>0</v>
      </c>
      <c r="AG112" s="2">
        <f t="shared" si="52"/>
        <v>0</v>
      </c>
    </row>
    <row r="113" spans="2:33" hidden="1" x14ac:dyDescent="0.25">
      <c r="B113" s="1" t="s">
        <v>87</v>
      </c>
      <c r="C113" s="2"/>
      <c r="D113" s="2"/>
      <c r="E113" s="2"/>
      <c r="F113" s="2"/>
      <c r="G113" s="2"/>
      <c r="H113" s="2"/>
      <c r="I113" s="2"/>
      <c r="J113" s="2"/>
      <c r="K113" s="2">
        <f t="shared" si="50"/>
        <v>0</v>
      </c>
      <c r="M113" s="1" t="s">
        <v>87</v>
      </c>
      <c r="N113" s="2"/>
      <c r="O113" s="2"/>
      <c r="P113" s="2"/>
      <c r="Q113" s="2"/>
      <c r="R113" s="2"/>
      <c r="S113" s="2"/>
      <c r="T113" s="2"/>
      <c r="U113" s="2"/>
      <c r="V113" s="2">
        <f t="shared" si="51"/>
        <v>0</v>
      </c>
      <c r="X113" s="1" t="s">
        <v>87</v>
      </c>
      <c r="Y113" s="2">
        <f t="shared" si="42"/>
        <v>0</v>
      </c>
      <c r="Z113" s="2">
        <f t="shared" si="43"/>
        <v>0</v>
      </c>
      <c r="AA113" s="2">
        <f t="shared" si="44"/>
        <v>0</v>
      </c>
      <c r="AB113" s="2">
        <f t="shared" si="45"/>
        <v>0</v>
      </c>
      <c r="AC113" s="2">
        <f t="shared" si="46"/>
        <v>0</v>
      </c>
      <c r="AD113" s="2">
        <f t="shared" si="47"/>
        <v>0</v>
      </c>
      <c r="AE113" s="2">
        <f t="shared" si="48"/>
        <v>0</v>
      </c>
      <c r="AF113" s="2">
        <f t="shared" si="49"/>
        <v>0</v>
      </c>
      <c r="AG113" s="2">
        <f t="shared" si="52"/>
        <v>0</v>
      </c>
    </row>
    <row r="114" spans="2:33" hidden="1" x14ac:dyDescent="0.25">
      <c r="B114" s="1" t="s">
        <v>85</v>
      </c>
      <c r="C114" s="2"/>
      <c r="D114" s="2"/>
      <c r="E114" s="2"/>
      <c r="F114" s="2"/>
      <c r="G114" s="2"/>
      <c r="H114" s="2"/>
      <c r="I114" s="2"/>
      <c r="J114" s="2"/>
      <c r="K114" s="2">
        <f t="shared" si="50"/>
        <v>0</v>
      </c>
      <c r="M114" s="1" t="s">
        <v>85</v>
      </c>
      <c r="N114" s="2"/>
      <c r="O114" s="2"/>
      <c r="P114" s="2"/>
      <c r="Q114" s="2"/>
      <c r="R114" s="2"/>
      <c r="S114" s="2"/>
      <c r="T114" s="2"/>
      <c r="U114" s="2"/>
      <c r="V114" s="2">
        <f t="shared" si="51"/>
        <v>0</v>
      </c>
      <c r="X114" s="1" t="s">
        <v>85</v>
      </c>
      <c r="Y114" s="2">
        <f t="shared" si="42"/>
        <v>0</v>
      </c>
      <c r="Z114" s="2">
        <f t="shared" si="43"/>
        <v>0</v>
      </c>
      <c r="AA114" s="2">
        <f t="shared" si="44"/>
        <v>0</v>
      </c>
      <c r="AB114" s="2">
        <f t="shared" si="45"/>
        <v>0</v>
      </c>
      <c r="AC114" s="2">
        <f t="shared" si="46"/>
        <v>0</v>
      </c>
      <c r="AD114" s="2">
        <f t="shared" si="47"/>
        <v>0</v>
      </c>
      <c r="AE114" s="2">
        <f t="shared" si="48"/>
        <v>0</v>
      </c>
      <c r="AF114" s="2">
        <f t="shared" si="49"/>
        <v>0</v>
      </c>
      <c r="AG114" s="2">
        <f t="shared" si="52"/>
        <v>0</v>
      </c>
    </row>
    <row r="115" spans="2:33" hidden="1" x14ac:dyDescent="0.25">
      <c r="B115" s="1" t="s">
        <v>2</v>
      </c>
      <c r="C115" s="2"/>
      <c r="D115" s="2"/>
      <c r="E115" s="2"/>
      <c r="F115" s="2"/>
      <c r="G115" s="2"/>
      <c r="H115" s="2"/>
      <c r="I115" s="2"/>
      <c r="J115" s="2"/>
      <c r="K115" s="2">
        <f t="shared" si="50"/>
        <v>0</v>
      </c>
      <c r="M115" s="1" t="s">
        <v>2</v>
      </c>
      <c r="N115" s="2"/>
      <c r="O115" s="2"/>
      <c r="P115" s="2"/>
      <c r="Q115" s="2"/>
      <c r="R115" s="2"/>
      <c r="S115" s="2"/>
      <c r="T115" s="2"/>
      <c r="U115" s="2"/>
      <c r="V115" s="2">
        <f t="shared" si="51"/>
        <v>0</v>
      </c>
      <c r="X115" s="1" t="s">
        <v>2</v>
      </c>
      <c r="Y115" s="2">
        <f t="shared" si="42"/>
        <v>0</v>
      </c>
      <c r="Z115" s="2">
        <f t="shared" si="43"/>
        <v>0</v>
      </c>
      <c r="AA115" s="2">
        <f t="shared" si="44"/>
        <v>0</v>
      </c>
      <c r="AB115" s="2">
        <f t="shared" si="45"/>
        <v>0</v>
      </c>
      <c r="AC115" s="2">
        <f t="shared" si="46"/>
        <v>0</v>
      </c>
      <c r="AD115" s="2">
        <f t="shared" si="47"/>
        <v>0</v>
      </c>
      <c r="AE115" s="2">
        <f t="shared" si="48"/>
        <v>0</v>
      </c>
      <c r="AF115" s="2">
        <f t="shared" si="49"/>
        <v>0</v>
      </c>
      <c r="AG115" s="2">
        <f t="shared" si="52"/>
        <v>0</v>
      </c>
    </row>
    <row r="116" spans="2:33" hidden="1" x14ac:dyDescent="0.25">
      <c r="B116" s="1" t="s">
        <v>86</v>
      </c>
      <c r="C116" s="2"/>
      <c r="D116" s="2"/>
      <c r="E116" s="2"/>
      <c r="F116" s="2"/>
      <c r="G116" s="2"/>
      <c r="H116" s="2"/>
      <c r="I116" s="2"/>
      <c r="J116" s="2"/>
      <c r="K116" s="2">
        <f t="shared" si="50"/>
        <v>0</v>
      </c>
      <c r="M116" s="1" t="s">
        <v>86</v>
      </c>
      <c r="N116" s="2"/>
      <c r="O116" s="2"/>
      <c r="P116" s="2"/>
      <c r="Q116" s="2"/>
      <c r="R116" s="2"/>
      <c r="S116" s="2"/>
      <c r="T116" s="2"/>
      <c r="U116" s="2"/>
      <c r="V116" s="2">
        <f t="shared" si="51"/>
        <v>0</v>
      </c>
      <c r="X116" s="1" t="s">
        <v>86</v>
      </c>
      <c r="Y116" s="2">
        <f t="shared" si="42"/>
        <v>0</v>
      </c>
      <c r="Z116" s="2">
        <f t="shared" si="43"/>
        <v>0</v>
      </c>
      <c r="AA116" s="2">
        <f t="shared" si="44"/>
        <v>0</v>
      </c>
      <c r="AB116" s="2">
        <f t="shared" si="45"/>
        <v>0</v>
      </c>
      <c r="AC116" s="2">
        <f t="shared" si="46"/>
        <v>0</v>
      </c>
      <c r="AD116" s="2">
        <f t="shared" si="47"/>
        <v>0</v>
      </c>
      <c r="AE116" s="2">
        <f t="shared" si="48"/>
        <v>0</v>
      </c>
      <c r="AF116" s="2">
        <f t="shared" si="49"/>
        <v>0</v>
      </c>
      <c r="AG116" s="2">
        <f t="shared" si="52"/>
        <v>0</v>
      </c>
    </row>
    <row r="117" spans="2:33" hidden="1" x14ac:dyDescent="0.25">
      <c r="B117" s="1" t="s">
        <v>29</v>
      </c>
      <c r="C117" s="2"/>
      <c r="D117" s="2"/>
      <c r="E117" s="2"/>
      <c r="F117" s="2"/>
      <c r="G117" s="2"/>
      <c r="H117" s="2"/>
      <c r="I117" s="2"/>
      <c r="J117" s="2"/>
      <c r="K117" s="2">
        <f t="shared" si="50"/>
        <v>0</v>
      </c>
      <c r="M117" s="1" t="s">
        <v>29</v>
      </c>
      <c r="N117" s="2"/>
      <c r="O117" s="2"/>
      <c r="P117" s="2"/>
      <c r="Q117" s="2"/>
      <c r="R117" s="2"/>
      <c r="S117" s="2"/>
      <c r="T117" s="2"/>
      <c r="U117" s="2"/>
      <c r="V117" s="2">
        <f t="shared" si="51"/>
        <v>0</v>
      </c>
      <c r="X117" s="1" t="s">
        <v>29</v>
      </c>
      <c r="Y117" s="2">
        <f t="shared" si="42"/>
        <v>0</v>
      </c>
      <c r="Z117" s="2">
        <f t="shared" si="43"/>
        <v>0</v>
      </c>
      <c r="AA117" s="2">
        <f t="shared" si="44"/>
        <v>0</v>
      </c>
      <c r="AB117" s="2">
        <f t="shared" si="45"/>
        <v>0</v>
      </c>
      <c r="AC117" s="2">
        <f t="shared" si="46"/>
        <v>0</v>
      </c>
      <c r="AD117" s="2">
        <f t="shared" si="47"/>
        <v>0</v>
      </c>
      <c r="AE117" s="2">
        <f t="shared" si="48"/>
        <v>0</v>
      </c>
      <c r="AF117" s="2">
        <f t="shared" si="49"/>
        <v>0</v>
      </c>
      <c r="AG117" s="2">
        <f t="shared" si="52"/>
        <v>0</v>
      </c>
    </row>
    <row r="118" spans="2:33" hidden="1" x14ac:dyDescent="0.25">
      <c r="B118" s="1" t="s">
        <v>88</v>
      </c>
      <c r="C118" s="2"/>
      <c r="D118" s="2"/>
      <c r="E118" s="2"/>
      <c r="F118" s="2"/>
      <c r="G118" s="2"/>
      <c r="H118" s="2"/>
      <c r="I118" s="2"/>
      <c r="J118" s="2"/>
      <c r="K118" s="2">
        <f t="shared" si="50"/>
        <v>0</v>
      </c>
      <c r="M118" s="1" t="s">
        <v>88</v>
      </c>
      <c r="N118" s="2"/>
      <c r="O118" s="2"/>
      <c r="P118" s="2"/>
      <c r="Q118" s="2"/>
      <c r="R118" s="2"/>
      <c r="S118" s="2"/>
      <c r="T118" s="2"/>
      <c r="U118" s="2"/>
      <c r="V118" s="2">
        <f t="shared" si="51"/>
        <v>0</v>
      </c>
      <c r="X118" s="1" t="s">
        <v>52</v>
      </c>
      <c r="Y118" s="2">
        <f t="shared" si="42"/>
        <v>0</v>
      </c>
      <c r="Z118" s="2">
        <f t="shared" si="43"/>
        <v>0</v>
      </c>
      <c r="AA118" s="2">
        <f t="shared" si="44"/>
        <v>0</v>
      </c>
      <c r="AB118" s="2">
        <f t="shared" si="45"/>
        <v>0</v>
      </c>
      <c r="AC118" s="2">
        <f t="shared" si="46"/>
        <v>0</v>
      </c>
      <c r="AD118" s="2">
        <f t="shared" si="47"/>
        <v>0</v>
      </c>
      <c r="AE118" s="2">
        <f t="shared" si="48"/>
        <v>0</v>
      </c>
      <c r="AF118" s="2">
        <f t="shared" si="49"/>
        <v>0</v>
      </c>
      <c r="AG118" s="2">
        <f t="shared" si="52"/>
        <v>0</v>
      </c>
    </row>
    <row r="119" spans="2:33" hidden="1" x14ac:dyDescent="0.25">
      <c r="B119" s="1" t="s">
        <v>341</v>
      </c>
      <c r="C119" s="2"/>
      <c r="D119" s="2"/>
      <c r="E119" s="2"/>
      <c r="F119" s="2"/>
      <c r="G119" s="2"/>
      <c r="H119" s="2"/>
      <c r="I119" s="2"/>
      <c r="J119" s="2"/>
      <c r="K119" s="2">
        <f t="shared" si="50"/>
        <v>0</v>
      </c>
      <c r="M119" s="1" t="s">
        <v>341</v>
      </c>
      <c r="N119" s="2"/>
      <c r="O119" s="2"/>
      <c r="P119" s="2"/>
      <c r="Q119" s="2"/>
      <c r="R119" s="2"/>
      <c r="S119" s="2"/>
      <c r="T119" s="2"/>
      <c r="U119" s="2"/>
      <c r="V119" s="2">
        <f t="shared" si="51"/>
        <v>0</v>
      </c>
      <c r="X119" s="1" t="s">
        <v>88</v>
      </c>
      <c r="Y119" s="2">
        <f t="shared" si="42"/>
        <v>0</v>
      </c>
      <c r="Z119" s="2">
        <f t="shared" si="43"/>
        <v>0</v>
      </c>
      <c r="AA119" s="2">
        <f t="shared" si="44"/>
        <v>0</v>
      </c>
      <c r="AB119" s="2">
        <f t="shared" si="45"/>
        <v>0</v>
      </c>
      <c r="AC119" s="2">
        <f t="shared" si="46"/>
        <v>0</v>
      </c>
      <c r="AD119" s="2">
        <f t="shared" si="47"/>
        <v>0</v>
      </c>
      <c r="AE119" s="2">
        <f t="shared" si="48"/>
        <v>0</v>
      </c>
      <c r="AF119" s="2">
        <f t="shared" si="49"/>
        <v>0</v>
      </c>
      <c r="AG119" s="2">
        <f t="shared" si="52"/>
        <v>0</v>
      </c>
    </row>
    <row r="120" spans="2:33" hidden="1" x14ac:dyDescent="0.25">
      <c r="B120" s="1" t="s">
        <v>340</v>
      </c>
      <c r="C120" s="2"/>
      <c r="D120" s="2"/>
      <c r="E120" s="2"/>
      <c r="F120" s="2"/>
      <c r="G120" s="2"/>
      <c r="H120" s="2"/>
      <c r="I120" s="2"/>
      <c r="J120" s="2"/>
      <c r="K120" s="2">
        <f t="shared" si="50"/>
        <v>0</v>
      </c>
      <c r="M120" s="1" t="s">
        <v>340</v>
      </c>
      <c r="N120" s="2"/>
      <c r="O120" s="2"/>
      <c r="P120" s="2"/>
      <c r="Q120" s="2"/>
      <c r="R120" s="2"/>
      <c r="S120" s="2"/>
      <c r="T120" s="2"/>
      <c r="U120" s="2"/>
      <c r="V120" s="2">
        <f t="shared" si="51"/>
        <v>0</v>
      </c>
      <c r="X120" s="1" t="s">
        <v>1</v>
      </c>
      <c r="Y120" s="2">
        <f t="shared" si="42"/>
        <v>0</v>
      </c>
      <c r="Z120" s="2">
        <f t="shared" si="43"/>
        <v>0</v>
      </c>
      <c r="AA120" s="2">
        <f t="shared" si="44"/>
        <v>0</v>
      </c>
      <c r="AB120" s="2">
        <f t="shared" si="45"/>
        <v>0</v>
      </c>
      <c r="AC120" s="2">
        <f t="shared" si="46"/>
        <v>0</v>
      </c>
      <c r="AD120" s="2">
        <f t="shared" si="47"/>
        <v>0</v>
      </c>
      <c r="AE120" s="2">
        <f t="shared" si="48"/>
        <v>0</v>
      </c>
      <c r="AF120" s="2">
        <f t="shared" si="49"/>
        <v>0</v>
      </c>
      <c r="AG120" s="2">
        <f t="shared" si="52"/>
        <v>0</v>
      </c>
    </row>
    <row r="121" spans="2:33" ht="15.75" hidden="1" thickBot="1" x14ac:dyDescent="0.3">
      <c r="C121" s="69">
        <f>SUM(C101:C120)</f>
        <v>0</v>
      </c>
      <c r="D121" s="69">
        <f t="shared" ref="D121:J121" si="53">SUM(D101:D120)</f>
        <v>0</v>
      </c>
      <c r="E121" s="69">
        <f t="shared" si="53"/>
        <v>0</v>
      </c>
      <c r="F121" s="69">
        <f t="shared" si="53"/>
        <v>0</v>
      </c>
      <c r="G121" s="69">
        <f t="shared" si="53"/>
        <v>0</v>
      </c>
      <c r="H121" s="69">
        <f t="shared" si="53"/>
        <v>0</v>
      </c>
      <c r="I121" s="69">
        <f t="shared" si="53"/>
        <v>0</v>
      </c>
      <c r="J121" s="69">
        <f t="shared" si="53"/>
        <v>0</v>
      </c>
      <c r="K121" s="69">
        <f>SUM(K101:K120)</f>
        <v>0</v>
      </c>
      <c r="N121" s="69">
        <f>SUM(N101:N120)</f>
        <v>0</v>
      </c>
      <c r="O121" s="69">
        <f t="shared" ref="O121:U121" si="54">SUM(O101:O120)</f>
        <v>0</v>
      </c>
      <c r="P121" s="69">
        <f t="shared" si="54"/>
        <v>0</v>
      </c>
      <c r="Q121" s="69">
        <f t="shared" si="54"/>
        <v>0</v>
      </c>
      <c r="R121" s="69">
        <f t="shared" si="54"/>
        <v>0</v>
      </c>
      <c r="S121" s="69">
        <f t="shared" si="54"/>
        <v>0</v>
      </c>
      <c r="T121" s="69">
        <f t="shared" si="54"/>
        <v>0</v>
      </c>
      <c r="U121" s="69">
        <f t="shared" si="54"/>
        <v>0</v>
      </c>
      <c r="V121" s="69">
        <f>SUM(V101:V120)</f>
        <v>0</v>
      </c>
      <c r="Y121" s="69">
        <f>SUM(Y101:Y120)</f>
        <v>0</v>
      </c>
      <c r="Z121" s="69">
        <f t="shared" ref="Z121:AF121" si="55">SUM(Z101:Z120)</f>
        <v>0</v>
      </c>
      <c r="AA121" s="69">
        <f t="shared" si="55"/>
        <v>0</v>
      </c>
      <c r="AB121" s="69">
        <f t="shared" si="55"/>
        <v>0</v>
      </c>
      <c r="AC121" s="69">
        <f t="shared" si="55"/>
        <v>0</v>
      </c>
      <c r="AD121" s="69">
        <f t="shared" si="55"/>
        <v>0</v>
      </c>
      <c r="AE121" s="69">
        <f t="shared" si="55"/>
        <v>0</v>
      </c>
      <c r="AF121" s="69">
        <f t="shared" si="55"/>
        <v>0</v>
      </c>
      <c r="AG121" s="69">
        <f>SUM(AG101:AG120)</f>
        <v>0</v>
      </c>
    </row>
    <row r="122" spans="2:33" hidden="1" x14ac:dyDescent="0.25"/>
    <row r="123" spans="2:33" hidden="1" x14ac:dyDescent="0.25"/>
    <row r="124" spans="2:33" hidden="1" x14ac:dyDescent="0.25">
      <c r="B124" s="71" t="s">
        <v>97</v>
      </c>
      <c r="C124" s="167">
        <f>$C$20</f>
        <v>45199</v>
      </c>
      <c r="D124" s="164"/>
      <c r="E124" s="164"/>
      <c r="F124" s="164"/>
      <c r="G124" s="164"/>
      <c r="H124" s="164"/>
      <c r="I124" s="164"/>
      <c r="J124" s="164"/>
      <c r="K124" s="164"/>
      <c r="M124" s="71" t="s">
        <v>97</v>
      </c>
      <c r="N124" s="178">
        <f>$N$20</f>
        <v>45169</v>
      </c>
      <c r="O124" s="179"/>
      <c r="P124" s="179"/>
      <c r="Q124" s="179"/>
      <c r="R124" s="179"/>
      <c r="S124" s="179"/>
      <c r="T124" s="179"/>
      <c r="U124" s="179"/>
      <c r="V124" s="179"/>
      <c r="X124" s="71" t="s">
        <v>97</v>
      </c>
      <c r="Y124" s="164" t="s">
        <v>98</v>
      </c>
      <c r="Z124" s="164"/>
      <c r="AA124" s="164"/>
      <c r="AB124" s="164"/>
      <c r="AC124" s="164"/>
      <c r="AD124" s="164"/>
      <c r="AE124" s="164"/>
      <c r="AF124" s="164"/>
      <c r="AG124" s="164"/>
    </row>
    <row r="125" spans="2:33" hidden="1" x14ac:dyDescent="0.25">
      <c r="B125" s="71" t="s">
        <v>96</v>
      </c>
      <c r="C125" s="164" t="str">
        <f>'Reimbursement Rates &lt;-INPUT'!F7</f>
        <v>Clinic 5</v>
      </c>
      <c r="D125" s="164"/>
      <c r="E125" s="164"/>
      <c r="F125" s="164"/>
      <c r="G125" s="164"/>
      <c r="H125" s="164"/>
      <c r="I125" s="164"/>
      <c r="J125" s="164"/>
      <c r="K125" s="164"/>
      <c r="M125" s="71" t="s">
        <v>96</v>
      </c>
      <c r="N125" s="164" t="str">
        <f>C125</f>
        <v>Clinic 5</v>
      </c>
      <c r="O125" s="164"/>
      <c r="P125" s="164"/>
      <c r="Q125" s="164"/>
      <c r="R125" s="164"/>
      <c r="S125" s="164"/>
      <c r="T125" s="164"/>
      <c r="U125" s="164"/>
      <c r="V125" s="164"/>
      <c r="X125" s="71" t="s">
        <v>96</v>
      </c>
      <c r="Y125" s="164" t="str">
        <f>C125</f>
        <v>Clinic 5</v>
      </c>
      <c r="Z125" s="164"/>
      <c r="AA125" s="164"/>
      <c r="AB125" s="164"/>
      <c r="AC125" s="164"/>
      <c r="AD125" s="164"/>
      <c r="AE125" s="164"/>
      <c r="AF125" s="164"/>
      <c r="AG125" s="164"/>
    </row>
    <row r="126" spans="2:33" hidden="1" x14ac:dyDescent="0.25">
      <c r="B126" s="4" t="s">
        <v>16</v>
      </c>
      <c r="C126" s="5" t="s">
        <v>15</v>
      </c>
      <c r="D126" s="5" t="s">
        <v>14</v>
      </c>
      <c r="E126" s="5" t="s">
        <v>13</v>
      </c>
      <c r="F126" s="5" t="s">
        <v>12</v>
      </c>
      <c r="G126" s="5" t="s">
        <v>94</v>
      </c>
      <c r="H126" s="5" t="s">
        <v>95</v>
      </c>
      <c r="I126" s="5" t="s">
        <v>38</v>
      </c>
      <c r="J126" s="5" t="s">
        <v>9</v>
      </c>
      <c r="K126" s="5" t="s">
        <v>80</v>
      </c>
      <c r="M126" s="4" t="s">
        <v>16</v>
      </c>
      <c r="N126" s="5" t="s">
        <v>15</v>
      </c>
      <c r="O126" s="5" t="s">
        <v>14</v>
      </c>
      <c r="P126" s="5" t="s">
        <v>13</v>
      </c>
      <c r="Q126" s="5" t="s">
        <v>12</v>
      </c>
      <c r="R126" s="5" t="s">
        <v>94</v>
      </c>
      <c r="S126" s="5" t="s">
        <v>95</v>
      </c>
      <c r="T126" s="5" t="s">
        <v>38</v>
      </c>
      <c r="U126" s="5" t="s">
        <v>9</v>
      </c>
      <c r="V126" s="5" t="s">
        <v>80</v>
      </c>
      <c r="X126" s="4" t="s">
        <v>16</v>
      </c>
      <c r="Y126" s="5" t="s">
        <v>15</v>
      </c>
      <c r="Z126" s="5" t="s">
        <v>14</v>
      </c>
      <c r="AA126" s="5" t="s">
        <v>13</v>
      </c>
      <c r="AB126" s="5" t="s">
        <v>12</v>
      </c>
      <c r="AC126" s="5" t="s">
        <v>94</v>
      </c>
      <c r="AD126" s="5" t="s">
        <v>95</v>
      </c>
      <c r="AE126" s="5" t="s">
        <v>38</v>
      </c>
      <c r="AF126" s="5" t="s">
        <v>9</v>
      </c>
      <c r="AG126" s="5" t="s">
        <v>80</v>
      </c>
    </row>
    <row r="127" spans="2:33" hidden="1" x14ac:dyDescent="0.25">
      <c r="B127" s="1" t="s">
        <v>335</v>
      </c>
      <c r="C127" s="2"/>
      <c r="D127" s="2"/>
      <c r="E127" s="2"/>
      <c r="F127" s="2"/>
      <c r="G127" s="2"/>
      <c r="H127" s="2"/>
      <c r="I127" s="2"/>
      <c r="J127" s="2"/>
      <c r="K127" s="2">
        <f>SUM(C127:J127)</f>
        <v>0</v>
      </c>
      <c r="M127" s="1" t="s">
        <v>335</v>
      </c>
      <c r="N127" s="2"/>
      <c r="O127" s="2"/>
      <c r="P127" s="2"/>
      <c r="Q127" s="2"/>
      <c r="R127" s="2"/>
      <c r="S127" s="2"/>
      <c r="T127" s="2"/>
      <c r="U127" s="2"/>
      <c r="V127" s="2">
        <f>SUM(N127:U127)</f>
        <v>0</v>
      </c>
      <c r="X127" s="1" t="s">
        <v>49</v>
      </c>
      <c r="Y127" s="2">
        <f t="shared" ref="Y127:Y146" si="56">C127-N127</f>
        <v>0</v>
      </c>
      <c r="Z127" s="2">
        <f t="shared" ref="Z127:Z146" si="57">D127-O127</f>
        <v>0</v>
      </c>
      <c r="AA127" s="2">
        <f t="shared" ref="AA127:AA146" si="58">E127-P127</f>
        <v>0</v>
      </c>
      <c r="AB127" s="2">
        <f t="shared" ref="AB127:AB146" si="59">F127-Q127</f>
        <v>0</v>
      </c>
      <c r="AC127" s="2">
        <f t="shared" ref="AC127:AC146" si="60">G127-R127</f>
        <v>0</v>
      </c>
      <c r="AD127" s="2">
        <f t="shared" ref="AD127:AD146" si="61">H127-S127</f>
        <v>0</v>
      </c>
      <c r="AE127" s="2">
        <f t="shared" ref="AE127:AE146" si="62">I127-T127</f>
        <v>0</v>
      </c>
      <c r="AF127" s="2">
        <f t="shared" ref="AF127:AF146" si="63">J127-U127</f>
        <v>0</v>
      </c>
      <c r="AG127" s="2">
        <f>SUM(Y127:AF127)</f>
        <v>0</v>
      </c>
    </row>
    <row r="128" spans="2:33" hidden="1" x14ac:dyDescent="0.25">
      <c r="B128" s="1" t="s">
        <v>8</v>
      </c>
      <c r="C128" s="2"/>
      <c r="D128" s="2"/>
      <c r="E128" s="2"/>
      <c r="F128" s="2"/>
      <c r="G128" s="2"/>
      <c r="H128" s="2"/>
      <c r="I128" s="2"/>
      <c r="J128" s="2"/>
      <c r="K128" s="2">
        <f t="shared" ref="K128:K146" si="64">SUM(C128:J128)</f>
        <v>0</v>
      </c>
      <c r="M128" s="1" t="s">
        <v>8</v>
      </c>
      <c r="N128" s="2"/>
      <c r="O128" s="2"/>
      <c r="P128" s="2"/>
      <c r="Q128" s="2"/>
      <c r="R128" s="2"/>
      <c r="S128" s="2"/>
      <c r="T128" s="2"/>
      <c r="U128" s="2"/>
      <c r="V128" s="2">
        <f t="shared" ref="V128:V146" si="65">SUM(N128:U128)</f>
        <v>0</v>
      </c>
      <c r="X128" s="1" t="s">
        <v>8</v>
      </c>
      <c r="Y128" s="2">
        <f t="shared" si="56"/>
        <v>0</v>
      </c>
      <c r="Z128" s="2">
        <f t="shared" si="57"/>
        <v>0</v>
      </c>
      <c r="AA128" s="2">
        <f t="shared" si="58"/>
        <v>0</v>
      </c>
      <c r="AB128" s="2">
        <f t="shared" si="59"/>
        <v>0</v>
      </c>
      <c r="AC128" s="2">
        <f t="shared" si="60"/>
        <v>0</v>
      </c>
      <c r="AD128" s="2">
        <f t="shared" si="61"/>
        <v>0</v>
      </c>
      <c r="AE128" s="2">
        <f t="shared" si="62"/>
        <v>0</v>
      </c>
      <c r="AF128" s="2">
        <f t="shared" si="63"/>
        <v>0</v>
      </c>
      <c r="AG128" s="2">
        <f t="shared" ref="AG128:AG146" si="66">SUM(Y128:AF128)</f>
        <v>0</v>
      </c>
    </row>
    <row r="129" spans="2:33" hidden="1" x14ac:dyDescent="0.25">
      <c r="B129" s="1" t="s">
        <v>336</v>
      </c>
      <c r="C129" s="2"/>
      <c r="D129" s="2"/>
      <c r="E129" s="2"/>
      <c r="F129" s="2"/>
      <c r="G129" s="2"/>
      <c r="H129" s="2"/>
      <c r="I129" s="2"/>
      <c r="J129" s="2"/>
      <c r="K129" s="2">
        <f t="shared" si="64"/>
        <v>0</v>
      </c>
      <c r="M129" s="1" t="s">
        <v>336</v>
      </c>
      <c r="N129" s="2"/>
      <c r="O129" s="2"/>
      <c r="P129" s="2"/>
      <c r="Q129" s="2"/>
      <c r="R129" s="2"/>
      <c r="S129" s="2"/>
      <c r="T129" s="2"/>
      <c r="U129" s="2"/>
      <c r="V129" s="2">
        <f t="shared" si="65"/>
        <v>0</v>
      </c>
      <c r="X129" s="1" t="s">
        <v>7</v>
      </c>
      <c r="Y129" s="2">
        <f t="shared" si="56"/>
        <v>0</v>
      </c>
      <c r="Z129" s="2">
        <f t="shared" si="57"/>
        <v>0</v>
      </c>
      <c r="AA129" s="2">
        <f t="shared" si="58"/>
        <v>0</v>
      </c>
      <c r="AB129" s="2">
        <f t="shared" si="59"/>
        <v>0</v>
      </c>
      <c r="AC129" s="2">
        <f t="shared" si="60"/>
        <v>0</v>
      </c>
      <c r="AD129" s="2">
        <f t="shared" si="61"/>
        <v>0</v>
      </c>
      <c r="AE129" s="2">
        <f t="shared" si="62"/>
        <v>0</v>
      </c>
      <c r="AF129" s="2">
        <f t="shared" si="63"/>
        <v>0</v>
      </c>
      <c r="AG129" s="2">
        <f t="shared" si="66"/>
        <v>0</v>
      </c>
    </row>
    <row r="130" spans="2:33" hidden="1" x14ac:dyDescent="0.25">
      <c r="B130" s="1" t="s">
        <v>42</v>
      </c>
      <c r="C130" s="2"/>
      <c r="D130" s="2"/>
      <c r="E130" s="2"/>
      <c r="F130" s="2"/>
      <c r="G130" s="2"/>
      <c r="H130" s="2"/>
      <c r="I130" s="2"/>
      <c r="J130" s="2"/>
      <c r="K130" s="2">
        <f t="shared" si="64"/>
        <v>0</v>
      </c>
      <c r="M130" s="1" t="s">
        <v>42</v>
      </c>
      <c r="N130" s="2"/>
      <c r="O130" s="2"/>
      <c r="P130" s="2"/>
      <c r="Q130" s="2"/>
      <c r="R130" s="2"/>
      <c r="S130" s="2"/>
      <c r="T130" s="2"/>
      <c r="U130" s="2"/>
      <c r="V130" s="2">
        <f t="shared" si="65"/>
        <v>0</v>
      </c>
      <c r="X130" s="1" t="s">
        <v>42</v>
      </c>
      <c r="Y130" s="2">
        <f t="shared" si="56"/>
        <v>0</v>
      </c>
      <c r="Z130" s="2">
        <f t="shared" si="57"/>
        <v>0</v>
      </c>
      <c r="AA130" s="2">
        <f t="shared" si="58"/>
        <v>0</v>
      </c>
      <c r="AB130" s="2">
        <f t="shared" si="59"/>
        <v>0</v>
      </c>
      <c r="AC130" s="2">
        <f t="shared" si="60"/>
        <v>0</v>
      </c>
      <c r="AD130" s="2">
        <f t="shared" si="61"/>
        <v>0</v>
      </c>
      <c r="AE130" s="2">
        <f t="shared" si="62"/>
        <v>0</v>
      </c>
      <c r="AF130" s="2">
        <f t="shared" si="63"/>
        <v>0</v>
      </c>
      <c r="AG130" s="2">
        <f t="shared" si="66"/>
        <v>0</v>
      </c>
    </row>
    <row r="131" spans="2:33" hidden="1" x14ac:dyDescent="0.25">
      <c r="B131" s="1" t="s">
        <v>6</v>
      </c>
      <c r="C131" s="2"/>
      <c r="D131" s="2"/>
      <c r="E131" s="2"/>
      <c r="F131" s="2"/>
      <c r="G131" s="2"/>
      <c r="H131" s="2"/>
      <c r="I131" s="2"/>
      <c r="J131" s="2"/>
      <c r="K131" s="2">
        <f t="shared" si="64"/>
        <v>0</v>
      </c>
      <c r="M131" s="1" t="s">
        <v>6</v>
      </c>
      <c r="N131" s="2"/>
      <c r="O131" s="2"/>
      <c r="P131" s="2"/>
      <c r="Q131" s="2"/>
      <c r="R131" s="2"/>
      <c r="S131" s="2"/>
      <c r="T131" s="2"/>
      <c r="U131" s="2"/>
      <c r="V131" s="2">
        <f t="shared" si="65"/>
        <v>0</v>
      </c>
      <c r="X131" s="1" t="s">
        <v>6</v>
      </c>
      <c r="Y131" s="2">
        <f t="shared" si="56"/>
        <v>0</v>
      </c>
      <c r="Z131" s="2">
        <f t="shared" si="57"/>
        <v>0</v>
      </c>
      <c r="AA131" s="2">
        <f t="shared" si="58"/>
        <v>0</v>
      </c>
      <c r="AB131" s="2">
        <f t="shared" si="59"/>
        <v>0</v>
      </c>
      <c r="AC131" s="2">
        <f t="shared" si="60"/>
        <v>0</v>
      </c>
      <c r="AD131" s="2">
        <f t="shared" si="61"/>
        <v>0</v>
      </c>
      <c r="AE131" s="2">
        <f t="shared" si="62"/>
        <v>0</v>
      </c>
      <c r="AF131" s="2">
        <f t="shared" si="63"/>
        <v>0</v>
      </c>
      <c r="AG131" s="2">
        <f t="shared" si="66"/>
        <v>0</v>
      </c>
    </row>
    <row r="132" spans="2:33" hidden="1" x14ac:dyDescent="0.25">
      <c r="B132" s="1" t="s">
        <v>90</v>
      </c>
      <c r="C132" s="2"/>
      <c r="D132" s="2"/>
      <c r="E132" s="2"/>
      <c r="F132" s="2"/>
      <c r="G132" s="2"/>
      <c r="H132" s="2"/>
      <c r="I132" s="2"/>
      <c r="J132" s="2"/>
      <c r="K132" s="2">
        <f t="shared" si="64"/>
        <v>0</v>
      </c>
      <c r="M132" s="1" t="s">
        <v>90</v>
      </c>
      <c r="N132" s="2"/>
      <c r="O132" s="2"/>
      <c r="P132" s="2"/>
      <c r="Q132" s="2"/>
      <c r="R132" s="2"/>
      <c r="S132" s="2"/>
      <c r="T132" s="2"/>
      <c r="U132" s="2"/>
      <c r="V132" s="2">
        <f t="shared" si="65"/>
        <v>0</v>
      </c>
      <c r="X132" s="1" t="s">
        <v>90</v>
      </c>
      <c r="Y132" s="2">
        <f t="shared" si="56"/>
        <v>0</v>
      </c>
      <c r="Z132" s="2">
        <f t="shared" si="57"/>
        <v>0</v>
      </c>
      <c r="AA132" s="2">
        <f t="shared" si="58"/>
        <v>0</v>
      </c>
      <c r="AB132" s="2">
        <f t="shared" si="59"/>
        <v>0</v>
      </c>
      <c r="AC132" s="2">
        <f t="shared" si="60"/>
        <v>0</v>
      </c>
      <c r="AD132" s="2">
        <f t="shared" si="61"/>
        <v>0</v>
      </c>
      <c r="AE132" s="2">
        <f t="shared" si="62"/>
        <v>0</v>
      </c>
      <c r="AF132" s="2">
        <f t="shared" si="63"/>
        <v>0</v>
      </c>
      <c r="AG132" s="2">
        <f t="shared" si="66"/>
        <v>0</v>
      </c>
    </row>
    <row r="133" spans="2:33" hidden="1" x14ac:dyDescent="0.25">
      <c r="B133" s="1" t="s">
        <v>342</v>
      </c>
      <c r="C133" s="2"/>
      <c r="D133" s="2"/>
      <c r="E133" s="2"/>
      <c r="F133" s="2"/>
      <c r="G133" s="2"/>
      <c r="H133" s="2"/>
      <c r="I133" s="2"/>
      <c r="J133" s="2"/>
      <c r="K133" s="2">
        <f t="shared" si="64"/>
        <v>0</v>
      </c>
      <c r="M133" s="1" t="s">
        <v>342</v>
      </c>
      <c r="N133" s="2"/>
      <c r="O133" s="2"/>
      <c r="P133" s="2"/>
      <c r="Q133" s="2"/>
      <c r="R133" s="2"/>
      <c r="S133" s="2"/>
      <c r="T133" s="2"/>
      <c r="U133" s="2"/>
      <c r="V133" s="2">
        <f t="shared" si="65"/>
        <v>0</v>
      </c>
      <c r="X133" s="1" t="s">
        <v>50</v>
      </c>
      <c r="Y133" s="2">
        <f t="shared" si="56"/>
        <v>0</v>
      </c>
      <c r="Z133" s="2">
        <f t="shared" si="57"/>
        <v>0</v>
      </c>
      <c r="AA133" s="2">
        <f t="shared" si="58"/>
        <v>0</v>
      </c>
      <c r="AB133" s="2">
        <f t="shared" si="59"/>
        <v>0</v>
      </c>
      <c r="AC133" s="2">
        <f t="shared" si="60"/>
        <v>0</v>
      </c>
      <c r="AD133" s="2">
        <f t="shared" si="61"/>
        <v>0</v>
      </c>
      <c r="AE133" s="2">
        <f t="shared" si="62"/>
        <v>0</v>
      </c>
      <c r="AF133" s="2">
        <f t="shared" si="63"/>
        <v>0</v>
      </c>
      <c r="AG133" s="2">
        <f t="shared" si="66"/>
        <v>0</v>
      </c>
    </row>
    <row r="134" spans="2:33" hidden="1" x14ac:dyDescent="0.25">
      <c r="B134" s="1" t="s">
        <v>89</v>
      </c>
      <c r="C134" s="2"/>
      <c r="D134" s="2"/>
      <c r="E134" s="2"/>
      <c r="F134" s="2"/>
      <c r="G134" s="2"/>
      <c r="H134" s="2"/>
      <c r="I134" s="2"/>
      <c r="J134" s="2"/>
      <c r="K134" s="2">
        <f t="shared" si="64"/>
        <v>0</v>
      </c>
      <c r="M134" s="1" t="s">
        <v>89</v>
      </c>
      <c r="N134" s="2"/>
      <c r="O134" s="2"/>
      <c r="P134" s="2"/>
      <c r="Q134" s="2"/>
      <c r="R134" s="2"/>
      <c r="S134" s="2"/>
      <c r="T134" s="2"/>
      <c r="U134" s="2"/>
      <c r="V134" s="2">
        <f t="shared" si="65"/>
        <v>0</v>
      </c>
      <c r="X134" s="1" t="s">
        <v>89</v>
      </c>
      <c r="Y134" s="2">
        <f t="shared" si="56"/>
        <v>0</v>
      </c>
      <c r="Z134" s="2">
        <f t="shared" si="57"/>
        <v>0</v>
      </c>
      <c r="AA134" s="2">
        <f t="shared" si="58"/>
        <v>0</v>
      </c>
      <c r="AB134" s="2">
        <f t="shared" si="59"/>
        <v>0</v>
      </c>
      <c r="AC134" s="2">
        <f t="shared" si="60"/>
        <v>0</v>
      </c>
      <c r="AD134" s="2">
        <f t="shared" si="61"/>
        <v>0</v>
      </c>
      <c r="AE134" s="2">
        <f t="shared" si="62"/>
        <v>0</v>
      </c>
      <c r="AF134" s="2">
        <f t="shared" si="63"/>
        <v>0</v>
      </c>
      <c r="AG134" s="2">
        <f t="shared" si="66"/>
        <v>0</v>
      </c>
    </row>
    <row r="135" spans="2:33" hidden="1" x14ac:dyDescent="0.25">
      <c r="B135" s="1" t="s">
        <v>5</v>
      </c>
      <c r="C135" s="2"/>
      <c r="D135" s="2"/>
      <c r="E135" s="2"/>
      <c r="F135" s="2"/>
      <c r="G135" s="2"/>
      <c r="H135" s="2"/>
      <c r="I135" s="2"/>
      <c r="J135" s="2"/>
      <c r="K135" s="2">
        <f t="shared" si="64"/>
        <v>0</v>
      </c>
      <c r="M135" s="1" t="s">
        <v>5</v>
      </c>
      <c r="N135" s="2"/>
      <c r="O135" s="2"/>
      <c r="P135" s="2"/>
      <c r="Q135" s="2"/>
      <c r="R135" s="2"/>
      <c r="S135" s="2"/>
      <c r="T135" s="2"/>
      <c r="U135" s="2"/>
      <c r="V135" s="2">
        <f t="shared" si="65"/>
        <v>0</v>
      </c>
      <c r="X135" s="1" t="s">
        <v>5</v>
      </c>
      <c r="Y135" s="2">
        <f t="shared" si="56"/>
        <v>0</v>
      </c>
      <c r="Z135" s="2">
        <f t="shared" si="57"/>
        <v>0</v>
      </c>
      <c r="AA135" s="2">
        <f t="shared" si="58"/>
        <v>0</v>
      </c>
      <c r="AB135" s="2">
        <f t="shared" si="59"/>
        <v>0</v>
      </c>
      <c r="AC135" s="2">
        <f t="shared" si="60"/>
        <v>0</v>
      </c>
      <c r="AD135" s="2">
        <f t="shared" si="61"/>
        <v>0</v>
      </c>
      <c r="AE135" s="2">
        <f t="shared" si="62"/>
        <v>0</v>
      </c>
      <c r="AF135" s="2">
        <f t="shared" si="63"/>
        <v>0</v>
      </c>
      <c r="AG135" s="2">
        <f t="shared" si="66"/>
        <v>0</v>
      </c>
    </row>
    <row r="136" spans="2:33" hidden="1" x14ac:dyDescent="0.25">
      <c r="B136" s="1" t="s">
        <v>84</v>
      </c>
      <c r="C136" s="2"/>
      <c r="D136" s="2"/>
      <c r="E136" s="2"/>
      <c r="F136" s="2"/>
      <c r="G136" s="2"/>
      <c r="H136" s="2"/>
      <c r="I136" s="2"/>
      <c r="J136" s="2"/>
      <c r="K136" s="2">
        <f t="shared" si="64"/>
        <v>0</v>
      </c>
      <c r="M136" s="1" t="s">
        <v>84</v>
      </c>
      <c r="N136" s="2"/>
      <c r="O136" s="2"/>
      <c r="P136" s="2"/>
      <c r="Q136" s="2"/>
      <c r="R136" s="2"/>
      <c r="S136" s="2"/>
      <c r="T136" s="2"/>
      <c r="U136" s="2"/>
      <c r="V136" s="2">
        <f t="shared" si="65"/>
        <v>0</v>
      </c>
      <c r="X136" s="1" t="s">
        <v>84</v>
      </c>
      <c r="Y136" s="2">
        <f t="shared" si="56"/>
        <v>0</v>
      </c>
      <c r="Z136" s="2">
        <f t="shared" si="57"/>
        <v>0</v>
      </c>
      <c r="AA136" s="2">
        <f t="shared" si="58"/>
        <v>0</v>
      </c>
      <c r="AB136" s="2">
        <f t="shared" si="59"/>
        <v>0</v>
      </c>
      <c r="AC136" s="2">
        <f t="shared" si="60"/>
        <v>0</v>
      </c>
      <c r="AD136" s="2">
        <f t="shared" si="61"/>
        <v>0</v>
      </c>
      <c r="AE136" s="2">
        <f t="shared" si="62"/>
        <v>0</v>
      </c>
      <c r="AF136" s="2">
        <f t="shared" si="63"/>
        <v>0</v>
      </c>
      <c r="AG136" s="2">
        <f t="shared" si="66"/>
        <v>0</v>
      </c>
    </row>
    <row r="137" spans="2:33" hidden="1" x14ac:dyDescent="0.25">
      <c r="B137" s="1" t="s">
        <v>4</v>
      </c>
      <c r="C137" s="2"/>
      <c r="D137" s="2"/>
      <c r="E137" s="2"/>
      <c r="F137" s="2"/>
      <c r="G137" s="2"/>
      <c r="H137" s="2"/>
      <c r="I137" s="2"/>
      <c r="J137" s="2"/>
      <c r="K137" s="2">
        <f t="shared" si="64"/>
        <v>0</v>
      </c>
      <c r="M137" s="1" t="s">
        <v>4</v>
      </c>
      <c r="N137" s="2"/>
      <c r="O137" s="2"/>
      <c r="P137" s="2"/>
      <c r="Q137" s="2"/>
      <c r="R137" s="2"/>
      <c r="S137" s="2"/>
      <c r="T137" s="2"/>
      <c r="U137" s="2"/>
      <c r="V137" s="2">
        <f t="shared" si="65"/>
        <v>0</v>
      </c>
      <c r="X137" s="1" t="s">
        <v>4</v>
      </c>
      <c r="Y137" s="2">
        <f t="shared" si="56"/>
        <v>0</v>
      </c>
      <c r="Z137" s="2">
        <f t="shared" si="57"/>
        <v>0</v>
      </c>
      <c r="AA137" s="2">
        <f t="shared" si="58"/>
        <v>0</v>
      </c>
      <c r="AB137" s="2">
        <f t="shared" si="59"/>
        <v>0</v>
      </c>
      <c r="AC137" s="2">
        <f t="shared" si="60"/>
        <v>0</v>
      </c>
      <c r="AD137" s="2">
        <f t="shared" si="61"/>
        <v>0</v>
      </c>
      <c r="AE137" s="2">
        <f t="shared" si="62"/>
        <v>0</v>
      </c>
      <c r="AF137" s="2">
        <f t="shared" si="63"/>
        <v>0</v>
      </c>
      <c r="AG137" s="2">
        <f t="shared" si="66"/>
        <v>0</v>
      </c>
    </row>
    <row r="138" spans="2:33" hidden="1" x14ac:dyDescent="0.25">
      <c r="B138" s="1" t="s">
        <v>51</v>
      </c>
      <c r="C138" s="2"/>
      <c r="D138" s="2"/>
      <c r="E138" s="2"/>
      <c r="F138" s="2"/>
      <c r="G138" s="2"/>
      <c r="H138" s="2"/>
      <c r="I138" s="2"/>
      <c r="J138" s="2"/>
      <c r="K138" s="2">
        <f t="shared" si="64"/>
        <v>0</v>
      </c>
      <c r="M138" s="1" t="s">
        <v>51</v>
      </c>
      <c r="N138" s="2"/>
      <c r="O138" s="2"/>
      <c r="P138" s="2"/>
      <c r="Q138" s="2"/>
      <c r="R138" s="2"/>
      <c r="S138" s="2"/>
      <c r="T138" s="2"/>
      <c r="U138" s="2"/>
      <c r="V138" s="2">
        <f t="shared" si="65"/>
        <v>0</v>
      </c>
      <c r="X138" s="1" t="s">
        <v>51</v>
      </c>
      <c r="Y138" s="2">
        <f t="shared" si="56"/>
        <v>0</v>
      </c>
      <c r="Z138" s="2">
        <f t="shared" si="57"/>
        <v>0</v>
      </c>
      <c r="AA138" s="2">
        <f t="shared" si="58"/>
        <v>0</v>
      </c>
      <c r="AB138" s="2">
        <f t="shared" si="59"/>
        <v>0</v>
      </c>
      <c r="AC138" s="2">
        <f t="shared" si="60"/>
        <v>0</v>
      </c>
      <c r="AD138" s="2">
        <f t="shared" si="61"/>
        <v>0</v>
      </c>
      <c r="AE138" s="2">
        <f t="shared" si="62"/>
        <v>0</v>
      </c>
      <c r="AF138" s="2">
        <f t="shared" si="63"/>
        <v>0</v>
      </c>
      <c r="AG138" s="2">
        <f t="shared" si="66"/>
        <v>0</v>
      </c>
    </row>
    <row r="139" spans="2:33" hidden="1" x14ac:dyDescent="0.25">
      <c r="B139" s="1" t="s">
        <v>87</v>
      </c>
      <c r="C139" s="2"/>
      <c r="D139" s="2"/>
      <c r="E139" s="2"/>
      <c r="F139" s="2"/>
      <c r="G139" s="2"/>
      <c r="H139" s="2"/>
      <c r="I139" s="2"/>
      <c r="J139" s="2"/>
      <c r="K139" s="2">
        <f t="shared" si="64"/>
        <v>0</v>
      </c>
      <c r="M139" s="1" t="s">
        <v>87</v>
      </c>
      <c r="N139" s="2"/>
      <c r="O139" s="2"/>
      <c r="P139" s="2"/>
      <c r="Q139" s="2"/>
      <c r="R139" s="2"/>
      <c r="S139" s="2"/>
      <c r="T139" s="2"/>
      <c r="U139" s="2"/>
      <c r="V139" s="2">
        <f t="shared" si="65"/>
        <v>0</v>
      </c>
      <c r="X139" s="1" t="s">
        <v>87</v>
      </c>
      <c r="Y139" s="2">
        <f t="shared" si="56"/>
        <v>0</v>
      </c>
      <c r="Z139" s="2">
        <f t="shared" si="57"/>
        <v>0</v>
      </c>
      <c r="AA139" s="2">
        <f t="shared" si="58"/>
        <v>0</v>
      </c>
      <c r="AB139" s="2">
        <f t="shared" si="59"/>
        <v>0</v>
      </c>
      <c r="AC139" s="2">
        <f t="shared" si="60"/>
        <v>0</v>
      </c>
      <c r="AD139" s="2">
        <f t="shared" si="61"/>
        <v>0</v>
      </c>
      <c r="AE139" s="2">
        <f t="shared" si="62"/>
        <v>0</v>
      </c>
      <c r="AF139" s="2">
        <f t="shared" si="63"/>
        <v>0</v>
      </c>
      <c r="AG139" s="2">
        <f t="shared" si="66"/>
        <v>0</v>
      </c>
    </row>
    <row r="140" spans="2:33" hidden="1" x14ac:dyDescent="0.25">
      <c r="B140" s="1" t="s">
        <v>85</v>
      </c>
      <c r="C140" s="2"/>
      <c r="D140" s="2"/>
      <c r="E140" s="2"/>
      <c r="F140" s="2"/>
      <c r="G140" s="2"/>
      <c r="H140" s="2"/>
      <c r="I140" s="2"/>
      <c r="J140" s="2"/>
      <c r="K140" s="2">
        <f t="shared" si="64"/>
        <v>0</v>
      </c>
      <c r="M140" s="1" t="s">
        <v>85</v>
      </c>
      <c r="N140" s="2"/>
      <c r="O140" s="2"/>
      <c r="P140" s="2"/>
      <c r="Q140" s="2"/>
      <c r="R140" s="2"/>
      <c r="S140" s="2"/>
      <c r="T140" s="2"/>
      <c r="U140" s="2"/>
      <c r="V140" s="2">
        <f t="shared" si="65"/>
        <v>0</v>
      </c>
      <c r="X140" s="1" t="s">
        <v>85</v>
      </c>
      <c r="Y140" s="2">
        <f t="shared" si="56"/>
        <v>0</v>
      </c>
      <c r="Z140" s="2">
        <f t="shared" si="57"/>
        <v>0</v>
      </c>
      <c r="AA140" s="2">
        <f t="shared" si="58"/>
        <v>0</v>
      </c>
      <c r="AB140" s="2">
        <f t="shared" si="59"/>
        <v>0</v>
      </c>
      <c r="AC140" s="2">
        <f t="shared" si="60"/>
        <v>0</v>
      </c>
      <c r="AD140" s="2">
        <f t="shared" si="61"/>
        <v>0</v>
      </c>
      <c r="AE140" s="2">
        <f t="shared" si="62"/>
        <v>0</v>
      </c>
      <c r="AF140" s="2">
        <f t="shared" si="63"/>
        <v>0</v>
      </c>
      <c r="AG140" s="2">
        <f t="shared" si="66"/>
        <v>0</v>
      </c>
    </row>
    <row r="141" spans="2:33" hidden="1" x14ac:dyDescent="0.25">
      <c r="B141" s="1" t="s">
        <v>2</v>
      </c>
      <c r="C141" s="2"/>
      <c r="D141" s="2"/>
      <c r="E141" s="2"/>
      <c r="F141" s="2"/>
      <c r="G141" s="2"/>
      <c r="H141" s="2"/>
      <c r="I141" s="2"/>
      <c r="J141" s="2"/>
      <c r="K141" s="2">
        <f t="shared" si="64"/>
        <v>0</v>
      </c>
      <c r="M141" s="1" t="s">
        <v>2</v>
      </c>
      <c r="N141" s="2"/>
      <c r="O141" s="2"/>
      <c r="P141" s="2"/>
      <c r="Q141" s="2"/>
      <c r="R141" s="2"/>
      <c r="S141" s="2"/>
      <c r="T141" s="2"/>
      <c r="U141" s="2"/>
      <c r="V141" s="2">
        <f t="shared" si="65"/>
        <v>0</v>
      </c>
      <c r="X141" s="1" t="s">
        <v>2</v>
      </c>
      <c r="Y141" s="2">
        <f t="shared" si="56"/>
        <v>0</v>
      </c>
      <c r="Z141" s="2">
        <f t="shared" si="57"/>
        <v>0</v>
      </c>
      <c r="AA141" s="2">
        <f t="shared" si="58"/>
        <v>0</v>
      </c>
      <c r="AB141" s="2">
        <f t="shared" si="59"/>
        <v>0</v>
      </c>
      <c r="AC141" s="2">
        <f t="shared" si="60"/>
        <v>0</v>
      </c>
      <c r="AD141" s="2">
        <f t="shared" si="61"/>
        <v>0</v>
      </c>
      <c r="AE141" s="2">
        <f t="shared" si="62"/>
        <v>0</v>
      </c>
      <c r="AF141" s="2">
        <f t="shared" si="63"/>
        <v>0</v>
      </c>
      <c r="AG141" s="2">
        <f t="shared" si="66"/>
        <v>0</v>
      </c>
    </row>
    <row r="142" spans="2:33" hidden="1" x14ac:dyDescent="0.25">
      <c r="B142" s="1" t="s">
        <v>86</v>
      </c>
      <c r="C142" s="2"/>
      <c r="D142" s="2"/>
      <c r="E142" s="2"/>
      <c r="F142" s="2"/>
      <c r="G142" s="2"/>
      <c r="H142" s="2"/>
      <c r="I142" s="2"/>
      <c r="J142" s="2"/>
      <c r="K142" s="2">
        <f t="shared" si="64"/>
        <v>0</v>
      </c>
      <c r="M142" s="1" t="s">
        <v>86</v>
      </c>
      <c r="N142" s="2"/>
      <c r="O142" s="2"/>
      <c r="P142" s="2"/>
      <c r="Q142" s="2"/>
      <c r="R142" s="2"/>
      <c r="S142" s="2"/>
      <c r="T142" s="2"/>
      <c r="U142" s="2"/>
      <c r="V142" s="2">
        <f t="shared" si="65"/>
        <v>0</v>
      </c>
      <c r="X142" s="1" t="s">
        <v>86</v>
      </c>
      <c r="Y142" s="2">
        <f t="shared" si="56"/>
        <v>0</v>
      </c>
      <c r="Z142" s="2">
        <f t="shared" si="57"/>
        <v>0</v>
      </c>
      <c r="AA142" s="2">
        <f t="shared" si="58"/>
        <v>0</v>
      </c>
      <c r="AB142" s="2">
        <f t="shared" si="59"/>
        <v>0</v>
      </c>
      <c r="AC142" s="2">
        <f t="shared" si="60"/>
        <v>0</v>
      </c>
      <c r="AD142" s="2">
        <f t="shared" si="61"/>
        <v>0</v>
      </c>
      <c r="AE142" s="2">
        <f t="shared" si="62"/>
        <v>0</v>
      </c>
      <c r="AF142" s="2">
        <f t="shared" si="63"/>
        <v>0</v>
      </c>
      <c r="AG142" s="2">
        <f t="shared" si="66"/>
        <v>0</v>
      </c>
    </row>
    <row r="143" spans="2:33" hidden="1" x14ac:dyDescent="0.25">
      <c r="B143" s="1" t="s">
        <v>29</v>
      </c>
      <c r="C143" s="2"/>
      <c r="D143" s="2"/>
      <c r="E143" s="2"/>
      <c r="F143" s="2"/>
      <c r="G143" s="2"/>
      <c r="H143" s="2"/>
      <c r="I143" s="2"/>
      <c r="J143" s="2"/>
      <c r="K143" s="2">
        <f t="shared" si="64"/>
        <v>0</v>
      </c>
      <c r="M143" s="1" t="s">
        <v>29</v>
      </c>
      <c r="N143" s="2"/>
      <c r="O143" s="2"/>
      <c r="P143" s="2"/>
      <c r="Q143" s="2"/>
      <c r="R143" s="2"/>
      <c r="S143" s="2"/>
      <c r="T143" s="2"/>
      <c r="U143" s="2"/>
      <c r="V143" s="2">
        <f t="shared" si="65"/>
        <v>0</v>
      </c>
      <c r="X143" s="1" t="s">
        <v>29</v>
      </c>
      <c r="Y143" s="2">
        <f t="shared" si="56"/>
        <v>0</v>
      </c>
      <c r="Z143" s="2">
        <f t="shared" si="57"/>
        <v>0</v>
      </c>
      <c r="AA143" s="2">
        <f t="shared" si="58"/>
        <v>0</v>
      </c>
      <c r="AB143" s="2">
        <f t="shared" si="59"/>
        <v>0</v>
      </c>
      <c r="AC143" s="2">
        <f t="shared" si="60"/>
        <v>0</v>
      </c>
      <c r="AD143" s="2">
        <f t="shared" si="61"/>
        <v>0</v>
      </c>
      <c r="AE143" s="2">
        <f t="shared" si="62"/>
        <v>0</v>
      </c>
      <c r="AF143" s="2">
        <f t="shared" si="63"/>
        <v>0</v>
      </c>
      <c r="AG143" s="2">
        <f t="shared" si="66"/>
        <v>0</v>
      </c>
    </row>
    <row r="144" spans="2:33" hidden="1" x14ac:dyDescent="0.25">
      <c r="B144" s="1" t="s">
        <v>88</v>
      </c>
      <c r="C144" s="2"/>
      <c r="D144" s="2"/>
      <c r="E144" s="2"/>
      <c r="F144" s="2"/>
      <c r="G144" s="2"/>
      <c r="H144" s="2"/>
      <c r="I144" s="2"/>
      <c r="J144" s="2"/>
      <c r="K144" s="2">
        <f t="shared" si="64"/>
        <v>0</v>
      </c>
      <c r="M144" s="1" t="s">
        <v>88</v>
      </c>
      <c r="N144" s="2"/>
      <c r="O144" s="2"/>
      <c r="P144" s="2"/>
      <c r="Q144" s="2"/>
      <c r="R144" s="2"/>
      <c r="S144" s="2"/>
      <c r="T144" s="2"/>
      <c r="U144" s="2"/>
      <c r="V144" s="2">
        <f t="shared" si="65"/>
        <v>0</v>
      </c>
      <c r="X144" s="1" t="s">
        <v>52</v>
      </c>
      <c r="Y144" s="2">
        <f t="shared" si="56"/>
        <v>0</v>
      </c>
      <c r="Z144" s="2">
        <f t="shared" si="57"/>
        <v>0</v>
      </c>
      <c r="AA144" s="2">
        <f t="shared" si="58"/>
        <v>0</v>
      </c>
      <c r="AB144" s="2">
        <f t="shared" si="59"/>
        <v>0</v>
      </c>
      <c r="AC144" s="2">
        <f t="shared" si="60"/>
        <v>0</v>
      </c>
      <c r="AD144" s="2">
        <f t="shared" si="61"/>
        <v>0</v>
      </c>
      <c r="AE144" s="2">
        <f t="shared" si="62"/>
        <v>0</v>
      </c>
      <c r="AF144" s="2">
        <f t="shared" si="63"/>
        <v>0</v>
      </c>
      <c r="AG144" s="2">
        <f t="shared" si="66"/>
        <v>0</v>
      </c>
    </row>
    <row r="145" spans="2:33" hidden="1" x14ac:dyDescent="0.25">
      <c r="B145" s="1" t="s">
        <v>341</v>
      </c>
      <c r="C145" s="2"/>
      <c r="D145" s="2"/>
      <c r="E145" s="2"/>
      <c r="F145" s="2"/>
      <c r="G145" s="2"/>
      <c r="H145" s="2"/>
      <c r="I145" s="2"/>
      <c r="J145" s="2"/>
      <c r="K145" s="2">
        <f t="shared" si="64"/>
        <v>0</v>
      </c>
      <c r="M145" s="1" t="s">
        <v>341</v>
      </c>
      <c r="N145" s="2"/>
      <c r="O145" s="2"/>
      <c r="P145" s="2"/>
      <c r="Q145" s="2"/>
      <c r="R145" s="2"/>
      <c r="S145" s="2"/>
      <c r="T145" s="2"/>
      <c r="U145" s="2"/>
      <c r="V145" s="2">
        <f t="shared" si="65"/>
        <v>0</v>
      </c>
      <c r="X145" s="1" t="s">
        <v>88</v>
      </c>
      <c r="Y145" s="2">
        <f t="shared" si="56"/>
        <v>0</v>
      </c>
      <c r="Z145" s="2">
        <f t="shared" si="57"/>
        <v>0</v>
      </c>
      <c r="AA145" s="2">
        <f t="shared" si="58"/>
        <v>0</v>
      </c>
      <c r="AB145" s="2">
        <f t="shared" si="59"/>
        <v>0</v>
      </c>
      <c r="AC145" s="2">
        <f t="shared" si="60"/>
        <v>0</v>
      </c>
      <c r="AD145" s="2">
        <f t="shared" si="61"/>
        <v>0</v>
      </c>
      <c r="AE145" s="2">
        <f t="shared" si="62"/>
        <v>0</v>
      </c>
      <c r="AF145" s="2">
        <f t="shared" si="63"/>
        <v>0</v>
      </c>
      <c r="AG145" s="2">
        <f t="shared" si="66"/>
        <v>0</v>
      </c>
    </row>
    <row r="146" spans="2:33" hidden="1" x14ac:dyDescent="0.25">
      <c r="B146" s="1" t="s">
        <v>340</v>
      </c>
      <c r="C146" s="2"/>
      <c r="D146" s="2"/>
      <c r="E146" s="2"/>
      <c r="F146" s="2"/>
      <c r="G146" s="2"/>
      <c r="H146" s="2"/>
      <c r="I146" s="2"/>
      <c r="J146" s="2"/>
      <c r="K146" s="2">
        <f t="shared" si="64"/>
        <v>0</v>
      </c>
      <c r="M146" s="1" t="s">
        <v>340</v>
      </c>
      <c r="N146" s="2"/>
      <c r="O146" s="2"/>
      <c r="P146" s="2"/>
      <c r="Q146" s="2"/>
      <c r="R146" s="2"/>
      <c r="S146" s="2"/>
      <c r="T146" s="2"/>
      <c r="U146" s="2"/>
      <c r="V146" s="2">
        <f t="shared" si="65"/>
        <v>0</v>
      </c>
      <c r="X146" s="1" t="s">
        <v>1</v>
      </c>
      <c r="Y146" s="2">
        <f t="shared" si="56"/>
        <v>0</v>
      </c>
      <c r="Z146" s="2">
        <f t="shared" si="57"/>
        <v>0</v>
      </c>
      <c r="AA146" s="2">
        <f t="shared" si="58"/>
        <v>0</v>
      </c>
      <c r="AB146" s="2">
        <f t="shared" si="59"/>
        <v>0</v>
      </c>
      <c r="AC146" s="2">
        <f t="shared" si="60"/>
        <v>0</v>
      </c>
      <c r="AD146" s="2">
        <f t="shared" si="61"/>
        <v>0</v>
      </c>
      <c r="AE146" s="2">
        <f t="shared" si="62"/>
        <v>0</v>
      </c>
      <c r="AF146" s="2">
        <f t="shared" si="63"/>
        <v>0</v>
      </c>
      <c r="AG146" s="2">
        <f t="shared" si="66"/>
        <v>0</v>
      </c>
    </row>
    <row r="147" spans="2:33" ht="15.75" hidden="1" thickBot="1" x14ac:dyDescent="0.3">
      <c r="C147" s="69">
        <f>SUM(C127:C146)</f>
        <v>0</v>
      </c>
      <c r="D147" s="69">
        <f t="shared" ref="D147:J147" si="67">SUM(D127:D146)</f>
        <v>0</v>
      </c>
      <c r="E147" s="69">
        <f t="shared" si="67"/>
        <v>0</v>
      </c>
      <c r="F147" s="69">
        <f t="shared" si="67"/>
        <v>0</v>
      </c>
      <c r="G147" s="69">
        <f t="shared" si="67"/>
        <v>0</v>
      </c>
      <c r="H147" s="69">
        <f t="shared" si="67"/>
        <v>0</v>
      </c>
      <c r="I147" s="69">
        <f t="shared" si="67"/>
        <v>0</v>
      </c>
      <c r="J147" s="69">
        <f t="shared" si="67"/>
        <v>0</v>
      </c>
      <c r="K147" s="69">
        <f>SUM(K127:K146)</f>
        <v>0</v>
      </c>
      <c r="N147" s="69">
        <f>SUM(N127:N146)</f>
        <v>0</v>
      </c>
      <c r="O147" s="69">
        <f t="shared" ref="O147:U147" si="68">SUM(O127:O146)</f>
        <v>0</v>
      </c>
      <c r="P147" s="69">
        <f t="shared" si="68"/>
        <v>0</v>
      </c>
      <c r="Q147" s="69">
        <f t="shared" si="68"/>
        <v>0</v>
      </c>
      <c r="R147" s="69">
        <f t="shared" si="68"/>
        <v>0</v>
      </c>
      <c r="S147" s="69">
        <f t="shared" si="68"/>
        <v>0</v>
      </c>
      <c r="T147" s="69">
        <f t="shared" si="68"/>
        <v>0</v>
      </c>
      <c r="U147" s="69">
        <f t="shared" si="68"/>
        <v>0</v>
      </c>
      <c r="V147" s="69">
        <f>SUM(V127:V146)</f>
        <v>0</v>
      </c>
      <c r="Y147" s="69">
        <f>SUM(Y127:Y146)</f>
        <v>0</v>
      </c>
      <c r="Z147" s="69">
        <f t="shared" ref="Z147:AF147" si="69">SUM(Z127:Z146)</f>
        <v>0</v>
      </c>
      <c r="AA147" s="69">
        <f t="shared" si="69"/>
        <v>0</v>
      </c>
      <c r="AB147" s="69">
        <f t="shared" si="69"/>
        <v>0</v>
      </c>
      <c r="AC147" s="69">
        <f t="shared" si="69"/>
        <v>0</v>
      </c>
      <c r="AD147" s="69">
        <f t="shared" si="69"/>
        <v>0</v>
      </c>
      <c r="AE147" s="69">
        <f t="shared" si="69"/>
        <v>0</v>
      </c>
      <c r="AF147" s="69">
        <f t="shared" si="69"/>
        <v>0</v>
      </c>
      <c r="AG147" s="69">
        <f>SUM(AG127:AG146)</f>
        <v>0</v>
      </c>
    </row>
    <row r="148" spans="2:33" hidden="1" x14ac:dyDescent="0.25"/>
    <row r="149" spans="2:33" hidden="1" x14ac:dyDescent="0.25"/>
    <row r="150" spans="2:33" hidden="1" x14ac:dyDescent="0.25">
      <c r="B150" s="71" t="s">
        <v>97</v>
      </c>
      <c r="C150" s="167">
        <f>$C$20</f>
        <v>45199</v>
      </c>
      <c r="D150" s="164"/>
      <c r="E150" s="164"/>
      <c r="F150" s="164"/>
      <c r="G150" s="164"/>
      <c r="H150" s="164"/>
      <c r="I150" s="164"/>
      <c r="J150" s="164"/>
      <c r="K150" s="164"/>
      <c r="M150" s="71" t="s">
        <v>97</v>
      </c>
      <c r="N150" s="178">
        <f>$N$20</f>
        <v>45169</v>
      </c>
      <c r="O150" s="179"/>
      <c r="P150" s="179"/>
      <c r="Q150" s="179"/>
      <c r="R150" s="179"/>
      <c r="S150" s="179"/>
      <c r="T150" s="179"/>
      <c r="U150" s="179"/>
      <c r="V150" s="179"/>
      <c r="X150" s="71" t="s">
        <v>97</v>
      </c>
      <c r="Y150" s="164" t="s">
        <v>98</v>
      </c>
      <c r="Z150" s="164"/>
      <c r="AA150" s="164"/>
      <c r="AB150" s="164"/>
      <c r="AC150" s="164"/>
      <c r="AD150" s="164"/>
      <c r="AE150" s="164"/>
      <c r="AF150" s="164"/>
      <c r="AG150" s="164"/>
    </row>
    <row r="151" spans="2:33" hidden="1" x14ac:dyDescent="0.25">
      <c r="B151" s="71" t="s">
        <v>96</v>
      </c>
      <c r="C151" s="164" t="str">
        <f>'Reimbursement Rates &lt;-INPUT'!G7</f>
        <v>Clinic 6</v>
      </c>
      <c r="D151" s="164"/>
      <c r="E151" s="164"/>
      <c r="F151" s="164"/>
      <c r="G151" s="164"/>
      <c r="H151" s="164"/>
      <c r="I151" s="164"/>
      <c r="J151" s="164"/>
      <c r="K151" s="164"/>
      <c r="M151" s="71" t="s">
        <v>96</v>
      </c>
      <c r="N151" s="164" t="str">
        <f>C151</f>
        <v>Clinic 6</v>
      </c>
      <c r="O151" s="164"/>
      <c r="P151" s="164"/>
      <c r="Q151" s="164"/>
      <c r="R151" s="164"/>
      <c r="S151" s="164"/>
      <c r="T151" s="164"/>
      <c r="U151" s="164"/>
      <c r="V151" s="164"/>
      <c r="X151" s="71" t="s">
        <v>96</v>
      </c>
      <c r="Y151" s="164" t="str">
        <f>C151</f>
        <v>Clinic 6</v>
      </c>
      <c r="Z151" s="164"/>
      <c r="AA151" s="164"/>
      <c r="AB151" s="164"/>
      <c r="AC151" s="164"/>
      <c r="AD151" s="164"/>
      <c r="AE151" s="164"/>
      <c r="AF151" s="164"/>
      <c r="AG151" s="164"/>
    </row>
    <row r="152" spans="2:33" hidden="1" x14ac:dyDescent="0.25">
      <c r="B152" s="4" t="s">
        <v>16</v>
      </c>
      <c r="C152" s="5" t="s">
        <v>15</v>
      </c>
      <c r="D152" s="5" t="s">
        <v>14</v>
      </c>
      <c r="E152" s="5" t="s">
        <v>13</v>
      </c>
      <c r="F152" s="5" t="s">
        <v>12</v>
      </c>
      <c r="G152" s="5" t="s">
        <v>94</v>
      </c>
      <c r="H152" s="5" t="s">
        <v>95</v>
      </c>
      <c r="I152" s="5" t="s">
        <v>38</v>
      </c>
      <c r="J152" s="5" t="s">
        <v>9</v>
      </c>
      <c r="K152" s="5" t="s">
        <v>80</v>
      </c>
      <c r="M152" s="4" t="s">
        <v>16</v>
      </c>
      <c r="N152" s="5" t="s">
        <v>15</v>
      </c>
      <c r="O152" s="5" t="s">
        <v>14</v>
      </c>
      <c r="P152" s="5" t="s">
        <v>13</v>
      </c>
      <c r="Q152" s="5" t="s">
        <v>12</v>
      </c>
      <c r="R152" s="5" t="s">
        <v>94</v>
      </c>
      <c r="S152" s="5" t="s">
        <v>95</v>
      </c>
      <c r="T152" s="5" t="s">
        <v>38</v>
      </c>
      <c r="U152" s="5" t="s">
        <v>9</v>
      </c>
      <c r="V152" s="5" t="s">
        <v>80</v>
      </c>
      <c r="X152" s="4" t="s">
        <v>16</v>
      </c>
      <c r="Y152" s="5" t="s">
        <v>15</v>
      </c>
      <c r="Z152" s="5" t="s">
        <v>14</v>
      </c>
      <c r="AA152" s="5" t="s">
        <v>13</v>
      </c>
      <c r="AB152" s="5" t="s">
        <v>12</v>
      </c>
      <c r="AC152" s="5" t="s">
        <v>94</v>
      </c>
      <c r="AD152" s="5" t="s">
        <v>95</v>
      </c>
      <c r="AE152" s="5" t="s">
        <v>38</v>
      </c>
      <c r="AF152" s="5" t="s">
        <v>9</v>
      </c>
      <c r="AG152" s="5" t="s">
        <v>80</v>
      </c>
    </row>
    <row r="153" spans="2:33" hidden="1" x14ac:dyDescent="0.25">
      <c r="B153" s="1" t="s">
        <v>335</v>
      </c>
      <c r="C153" s="2"/>
      <c r="D153" s="2"/>
      <c r="E153" s="2"/>
      <c r="F153" s="2"/>
      <c r="G153" s="2"/>
      <c r="H153" s="2"/>
      <c r="I153" s="2"/>
      <c r="J153" s="2"/>
      <c r="K153" s="2">
        <f>SUM(C153:J153)</f>
        <v>0</v>
      </c>
      <c r="M153" s="1" t="s">
        <v>335</v>
      </c>
      <c r="N153" s="2"/>
      <c r="O153" s="2"/>
      <c r="P153" s="2"/>
      <c r="Q153" s="2"/>
      <c r="R153" s="2"/>
      <c r="S153" s="2"/>
      <c r="T153" s="2"/>
      <c r="U153" s="2"/>
      <c r="V153" s="2">
        <f>SUM(N153:U153)</f>
        <v>0</v>
      </c>
      <c r="X153" s="1" t="s">
        <v>49</v>
      </c>
      <c r="Y153" s="2">
        <f t="shared" ref="Y153:Y172" si="70">C153-N153</f>
        <v>0</v>
      </c>
      <c r="Z153" s="2">
        <f t="shared" ref="Z153:Z172" si="71">D153-O153</f>
        <v>0</v>
      </c>
      <c r="AA153" s="2">
        <f t="shared" ref="AA153:AA172" si="72">E153-P153</f>
        <v>0</v>
      </c>
      <c r="AB153" s="2">
        <f t="shared" ref="AB153:AB172" si="73">F153-Q153</f>
        <v>0</v>
      </c>
      <c r="AC153" s="2">
        <f t="shared" ref="AC153:AC172" si="74">G153-R153</f>
        <v>0</v>
      </c>
      <c r="AD153" s="2">
        <f t="shared" ref="AD153:AD172" si="75">H153-S153</f>
        <v>0</v>
      </c>
      <c r="AE153" s="2">
        <f t="shared" ref="AE153:AE172" si="76">I153-T153</f>
        <v>0</v>
      </c>
      <c r="AF153" s="2">
        <f t="shared" ref="AF153:AF172" si="77">J153-U153</f>
        <v>0</v>
      </c>
      <c r="AG153" s="2">
        <f>SUM(Y153:AF153)</f>
        <v>0</v>
      </c>
    </row>
    <row r="154" spans="2:33" hidden="1" x14ac:dyDescent="0.25">
      <c r="B154" s="1" t="s">
        <v>8</v>
      </c>
      <c r="C154" s="2"/>
      <c r="D154" s="2"/>
      <c r="E154" s="2"/>
      <c r="F154" s="2"/>
      <c r="G154" s="2"/>
      <c r="H154" s="2"/>
      <c r="I154" s="2"/>
      <c r="J154" s="2"/>
      <c r="K154" s="2">
        <f t="shared" ref="K154:K172" si="78">SUM(C154:J154)</f>
        <v>0</v>
      </c>
      <c r="M154" s="1" t="s">
        <v>8</v>
      </c>
      <c r="N154" s="2"/>
      <c r="O154" s="2"/>
      <c r="P154" s="2"/>
      <c r="Q154" s="2"/>
      <c r="R154" s="2"/>
      <c r="S154" s="2"/>
      <c r="T154" s="2"/>
      <c r="U154" s="2"/>
      <c r="V154" s="2">
        <f t="shared" ref="V154:V172" si="79">SUM(N154:U154)</f>
        <v>0</v>
      </c>
      <c r="X154" s="1" t="s">
        <v>8</v>
      </c>
      <c r="Y154" s="2">
        <f t="shared" si="70"/>
        <v>0</v>
      </c>
      <c r="Z154" s="2">
        <f t="shared" si="71"/>
        <v>0</v>
      </c>
      <c r="AA154" s="2">
        <f t="shared" si="72"/>
        <v>0</v>
      </c>
      <c r="AB154" s="2">
        <f t="shared" si="73"/>
        <v>0</v>
      </c>
      <c r="AC154" s="2">
        <f t="shared" si="74"/>
        <v>0</v>
      </c>
      <c r="AD154" s="2">
        <f t="shared" si="75"/>
        <v>0</v>
      </c>
      <c r="AE154" s="2">
        <f t="shared" si="76"/>
        <v>0</v>
      </c>
      <c r="AF154" s="2">
        <f t="shared" si="77"/>
        <v>0</v>
      </c>
      <c r="AG154" s="2">
        <f t="shared" ref="AG154:AG172" si="80">SUM(Y154:AF154)</f>
        <v>0</v>
      </c>
    </row>
    <row r="155" spans="2:33" hidden="1" x14ac:dyDescent="0.25">
      <c r="B155" s="1" t="s">
        <v>336</v>
      </c>
      <c r="C155" s="2"/>
      <c r="D155" s="2"/>
      <c r="E155" s="2"/>
      <c r="F155" s="2"/>
      <c r="G155" s="2"/>
      <c r="H155" s="2"/>
      <c r="I155" s="2"/>
      <c r="J155" s="2"/>
      <c r="K155" s="2">
        <f t="shared" si="78"/>
        <v>0</v>
      </c>
      <c r="M155" s="1" t="s">
        <v>336</v>
      </c>
      <c r="N155" s="2"/>
      <c r="O155" s="2"/>
      <c r="P155" s="2"/>
      <c r="Q155" s="2"/>
      <c r="R155" s="2"/>
      <c r="S155" s="2"/>
      <c r="T155" s="2"/>
      <c r="U155" s="2"/>
      <c r="V155" s="2">
        <f t="shared" si="79"/>
        <v>0</v>
      </c>
      <c r="X155" s="1" t="s">
        <v>7</v>
      </c>
      <c r="Y155" s="2">
        <f t="shared" si="70"/>
        <v>0</v>
      </c>
      <c r="Z155" s="2">
        <f t="shared" si="71"/>
        <v>0</v>
      </c>
      <c r="AA155" s="2">
        <f t="shared" si="72"/>
        <v>0</v>
      </c>
      <c r="AB155" s="2">
        <f t="shared" si="73"/>
        <v>0</v>
      </c>
      <c r="AC155" s="2">
        <f t="shared" si="74"/>
        <v>0</v>
      </c>
      <c r="AD155" s="2">
        <f t="shared" si="75"/>
        <v>0</v>
      </c>
      <c r="AE155" s="2">
        <f t="shared" si="76"/>
        <v>0</v>
      </c>
      <c r="AF155" s="2">
        <f t="shared" si="77"/>
        <v>0</v>
      </c>
      <c r="AG155" s="2">
        <f t="shared" si="80"/>
        <v>0</v>
      </c>
    </row>
    <row r="156" spans="2:33" hidden="1" x14ac:dyDescent="0.25">
      <c r="B156" s="1" t="s">
        <v>42</v>
      </c>
      <c r="C156" s="2"/>
      <c r="D156" s="2"/>
      <c r="E156" s="2"/>
      <c r="F156" s="2"/>
      <c r="G156" s="2"/>
      <c r="H156" s="2"/>
      <c r="I156" s="2"/>
      <c r="J156" s="2"/>
      <c r="K156" s="2">
        <f t="shared" si="78"/>
        <v>0</v>
      </c>
      <c r="M156" s="1" t="s">
        <v>42</v>
      </c>
      <c r="N156" s="2"/>
      <c r="O156" s="2"/>
      <c r="P156" s="2"/>
      <c r="Q156" s="2"/>
      <c r="R156" s="2"/>
      <c r="S156" s="2"/>
      <c r="T156" s="2"/>
      <c r="U156" s="2"/>
      <c r="V156" s="2">
        <f t="shared" si="79"/>
        <v>0</v>
      </c>
      <c r="X156" s="1" t="s">
        <v>42</v>
      </c>
      <c r="Y156" s="2">
        <f t="shared" si="70"/>
        <v>0</v>
      </c>
      <c r="Z156" s="2">
        <f t="shared" si="71"/>
        <v>0</v>
      </c>
      <c r="AA156" s="2">
        <f t="shared" si="72"/>
        <v>0</v>
      </c>
      <c r="AB156" s="2">
        <f t="shared" si="73"/>
        <v>0</v>
      </c>
      <c r="AC156" s="2">
        <f t="shared" si="74"/>
        <v>0</v>
      </c>
      <c r="AD156" s="2">
        <f t="shared" si="75"/>
        <v>0</v>
      </c>
      <c r="AE156" s="2">
        <f t="shared" si="76"/>
        <v>0</v>
      </c>
      <c r="AF156" s="2">
        <f t="shared" si="77"/>
        <v>0</v>
      </c>
      <c r="AG156" s="2">
        <f t="shared" si="80"/>
        <v>0</v>
      </c>
    </row>
    <row r="157" spans="2:33" hidden="1" x14ac:dyDescent="0.25">
      <c r="B157" s="1" t="s">
        <v>6</v>
      </c>
      <c r="C157" s="2"/>
      <c r="D157" s="2"/>
      <c r="E157" s="2"/>
      <c r="F157" s="2"/>
      <c r="G157" s="2"/>
      <c r="H157" s="2"/>
      <c r="I157" s="2"/>
      <c r="J157" s="2"/>
      <c r="K157" s="2">
        <f t="shared" si="78"/>
        <v>0</v>
      </c>
      <c r="M157" s="1" t="s">
        <v>6</v>
      </c>
      <c r="N157" s="2"/>
      <c r="O157" s="2"/>
      <c r="P157" s="2"/>
      <c r="Q157" s="2"/>
      <c r="R157" s="2"/>
      <c r="S157" s="2"/>
      <c r="T157" s="2"/>
      <c r="U157" s="2"/>
      <c r="V157" s="2">
        <f t="shared" si="79"/>
        <v>0</v>
      </c>
      <c r="X157" s="1" t="s">
        <v>6</v>
      </c>
      <c r="Y157" s="2">
        <f t="shared" si="70"/>
        <v>0</v>
      </c>
      <c r="Z157" s="2">
        <f t="shared" si="71"/>
        <v>0</v>
      </c>
      <c r="AA157" s="2">
        <f t="shared" si="72"/>
        <v>0</v>
      </c>
      <c r="AB157" s="2">
        <f t="shared" si="73"/>
        <v>0</v>
      </c>
      <c r="AC157" s="2">
        <f t="shared" si="74"/>
        <v>0</v>
      </c>
      <c r="AD157" s="2">
        <f t="shared" si="75"/>
        <v>0</v>
      </c>
      <c r="AE157" s="2">
        <f t="shared" si="76"/>
        <v>0</v>
      </c>
      <c r="AF157" s="2">
        <f t="shared" si="77"/>
        <v>0</v>
      </c>
      <c r="AG157" s="2">
        <f t="shared" si="80"/>
        <v>0</v>
      </c>
    </row>
    <row r="158" spans="2:33" hidden="1" x14ac:dyDescent="0.25">
      <c r="B158" s="1" t="s">
        <v>90</v>
      </c>
      <c r="C158" s="2"/>
      <c r="D158" s="2"/>
      <c r="E158" s="2"/>
      <c r="F158" s="2"/>
      <c r="G158" s="2"/>
      <c r="H158" s="2"/>
      <c r="I158" s="2"/>
      <c r="J158" s="2"/>
      <c r="K158" s="2">
        <f t="shared" si="78"/>
        <v>0</v>
      </c>
      <c r="M158" s="1" t="s">
        <v>90</v>
      </c>
      <c r="N158" s="2"/>
      <c r="O158" s="2"/>
      <c r="P158" s="2"/>
      <c r="Q158" s="2"/>
      <c r="R158" s="2"/>
      <c r="S158" s="2"/>
      <c r="T158" s="2"/>
      <c r="U158" s="2"/>
      <c r="V158" s="2">
        <f t="shared" si="79"/>
        <v>0</v>
      </c>
      <c r="X158" s="1" t="s">
        <v>90</v>
      </c>
      <c r="Y158" s="2">
        <f t="shared" si="70"/>
        <v>0</v>
      </c>
      <c r="Z158" s="2">
        <f t="shared" si="71"/>
        <v>0</v>
      </c>
      <c r="AA158" s="2">
        <f t="shared" si="72"/>
        <v>0</v>
      </c>
      <c r="AB158" s="2">
        <f t="shared" si="73"/>
        <v>0</v>
      </c>
      <c r="AC158" s="2">
        <f t="shared" si="74"/>
        <v>0</v>
      </c>
      <c r="AD158" s="2">
        <f t="shared" si="75"/>
        <v>0</v>
      </c>
      <c r="AE158" s="2">
        <f t="shared" si="76"/>
        <v>0</v>
      </c>
      <c r="AF158" s="2">
        <f t="shared" si="77"/>
        <v>0</v>
      </c>
      <c r="AG158" s="2">
        <f t="shared" si="80"/>
        <v>0</v>
      </c>
    </row>
    <row r="159" spans="2:33" hidden="1" x14ac:dyDescent="0.25">
      <c r="B159" s="1" t="s">
        <v>342</v>
      </c>
      <c r="C159" s="2"/>
      <c r="D159" s="2"/>
      <c r="E159" s="2"/>
      <c r="F159" s="2"/>
      <c r="G159" s="2"/>
      <c r="H159" s="2"/>
      <c r="I159" s="2"/>
      <c r="J159" s="2"/>
      <c r="K159" s="2">
        <f t="shared" si="78"/>
        <v>0</v>
      </c>
      <c r="M159" s="1" t="s">
        <v>342</v>
      </c>
      <c r="N159" s="2"/>
      <c r="O159" s="2"/>
      <c r="P159" s="2"/>
      <c r="Q159" s="2"/>
      <c r="R159" s="2"/>
      <c r="S159" s="2"/>
      <c r="T159" s="2"/>
      <c r="U159" s="2"/>
      <c r="V159" s="2">
        <f t="shared" si="79"/>
        <v>0</v>
      </c>
      <c r="X159" s="1" t="s">
        <v>50</v>
      </c>
      <c r="Y159" s="2">
        <f t="shared" si="70"/>
        <v>0</v>
      </c>
      <c r="Z159" s="2">
        <f t="shared" si="71"/>
        <v>0</v>
      </c>
      <c r="AA159" s="2">
        <f t="shared" si="72"/>
        <v>0</v>
      </c>
      <c r="AB159" s="2">
        <f t="shared" si="73"/>
        <v>0</v>
      </c>
      <c r="AC159" s="2">
        <f t="shared" si="74"/>
        <v>0</v>
      </c>
      <c r="AD159" s="2">
        <f t="shared" si="75"/>
        <v>0</v>
      </c>
      <c r="AE159" s="2">
        <f t="shared" si="76"/>
        <v>0</v>
      </c>
      <c r="AF159" s="2">
        <f t="shared" si="77"/>
        <v>0</v>
      </c>
      <c r="AG159" s="2">
        <f t="shared" si="80"/>
        <v>0</v>
      </c>
    </row>
    <row r="160" spans="2:33" hidden="1" x14ac:dyDescent="0.25">
      <c r="B160" s="1" t="s">
        <v>89</v>
      </c>
      <c r="C160" s="2"/>
      <c r="D160" s="2"/>
      <c r="E160" s="2"/>
      <c r="F160" s="2"/>
      <c r="G160" s="2"/>
      <c r="H160" s="2"/>
      <c r="I160" s="2"/>
      <c r="J160" s="2"/>
      <c r="K160" s="2">
        <f t="shared" si="78"/>
        <v>0</v>
      </c>
      <c r="M160" s="1" t="s">
        <v>89</v>
      </c>
      <c r="N160" s="2"/>
      <c r="O160" s="2"/>
      <c r="P160" s="2"/>
      <c r="Q160" s="2"/>
      <c r="R160" s="2"/>
      <c r="S160" s="2"/>
      <c r="T160" s="2"/>
      <c r="U160" s="2"/>
      <c r="V160" s="2">
        <f t="shared" si="79"/>
        <v>0</v>
      </c>
      <c r="X160" s="1" t="s">
        <v>89</v>
      </c>
      <c r="Y160" s="2">
        <f t="shared" si="70"/>
        <v>0</v>
      </c>
      <c r="Z160" s="2">
        <f t="shared" si="71"/>
        <v>0</v>
      </c>
      <c r="AA160" s="2">
        <f t="shared" si="72"/>
        <v>0</v>
      </c>
      <c r="AB160" s="2">
        <f t="shared" si="73"/>
        <v>0</v>
      </c>
      <c r="AC160" s="2">
        <f t="shared" si="74"/>
        <v>0</v>
      </c>
      <c r="AD160" s="2">
        <f t="shared" si="75"/>
        <v>0</v>
      </c>
      <c r="AE160" s="2">
        <f t="shared" si="76"/>
        <v>0</v>
      </c>
      <c r="AF160" s="2">
        <f t="shared" si="77"/>
        <v>0</v>
      </c>
      <c r="AG160" s="2">
        <f t="shared" si="80"/>
        <v>0</v>
      </c>
    </row>
    <row r="161" spans="2:33" hidden="1" x14ac:dyDescent="0.25">
      <c r="B161" s="1" t="s">
        <v>5</v>
      </c>
      <c r="C161" s="2"/>
      <c r="D161" s="2"/>
      <c r="E161" s="2"/>
      <c r="F161" s="2"/>
      <c r="G161" s="2"/>
      <c r="H161" s="2"/>
      <c r="I161" s="2"/>
      <c r="J161" s="2"/>
      <c r="K161" s="2">
        <f t="shared" si="78"/>
        <v>0</v>
      </c>
      <c r="M161" s="1" t="s">
        <v>5</v>
      </c>
      <c r="N161" s="2"/>
      <c r="O161" s="2"/>
      <c r="P161" s="2"/>
      <c r="Q161" s="2"/>
      <c r="R161" s="2"/>
      <c r="S161" s="2"/>
      <c r="T161" s="2"/>
      <c r="U161" s="2"/>
      <c r="V161" s="2">
        <f t="shared" si="79"/>
        <v>0</v>
      </c>
      <c r="X161" s="1" t="s">
        <v>5</v>
      </c>
      <c r="Y161" s="2">
        <f t="shared" si="70"/>
        <v>0</v>
      </c>
      <c r="Z161" s="2">
        <f t="shared" si="71"/>
        <v>0</v>
      </c>
      <c r="AA161" s="2">
        <f t="shared" si="72"/>
        <v>0</v>
      </c>
      <c r="AB161" s="2">
        <f t="shared" si="73"/>
        <v>0</v>
      </c>
      <c r="AC161" s="2">
        <f t="shared" si="74"/>
        <v>0</v>
      </c>
      <c r="AD161" s="2">
        <f t="shared" si="75"/>
        <v>0</v>
      </c>
      <c r="AE161" s="2">
        <f t="shared" si="76"/>
        <v>0</v>
      </c>
      <c r="AF161" s="2">
        <f t="shared" si="77"/>
        <v>0</v>
      </c>
      <c r="AG161" s="2">
        <f t="shared" si="80"/>
        <v>0</v>
      </c>
    </row>
    <row r="162" spans="2:33" hidden="1" x14ac:dyDescent="0.25">
      <c r="B162" s="1" t="s">
        <v>84</v>
      </c>
      <c r="C162" s="2"/>
      <c r="D162" s="2"/>
      <c r="E162" s="2"/>
      <c r="F162" s="2"/>
      <c r="G162" s="2"/>
      <c r="H162" s="2"/>
      <c r="I162" s="2"/>
      <c r="J162" s="2"/>
      <c r="K162" s="2">
        <f t="shared" si="78"/>
        <v>0</v>
      </c>
      <c r="M162" s="1" t="s">
        <v>84</v>
      </c>
      <c r="N162" s="2"/>
      <c r="O162" s="2"/>
      <c r="P162" s="2"/>
      <c r="Q162" s="2"/>
      <c r="R162" s="2"/>
      <c r="S162" s="2"/>
      <c r="T162" s="2"/>
      <c r="U162" s="2"/>
      <c r="V162" s="2">
        <f t="shared" si="79"/>
        <v>0</v>
      </c>
      <c r="X162" s="1" t="s">
        <v>84</v>
      </c>
      <c r="Y162" s="2">
        <f t="shared" si="70"/>
        <v>0</v>
      </c>
      <c r="Z162" s="2">
        <f t="shared" si="71"/>
        <v>0</v>
      </c>
      <c r="AA162" s="2">
        <f t="shared" si="72"/>
        <v>0</v>
      </c>
      <c r="AB162" s="2">
        <f t="shared" si="73"/>
        <v>0</v>
      </c>
      <c r="AC162" s="2">
        <f t="shared" si="74"/>
        <v>0</v>
      </c>
      <c r="AD162" s="2">
        <f t="shared" si="75"/>
        <v>0</v>
      </c>
      <c r="AE162" s="2">
        <f t="shared" si="76"/>
        <v>0</v>
      </c>
      <c r="AF162" s="2">
        <f t="shared" si="77"/>
        <v>0</v>
      </c>
      <c r="AG162" s="2">
        <f t="shared" si="80"/>
        <v>0</v>
      </c>
    </row>
    <row r="163" spans="2:33" hidden="1" x14ac:dyDescent="0.25">
      <c r="B163" s="1" t="s">
        <v>4</v>
      </c>
      <c r="C163" s="2"/>
      <c r="D163" s="2"/>
      <c r="E163" s="2"/>
      <c r="F163" s="2"/>
      <c r="G163" s="2"/>
      <c r="H163" s="2"/>
      <c r="I163" s="2"/>
      <c r="J163" s="2"/>
      <c r="K163" s="2">
        <f t="shared" si="78"/>
        <v>0</v>
      </c>
      <c r="M163" s="1" t="s">
        <v>4</v>
      </c>
      <c r="N163" s="2"/>
      <c r="O163" s="2"/>
      <c r="P163" s="2"/>
      <c r="Q163" s="2"/>
      <c r="R163" s="2"/>
      <c r="S163" s="2"/>
      <c r="T163" s="2"/>
      <c r="U163" s="2"/>
      <c r="V163" s="2">
        <f t="shared" si="79"/>
        <v>0</v>
      </c>
      <c r="X163" s="1" t="s">
        <v>4</v>
      </c>
      <c r="Y163" s="2">
        <f t="shared" si="70"/>
        <v>0</v>
      </c>
      <c r="Z163" s="2">
        <f t="shared" si="71"/>
        <v>0</v>
      </c>
      <c r="AA163" s="2">
        <f t="shared" si="72"/>
        <v>0</v>
      </c>
      <c r="AB163" s="2">
        <f t="shared" si="73"/>
        <v>0</v>
      </c>
      <c r="AC163" s="2">
        <f t="shared" si="74"/>
        <v>0</v>
      </c>
      <c r="AD163" s="2">
        <f t="shared" si="75"/>
        <v>0</v>
      </c>
      <c r="AE163" s="2">
        <f t="shared" si="76"/>
        <v>0</v>
      </c>
      <c r="AF163" s="2">
        <f t="shared" si="77"/>
        <v>0</v>
      </c>
      <c r="AG163" s="2">
        <f t="shared" si="80"/>
        <v>0</v>
      </c>
    </row>
    <row r="164" spans="2:33" hidden="1" x14ac:dyDescent="0.25">
      <c r="B164" s="1" t="s">
        <v>51</v>
      </c>
      <c r="C164" s="2"/>
      <c r="D164" s="2"/>
      <c r="E164" s="2"/>
      <c r="F164" s="2"/>
      <c r="G164" s="2"/>
      <c r="H164" s="2"/>
      <c r="I164" s="2"/>
      <c r="J164" s="2"/>
      <c r="K164" s="2">
        <f t="shared" si="78"/>
        <v>0</v>
      </c>
      <c r="M164" s="1" t="s">
        <v>51</v>
      </c>
      <c r="N164" s="2"/>
      <c r="O164" s="2"/>
      <c r="P164" s="2"/>
      <c r="Q164" s="2"/>
      <c r="R164" s="2"/>
      <c r="S164" s="2"/>
      <c r="T164" s="2"/>
      <c r="U164" s="2"/>
      <c r="V164" s="2">
        <f t="shared" si="79"/>
        <v>0</v>
      </c>
      <c r="X164" s="1" t="s">
        <v>51</v>
      </c>
      <c r="Y164" s="2">
        <f t="shared" si="70"/>
        <v>0</v>
      </c>
      <c r="Z164" s="2">
        <f t="shared" si="71"/>
        <v>0</v>
      </c>
      <c r="AA164" s="2">
        <f t="shared" si="72"/>
        <v>0</v>
      </c>
      <c r="AB164" s="2">
        <f t="shared" si="73"/>
        <v>0</v>
      </c>
      <c r="AC164" s="2">
        <f t="shared" si="74"/>
        <v>0</v>
      </c>
      <c r="AD164" s="2">
        <f t="shared" si="75"/>
        <v>0</v>
      </c>
      <c r="AE164" s="2">
        <f t="shared" si="76"/>
        <v>0</v>
      </c>
      <c r="AF164" s="2">
        <f t="shared" si="77"/>
        <v>0</v>
      </c>
      <c r="AG164" s="2">
        <f t="shared" si="80"/>
        <v>0</v>
      </c>
    </row>
    <row r="165" spans="2:33" hidden="1" x14ac:dyDescent="0.25">
      <c r="B165" s="1" t="s">
        <v>87</v>
      </c>
      <c r="C165" s="2"/>
      <c r="D165" s="2"/>
      <c r="E165" s="2"/>
      <c r="F165" s="2"/>
      <c r="G165" s="2"/>
      <c r="H165" s="2"/>
      <c r="I165" s="2"/>
      <c r="J165" s="2"/>
      <c r="K165" s="2">
        <f t="shared" si="78"/>
        <v>0</v>
      </c>
      <c r="M165" s="1" t="s">
        <v>87</v>
      </c>
      <c r="N165" s="2"/>
      <c r="O165" s="2"/>
      <c r="P165" s="2"/>
      <c r="Q165" s="2"/>
      <c r="R165" s="2"/>
      <c r="S165" s="2"/>
      <c r="T165" s="2"/>
      <c r="U165" s="2"/>
      <c r="V165" s="2">
        <f t="shared" si="79"/>
        <v>0</v>
      </c>
      <c r="X165" s="1" t="s">
        <v>87</v>
      </c>
      <c r="Y165" s="2">
        <f t="shared" si="70"/>
        <v>0</v>
      </c>
      <c r="Z165" s="2">
        <f t="shared" si="71"/>
        <v>0</v>
      </c>
      <c r="AA165" s="2">
        <f t="shared" si="72"/>
        <v>0</v>
      </c>
      <c r="AB165" s="2">
        <f t="shared" si="73"/>
        <v>0</v>
      </c>
      <c r="AC165" s="2">
        <f t="shared" si="74"/>
        <v>0</v>
      </c>
      <c r="AD165" s="2">
        <f t="shared" si="75"/>
        <v>0</v>
      </c>
      <c r="AE165" s="2">
        <f t="shared" si="76"/>
        <v>0</v>
      </c>
      <c r="AF165" s="2">
        <f t="shared" si="77"/>
        <v>0</v>
      </c>
      <c r="AG165" s="2">
        <f t="shared" si="80"/>
        <v>0</v>
      </c>
    </row>
    <row r="166" spans="2:33" hidden="1" x14ac:dyDescent="0.25">
      <c r="B166" s="1" t="s">
        <v>85</v>
      </c>
      <c r="C166" s="2"/>
      <c r="D166" s="2"/>
      <c r="E166" s="2"/>
      <c r="F166" s="2"/>
      <c r="G166" s="2"/>
      <c r="H166" s="2"/>
      <c r="I166" s="2"/>
      <c r="J166" s="2"/>
      <c r="K166" s="2">
        <f t="shared" si="78"/>
        <v>0</v>
      </c>
      <c r="M166" s="1" t="s">
        <v>85</v>
      </c>
      <c r="N166" s="2"/>
      <c r="O166" s="2"/>
      <c r="P166" s="2"/>
      <c r="Q166" s="2"/>
      <c r="R166" s="2"/>
      <c r="S166" s="2"/>
      <c r="T166" s="2"/>
      <c r="U166" s="2"/>
      <c r="V166" s="2">
        <f t="shared" si="79"/>
        <v>0</v>
      </c>
      <c r="X166" s="1" t="s">
        <v>85</v>
      </c>
      <c r="Y166" s="2">
        <f t="shared" si="70"/>
        <v>0</v>
      </c>
      <c r="Z166" s="2">
        <f t="shared" si="71"/>
        <v>0</v>
      </c>
      <c r="AA166" s="2">
        <f t="shared" si="72"/>
        <v>0</v>
      </c>
      <c r="AB166" s="2">
        <f t="shared" si="73"/>
        <v>0</v>
      </c>
      <c r="AC166" s="2">
        <f t="shared" si="74"/>
        <v>0</v>
      </c>
      <c r="AD166" s="2">
        <f t="shared" si="75"/>
        <v>0</v>
      </c>
      <c r="AE166" s="2">
        <f t="shared" si="76"/>
        <v>0</v>
      </c>
      <c r="AF166" s="2">
        <f t="shared" si="77"/>
        <v>0</v>
      </c>
      <c r="AG166" s="2">
        <f t="shared" si="80"/>
        <v>0</v>
      </c>
    </row>
    <row r="167" spans="2:33" hidden="1" x14ac:dyDescent="0.25">
      <c r="B167" s="1" t="s">
        <v>2</v>
      </c>
      <c r="C167" s="2"/>
      <c r="D167" s="2"/>
      <c r="E167" s="2"/>
      <c r="F167" s="2"/>
      <c r="G167" s="2"/>
      <c r="H167" s="2"/>
      <c r="I167" s="2"/>
      <c r="J167" s="2"/>
      <c r="K167" s="2">
        <f t="shared" si="78"/>
        <v>0</v>
      </c>
      <c r="M167" s="1" t="s">
        <v>2</v>
      </c>
      <c r="N167" s="2"/>
      <c r="O167" s="2"/>
      <c r="P167" s="2"/>
      <c r="Q167" s="2"/>
      <c r="R167" s="2"/>
      <c r="S167" s="2"/>
      <c r="T167" s="2"/>
      <c r="U167" s="2"/>
      <c r="V167" s="2">
        <f t="shared" si="79"/>
        <v>0</v>
      </c>
      <c r="X167" s="1" t="s">
        <v>2</v>
      </c>
      <c r="Y167" s="2">
        <f t="shared" si="70"/>
        <v>0</v>
      </c>
      <c r="Z167" s="2">
        <f t="shared" si="71"/>
        <v>0</v>
      </c>
      <c r="AA167" s="2">
        <f t="shared" si="72"/>
        <v>0</v>
      </c>
      <c r="AB167" s="2">
        <f t="shared" si="73"/>
        <v>0</v>
      </c>
      <c r="AC167" s="2">
        <f t="shared" si="74"/>
        <v>0</v>
      </c>
      <c r="AD167" s="2">
        <f t="shared" si="75"/>
        <v>0</v>
      </c>
      <c r="AE167" s="2">
        <f t="shared" si="76"/>
        <v>0</v>
      </c>
      <c r="AF167" s="2">
        <f t="shared" si="77"/>
        <v>0</v>
      </c>
      <c r="AG167" s="2">
        <f t="shared" si="80"/>
        <v>0</v>
      </c>
    </row>
    <row r="168" spans="2:33" hidden="1" x14ac:dyDescent="0.25">
      <c r="B168" s="1" t="s">
        <v>86</v>
      </c>
      <c r="C168" s="2"/>
      <c r="D168" s="2"/>
      <c r="E168" s="2"/>
      <c r="F168" s="2"/>
      <c r="G168" s="2"/>
      <c r="H168" s="2"/>
      <c r="I168" s="2"/>
      <c r="J168" s="2"/>
      <c r="K168" s="2">
        <f t="shared" si="78"/>
        <v>0</v>
      </c>
      <c r="M168" s="1" t="s">
        <v>86</v>
      </c>
      <c r="N168" s="2"/>
      <c r="O168" s="2"/>
      <c r="P168" s="2"/>
      <c r="Q168" s="2"/>
      <c r="R168" s="2"/>
      <c r="S168" s="2"/>
      <c r="T168" s="2"/>
      <c r="U168" s="2"/>
      <c r="V168" s="2">
        <f t="shared" si="79"/>
        <v>0</v>
      </c>
      <c r="X168" s="1" t="s">
        <v>86</v>
      </c>
      <c r="Y168" s="2">
        <f t="shared" si="70"/>
        <v>0</v>
      </c>
      <c r="Z168" s="2">
        <f t="shared" si="71"/>
        <v>0</v>
      </c>
      <c r="AA168" s="2">
        <f t="shared" si="72"/>
        <v>0</v>
      </c>
      <c r="AB168" s="2">
        <f t="shared" si="73"/>
        <v>0</v>
      </c>
      <c r="AC168" s="2">
        <f t="shared" si="74"/>
        <v>0</v>
      </c>
      <c r="AD168" s="2">
        <f t="shared" si="75"/>
        <v>0</v>
      </c>
      <c r="AE168" s="2">
        <f t="shared" si="76"/>
        <v>0</v>
      </c>
      <c r="AF168" s="2">
        <f t="shared" si="77"/>
        <v>0</v>
      </c>
      <c r="AG168" s="2">
        <f t="shared" si="80"/>
        <v>0</v>
      </c>
    </row>
    <row r="169" spans="2:33" hidden="1" x14ac:dyDescent="0.25">
      <c r="B169" s="1" t="s">
        <v>29</v>
      </c>
      <c r="C169" s="2"/>
      <c r="D169" s="2"/>
      <c r="E169" s="2"/>
      <c r="F169" s="2"/>
      <c r="G169" s="2"/>
      <c r="H169" s="2"/>
      <c r="I169" s="2"/>
      <c r="J169" s="2"/>
      <c r="K169" s="2">
        <f t="shared" si="78"/>
        <v>0</v>
      </c>
      <c r="M169" s="1" t="s">
        <v>29</v>
      </c>
      <c r="N169" s="2"/>
      <c r="O169" s="2"/>
      <c r="P169" s="2"/>
      <c r="Q169" s="2"/>
      <c r="R169" s="2"/>
      <c r="S169" s="2"/>
      <c r="T169" s="2"/>
      <c r="U169" s="2"/>
      <c r="V169" s="2">
        <f t="shared" si="79"/>
        <v>0</v>
      </c>
      <c r="X169" s="1" t="s">
        <v>29</v>
      </c>
      <c r="Y169" s="2">
        <f t="shared" si="70"/>
        <v>0</v>
      </c>
      <c r="Z169" s="2">
        <f t="shared" si="71"/>
        <v>0</v>
      </c>
      <c r="AA169" s="2">
        <f t="shared" si="72"/>
        <v>0</v>
      </c>
      <c r="AB169" s="2">
        <f t="shared" si="73"/>
        <v>0</v>
      </c>
      <c r="AC169" s="2">
        <f t="shared" si="74"/>
        <v>0</v>
      </c>
      <c r="AD169" s="2">
        <f t="shared" si="75"/>
        <v>0</v>
      </c>
      <c r="AE169" s="2">
        <f t="shared" si="76"/>
        <v>0</v>
      </c>
      <c r="AF169" s="2">
        <f t="shared" si="77"/>
        <v>0</v>
      </c>
      <c r="AG169" s="2">
        <f t="shared" si="80"/>
        <v>0</v>
      </c>
    </row>
    <row r="170" spans="2:33" hidden="1" x14ac:dyDescent="0.25">
      <c r="B170" s="1" t="s">
        <v>88</v>
      </c>
      <c r="C170" s="2"/>
      <c r="D170" s="2"/>
      <c r="E170" s="2"/>
      <c r="F170" s="2"/>
      <c r="G170" s="2"/>
      <c r="H170" s="2"/>
      <c r="I170" s="2"/>
      <c r="J170" s="2"/>
      <c r="K170" s="2">
        <f t="shared" si="78"/>
        <v>0</v>
      </c>
      <c r="M170" s="1" t="s">
        <v>88</v>
      </c>
      <c r="N170" s="2"/>
      <c r="O170" s="2"/>
      <c r="P170" s="2"/>
      <c r="Q170" s="2"/>
      <c r="R170" s="2"/>
      <c r="S170" s="2"/>
      <c r="T170" s="2"/>
      <c r="U170" s="2"/>
      <c r="V170" s="2">
        <f t="shared" si="79"/>
        <v>0</v>
      </c>
      <c r="X170" s="1" t="s">
        <v>52</v>
      </c>
      <c r="Y170" s="2">
        <f t="shared" si="70"/>
        <v>0</v>
      </c>
      <c r="Z170" s="2">
        <f t="shared" si="71"/>
        <v>0</v>
      </c>
      <c r="AA170" s="2">
        <f t="shared" si="72"/>
        <v>0</v>
      </c>
      <c r="AB170" s="2">
        <f t="shared" si="73"/>
        <v>0</v>
      </c>
      <c r="AC170" s="2">
        <f t="shared" si="74"/>
        <v>0</v>
      </c>
      <c r="AD170" s="2">
        <f t="shared" si="75"/>
        <v>0</v>
      </c>
      <c r="AE170" s="2">
        <f t="shared" si="76"/>
        <v>0</v>
      </c>
      <c r="AF170" s="2">
        <f t="shared" si="77"/>
        <v>0</v>
      </c>
      <c r="AG170" s="2">
        <f t="shared" si="80"/>
        <v>0</v>
      </c>
    </row>
    <row r="171" spans="2:33" hidden="1" x14ac:dyDescent="0.25">
      <c r="B171" s="1" t="s">
        <v>341</v>
      </c>
      <c r="C171" s="2"/>
      <c r="D171" s="2"/>
      <c r="E171" s="2"/>
      <c r="F171" s="2"/>
      <c r="G171" s="2"/>
      <c r="H171" s="2"/>
      <c r="I171" s="2"/>
      <c r="J171" s="2"/>
      <c r="K171" s="2">
        <f t="shared" si="78"/>
        <v>0</v>
      </c>
      <c r="M171" s="1" t="s">
        <v>341</v>
      </c>
      <c r="N171" s="2"/>
      <c r="O171" s="2"/>
      <c r="P171" s="2"/>
      <c r="Q171" s="2"/>
      <c r="R171" s="2"/>
      <c r="S171" s="2"/>
      <c r="T171" s="2"/>
      <c r="U171" s="2"/>
      <c r="V171" s="2">
        <f t="shared" si="79"/>
        <v>0</v>
      </c>
      <c r="X171" s="1" t="s">
        <v>88</v>
      </c>
      <c r="Y171" s="2">
        <f t="shared" si="70"/>
        <v>0</v>
      </c>
      <c r="Z171" s="2">
        <f t="shared" si="71"/>
        <v>0</v>
      </c>
      <c r="AA171" s="2">
        <f t="shared" si="72"/>
        <v>0</v>
      </c>
      <c r="AB171" s="2">
        <f t="shared" si="73"/>
        <v>0</v>
      </c>
      <c r="AC171" s="2">
        <f t="shared" si="74"/>
        <v>0</v>
      </c>
      <c r="AD171" s="2">
        <f t="shared" si="75"/>
        <v>0</v>
      </c>
      <c r="AE171" s="2">
        <f t="shared" si="76"/>
        <v>0</v>
      </c>
      <c r="AF171" s="2">
        <f t="shared" si="77"/>
        <v>0</v>
      </c>
      <c r="AG171" s="2">
        <f t="shared" si="80"/>
        <v>0</v>
      </c>
    </row>
    <row r="172" spans="2:33" hidden="1" x14ac:dyDescent="0.25">
      <c r="B172" s="1" t="s">
        <v>340</v>
      </c>
      <c r="C172" s="2"/>
      <c r="D172" s="2"/>
      <c r="E172" s="2"/>
      <c r="F172" s="2"/>
      <c r="G172" s="2"/>
      <c r="H172" s="2"/>
      <c r="I172" s="2"/>
      <c r="J172" s="2"/>
      <c r="K172" s="2">
        <f t="shared" si="78"/>
        <v>0</v>
      </c>
      <c r="M172" s="1" t="s">
        <v>340</v>
      </c>
      <c r="N172" s="2"/>
      <c r="O172" s="2"/>
      <c r="P172" s="2"/>
      <c r="Q172" s="2"/>
      <c r="R172" s="2"/>
      <c r="S172" s="2"/>
      <c r="T172" s="2"/>
      <c r="U172" s="2"/>
      <c r="V172" s="2">
        <f t="shared" si="79"/>
        <v>0</v>
      </c>
      <c r="X172" s="1" t="s">
        <v>1</v>
      </c>
      <c r="Y172" s="2">
        <f t="shared" si="70"/>
        <v>0</v>
      </c>
      <c r="Z172" s="2">
        <f t="shared" si="71"/>
        <v>0</v>
      </c>
      <c r="AA172" s="2">
        <f t="shared" si="72"/>
        <v>0</v>
      </c>
      <c r="AB172" s="2">
        <f t="shared" si="73"/>
        <v>0</v>
      </c>
      <c r="AC172" s="2">
        <f t="shared" si="74"/>
        <v>0</v>
      </c>
      <c r="AD172" s="2">
        <f t="shared" si="75"/>
        <v>0</v>
      </c>
      <c r="AE172" s="2">
        <f t="shared" si="76"/>
        <v>0</v>
      </c>
      <c r="AF172" s="2">
        <f t="shared" si="77"/>
        <v>0</v>
      </c>
      <c r="AG172" s="2">
        <f t="shared" si="80"/>
        <v>0</v>
      </c>
    </row>
    <row r="173" spans="2:33" ht="15.75" hidden="1" thickBot="1" x14ac:dyDescent="0.3">
      <c r="C173" s="69">
        <f>SUM(C153:C172)</f>
        <v>0</v>
      </c>
      <c r="D173" s="69">
        <f t="shared" ref="D173:J173" si="81">SUM(D153:D172)</f>
        <v>0</v>
      </c>
      <c r="E173" s="69">
        <f t="shared" si="81"/>
        <v>0</v>
      </c>
      <c r="F173" s="69">
        <f t="shared" si="81"/>
        <v>0</v>
      </c>
      <c r="G173" s="69">
        <f t="shared" si="81"/>
        <v>0</v>
      </c>
      <c r="H173" s="69">
        <f t="shared" si="81"/>
        <v>0</v>
      </c>
      <c r="I173" s="69">
        <f t="shared" si="81"/>
        <v>0</v>
      </c>
      <c r="J173" s="69">
        <f t="shared" si="81"/>
        <v>0</v>
      </c>
      <c r="K173" s="69">
        <f>SUM(K153:K172)</f>
        <v>0</v>
      </c>
      <c r="N173" s="69">
        <f>SUM(N153:N172)</f>
        <v>0</v>
      </c>
      <c r="O173" s="69">
        <f t="shared" ref="O173:U173" si="82">SUM(O153:O172)</f>
        <v>0</v>
      </c>
      <c r="P173" s="69">
        <f t="shared" si="82"/>
        <v>0</v>
      </c>
      <c r="Q173" s="69">
        <f t="shared" si="82"/>
        <v>0</v>
      </c>
      <c r="R173" s="69">
        <f t="shared" si="82"/>
        <v>0</v>
      </c>
      <c r="S173" s="69">
        <f t="shared" si="82"/>
        <v>0</v>
      </c>
      <c r="T173" s="69">
        <f t="shared" si="82"/>
        <v>0</v>
      </c>
      <c r="U173" s="69">
        <f t="shared" si="82"/>
        <v>0</v>
      </c>
      <c r="V173" s="69">
        <f>SUM(V153:V172)</f>
        <v>0</v>
      </c>
      <c r="Y173" s="69">
        <f>SUM(Y153:Y172)</f>
        <v>0</v>
      </c>
      <c r="Z173" s="69">
        <f t="shared" ref="Z173:AF173" si="83">SUM(Z153:Z172)</f>
        <v>0</v>
      </c>
      <c r="AA173" s="69">
        <f t="shared" si="83"/>
        <v>0</v>
      </c>
      <c r="AB173" s="69">
        <f t="shared" si="83"/>
        <v>0</v>
      </c>
      <c r="AC173" s="69">
        <f t="shared" si="83"/>
        <v>0</v>
      </c>
      <c r="AD173" s="69">
        <f t="shared" si="83"/>
        <v>0</v>
      </c>
      <c r="AE173" s="69">
        <f t="shared" si="83"/>
        <v>0</v>
      </c>
      <c r="AF173" s="69">
        <f t="shared" si="83"/>
        <v>0</v>
      </c>
      <c r="AG173" s="69">
        <f>SUM(AG153:AG172)</f>
        <v>0</v>
      </c>
    </row>
    <row r="174" spans="2:33" hidden="1" x14ac:dyDescent="0.25"/>
    <row r="175" spans="2:33" hidden="1" x14ac:dyDescent="0.25"/>
    <row r="176" spans="2:33" hidden="1" x14ac:dyDescent="0.25">
      <c r="B176" s="71" t="s">
        <v>97</v>
      </c>
      <c r="C176" s="167">
        <f>$C$20</f>
        <v>45199</v>
      </c>
      <c r="D176" s="164"/>
      <c r="E176" s="164"/>
      <c r="F176" s="164"/>
      <c r="G176" s="164"/>
      <c r="H176" s="164"/>
      <c r="I176" s="164"/>
      <c r="J176" s="164"/>
      <c r="K176" s="164"/>
      <c r="M176" s="71" t="s">
        <v>97</v>
      </c>
      <c r="N176" s="178">
        <f>$N$20</f>
        <v>45169</v>
      </c>
      <c r="O176" s="179"/>
      <c r="P176" s="179"/>
      <c r="Q176" s="179"/>
      <c r="R176" s="179"/>
      <c r="S176" s="179"/>
      <c r="T176" s="179"/>
      <c r="U176" s="179"/>
      <c r="V176" s="179"/>
      <c r="X176" s="71" t="s">
        <v>97</v>
      </c>
      <c r="Y176" s="164" t="s">
        <v>98</v>
      </c>
      <c r="Z176" s="164"/>
      <c r="AA176" s="164"/>
      <c r="AB176" s="164"/>
      <c r="AC176" s="164"/>
      <c r="AD176" s="164"/>
      <c r="AE176" s="164"/>
      <c r="AF176" s="164"/>
      <c r="AG176" s="164"/>
    </row>
    <row r="177" spans="2:33" hidden="1" x14ac:dyDescent="0.25">
      <c r="B177" s="71" t="s">
        <v>96</v>
      </c>
      <c r="C177" s="164" t="str">
        <f>'Reimbursement Rates &lt;-INPUT'!H7</f>
        <v>Clinic 7</v>
      </c>
      <c r="D177" s="164"/>
      <c r="E177" s="164"/>
      <c r="F177" s="164"/>
      <c r="G177" s="164"/>
      <c r="H177" s="164"/>
      <c r="I177" s="164"/>
      <c r="J177" s="164"/>
      <c r="K177" s="164"/>
      <c r="M177" s="71" t="s">
        <v>96</v>
      </c>
      <c r="N177" s="164" t="str">
        <f>C177</f>
        <v>Clinic 7</v>
      </c>
      <c r="O177" s="164"/>
      <c r="P177" s="164"/>
      <c r="Q177" s="164"/>
      <c r="R177" s="164"/>
      <c r="S177" s="164"/>
      <c r="T177" s="164"/>
      <c r="U177" s="164"/>
      <c r="V177" s="164"/>
      <c r="X177" s="71" t="s">
        <v>96</v>
      </c>
      <c r="Y177" s="164" t="str">
        <f>C177</f>
        <v>Clinic 7</v>
      </c>
      <c r="Z177" s="164"/>
      <c r="AA177" s="164"/>
      <c r="AB177" s="164"/>
      <c r="AC177" s="164"/>
      <c r="AD177" s="164"/>
      <c r="AE177" s="164"/>
      <c r="AF177" s="164"/>
      <c r="AG177" s="164"/>
    </row>
    <row r="178" spans="2:33" hidden="1" x14ac:dyDescent="0.25">
      <c r="B178" s="4" t="s">
        <v>16</v>
      </c>
      <c r="C178" s="5" t="s">
        <v>15</v>
      </c>
      <c r="D178" s="5" t="s">
        <v>14</v>
      </c>
      <c r="E178" s="5" t="s">
        <v>13</v>
      </c>
      <c r="F178" s="5" t="s">
        <v>12</v>
      </c>
      <c r="G178" s="5" t="s">
        <v>94</v>
      </c>
      <c r="H178" s="5" t="s">
        <v>95</v>
      </c>
      <c r="I178" s="5" t="s">
        <v>38</v>
      </c>
      <c r="J178" s="5" t="s">
        <v>9</v>
      </c>
      <c r="K178" s="5" t="s">
        <v>80</v>
      </c>
      <c r="M178" s="4" t="s">
        <v>16</v>
      </c>
      <c r="N178" s="5" t="s">
        <v>15</v>
      </c>
      <c r="O178" s="5" t="s">
        <v>14</v>
      </c>
      <c r="P178" s="5" t="s">
        <v>13</v>
      </c>
      <c r="Q178" s="5" t="s">
        <v>12</v>
      </c>
      <c r="R178" s="5" t="s">
        <v>94</v>
      </c>
      <c r="S178" s="5" t="s">
        <v>95</v>
      </c>
      <c r="T178" s="5" t="s">
        <v>38</v>
      </c>
      <c r="U178" s="5" t="s">
        <v>9</v>
      </c>
      <c r="V178" s="5" t="s">
        <v>80</v>
      </c>
      <c r="X178" s="4" t="s">
        <v>16</v>
      </c>
      <c r="Y178" s="5" t="s">
        <v>15</v>
      </c>
      <c r="Z178" s="5" t="s">
        <v>14</v>
      </c>
      <c r="AA178" s="5" t="s">
        <v>13</v>
      </c>
      <c r="AB178" s="5" t="s">
        <v>12</v>
      </c>
      <c r="AC178" s="5" t="s">
        <v>94</v>
      </c>
      <c r="AD178" s="5" t="s">
        <v>95</v>
      </c>
      <c r="AE178" s="5" t="s">
        <v>38</v>
      </c>
      <c r="AF178" s="5" t="s">
        <v>9</v>
      </c>
      <c r="AG178" s="5" t="s">
        <v>80</v>
      </c>
    </row>
    <row r="179" spans="2:33" hidden="1" x14ac:dyDescent="0.25">
      <c r="B179" s="1" t="s">
        <v>335</v>
      </c>
      <c r="C179" s="2"/>
      <c r="D179" s="2"/>
      <c r="E179" s="2"/>
      <c r="F179" s="2"/>
      <c r="G179" s="2"/>
      <c r="H179" s="2"/>
      <c r="I179" s="2"/>
      <c r="J179" s="2"/>
      <c r="K179" s="2">
        <f>SUM(C179:J179)</f>
        <v>0</v>
      </c>
      <c r="M179" s="1" t="s">
        <v>335</v>
      </c>
      <c r="N179" s="2"/>
      <c r="O179" s="2"/>
      <c r="P179" s="2"/>
      <c r="Q179" s="2"/>
      <c r="R179" s="2"/>
      <c r="S179" s="2"/>
      <c r="T179" s="2"/>
      <c r="U179" s="2"/>
      <c r="V179" s="2">
        <f>SUM(N179:U179)</f>
        <v>0</v>
      </c>
      <c r="X179" s="1" t="s">
        <v>49</v>
      </c>
      <c r="Y179" s="2">
        <f t="shared" ref="Y179:Y198" si="84">C179-N179</f>
        <v>0</v>
      </c>
      <c r="Z179" s="2">
        <f t="shared" ref="Z179:Z198" si="85">D179-O179</f>
        <v>0</v>
      </c>
      <c r="AA179" s="2">
        <f t="shared" ref="AA179:AA198" si="86">E179-P179</f>
        <v>0</v>
      </c>
      <c r="AB179" s="2">
        <f t="shared" ref="AB179:AB198" si="87">F179-Q179</f>
        <v>0</v>
      </c>
      <c r="AC179" s="2">
        <f t="shared" ref="AC179:AC198" si="88">G179-R179</f>
        <v>0</v>
      </c>
      <c r="AD179" s="2">
        <f t="shared" ref="AD179:AD198" si="89">H179-S179</f>
        <v>0</v>
      </c>
      <c r="AE179" s="2">
        <f t="shared" ref="AE179:AE198" si="90">I179-T179</f>
        <v>0</v>
      </c>
      <c r="AF179" s="2">
        <f t="shared" ref="AF179:AF198" si="91">J179-U179</f>
        <v>0</v>
      </c>
      <c r="AG179" s="2">
        <f>SUM(Y179:AF179)</f>
        <v>0</v>
      </c>
    </row>
    <row r="180" spans="2:33" hidden="1" x14ac:dyDescent="0.25">
      <c r="B180" s="1" t="s">
        <v>8</v>
      </c>
      <c r="C180" s="2"/>
      <c r="D180" s="2"/>
      <c r="E180" s="2"/>
      <c r="F180" s="2"/>
      <c r="G180" s="2"/>
      <c r="H180" s="2"/>
      <c r="I180" s="2"/>
      <c r="J180" s="2"/>
      <c r="K180" s="2">
        <f t="shared" ref="K180:K198" si="92">SUM(C180:J180)</f>
        <v>0</v>
      </c>
      <c r="M180" s="1" t="s">
        <v>8</v>
      </c>
      <c r="N180" s="2"/>
      <c r="O180" s="2"/>
      <c r="P180" s="2"/>
      <c r="Q180" s="2"/>
      <c r="R180" s="2"/>
      <c r="S180" s="2"/>
      <c r="T180" s="2"/>
      <c r="U180" s="2"/>
      <c r="V180" s="2">
        <f t="shared" ref="V180:V198" si="93">SUM(N180:U180)</f>
        <v>0</v>
      </c>
      <c r="X180" s="1" t="s">
        <v>8</v>
      </c>
      <c r="Y180" s="2">
        <f t="shared" si="84"/>
        <v>0</v>
      </c>
      <c r="Z180" s="2">
        <f t="shared" si="85"/>
        <v>0</v>
      </c>
      <c r="AA180" s="2">
        <f t="shared" si="86"/>
        <v>0</v>
      </c>
      <c r="AB180" s="2">
        <f t="shared" si="87"/>
        <v>0</v>
      </c>
      <c r="AC180" s="2">
        <f t="shared" si="88"/>
        <v>0</v>
      </c>
      <c r="AD180" s="2">
        <f t="shared" si="89"/>
        <v>0</v>
      </c>
      <c r="AE180" s="2">
        <f t="shared" si="90"/>
        <v>0</v>
      </c>
      <c r="AF180" s="2">
        <f t="shared" si="91"/>
        <v>0</v>
      </c>
      <c r="AG180" s="2">
        <f t="shared" ref="AG180:AG198" si="94">SUM(Y180:AF180)</f>
        <v>0</v>
      </c>
    </row>
    <row r="181" spans="2:33" hidden="1" x14ac:dyDescent="0.25">
      <c r="B181" s="1" t="s">
        <v>336</v>
      </c>
      <c r="C181" s="2"/>
      <c r="D181" s="2"/>
      <c r="E181" s="2"/>
      <c r="F181" s="2"/>
      <c r="G181" s="2"/>
      <c r="H181" s="2"/>
      <c r="I181" s="2"/>
      <c r="J181" s="2"/>
      <c r="K181" s="2">
        <f t="shared" si="92"/>
        <v>0</v>
      </c>
      <c r="M181" s="1" t="s">
        <v>336</v>
      </c>
      <c r="N181" s="2"/>
      <c r="O181" s="2"/>
      <c r="P181" s="2"/>
      <c r="Q181" s="2"/>
      <c r="R181" s="2"/>
      <c r="S181" s="2"/>
      <c r="T181" s="2"/>
      <c r="U181" s="2"/>
      <c r="V181" s="2">
        <f t="shared" si="93"/>
        <v>0</v>
      </c>
      <c r="X181" s="1" t="s">
        <v>7</v>
      </c>
      <c r="Y181" s="2">
        <f t="shared" si="84"/>
        <v>0</v>
      </c>
      <c r="Z181" s="2">
        <f t="shared" si="85"/>
        <v>0</v>
      </c>
      <c r="AA181" s="2">
        <f t="shared" si="86"/>
        <v>0</v>
      </c>
      <c r="AB181" s="2">
        <f t="shared" si="87"/>
        <v>0</v>
      </c>
      <c r="AC181" s="2">
        <f t="shared" si="88"/>
        <v>0</v>
      </c>
      <c r="AD181" s="2">
        <f t="shared" si="89"/>
        <v>0</v>
      </c>
      <c r="AE181" s="2">
        <f t="shared" si="90"/>
        <v>0</v>
      </c>
      <c r="AF181" s="2">
        <f t="shared" si="91"/>
        <v>0</v>
      </c>
      <c r="AG181" s="2">
        <f t="shared" si="94"/>
        <v>0</v>
      </c>
    </row>
    <row r="182" spans="2:33" hidden="1" x14ac:dyDescent="0.25">
      <c r="B182" s="1" t="s">
        <v>42</v>
      </c>
      <c r="C182" s="2"/>
      <c r="D182" s="2"/>
      <c r="E182" s="2"/>
      <c r="F182" s="2"/>
      <c r="G182" s="2"/>
      <c r="H182" s="2"/>
      <c r="I182" s="2"/>
      <c r="J182" s="2"/>
      <c r="K182" s="2">
        <f t="shared" si="92"/>
        <v>0</v>
      </c>
      <c r="M182" s="1" t="s">
        <v>42</v>
      </c>
      <c r="N182" s="2"/>
      <c r="O182" s="2"/>
      <c r="P182" s="2"/>
      <c r="Q182" s="2"/>
      <c r="R182" s="2"/>
      <c r="S182" s="2"/>
      <c r="T182" s="2"/>
      <c r="U182" s="2"/>
      <c r="V182" s="2">
        <f t="shared" si="93"/>
        <v>0</v>
      </c>
      <c r="X182" s="1" t="s">
        <v>42</v>
      </c>
      <c r="Y182" s="2">
        <f t="shared" si="84"/>
        <v>0</v>
      </c>
      <c r="Z182" s="2">
        <f t="shared" si="85"/>
        <v>0</v>
      </c>
      <c r="AA182" s="2">
        <f t="shared" si="86"/>
        <v>0</v>
      </c>
      <c r="AB182" s="2">
        <f t="shared" si="87"/>
        <v>0</v>
      </c>
      <c r="AC182" s="2">
        <f t="shared" si="88"/>
        <v>0</v>
      </c>
      <c r="AD182" s="2">
        <f t="shared" si="89"/>
        <v>0</v>
      </c>
      <c r="AE182" s="2">
        <f t="shared" si="90"/>
        <v>0</v>
      </c>
      <c r="AF182" s="2">
        <f t="shared" si="91"/>
        <v>0</v>
      </c>
      <c r="AG182" s="2">
        <f t="shared" si="94"/>
        <v>0</v>
      </c>
    </row>
    <row r="183" spans="2:33" hidden="1" x14ac:dyDescent="0.25">
      <c r="B183" s="1" t="s">
        <v>6</v>
      </c>
      <c r="C183" s="2"/>
      <c r="D183" s="2"/>
      <c r="E183" s="2"/>
      <c r="F183" s="2"/>
      <c r="G183" s="2"/>
      <c r="H183" s="2"/>
      <c r="I183" s="2"/>
      <c r="J183" s="2"/>
      <c r="K183" s="2">
        <f t="shared" si="92"/>
        <v>0</v>
      </c>
      <c r="M183" s="1" t="s">
        <v>6</v>
      </c>
      <c r="N183" s="2"/>
      <c r="O183" s="2"/>
      <c r="P183" s="2"/>
      <c r="Q183" s="2"/>
      <c r="R183" s="2"/>
      <c r="S183" s="2"/>
      <c r="T183" s="2"/>
      <c r="U183" s="2"/>
      <c r="V183" s="2">
        <f t="shared" si="93"/>
        <v>0</v>
      </c>
      <c r="X183" s="1" t="s">
        <v>6</v>
      </c>
      <c r="Y183" s="2">
        <f t="shared" si="84"/>
        <v>0</v>
      </c>
      <c r="Z183" s="2">
        <f t="shared" si="85"/>
        <v>0</v>
      </c>
      <c r="AA183" s="2">
        <f t="shared" si="86"/>
        <v>0</v>
      </c>
      <c r="AB183" s="2">
        <f t="shared" si="87"/>
        <v>0</v>
      </c>
      <c r="AC183" s="2">
        <f t="shared" si="88"/>
        <v>0</v>
      </c>
      <c r="AD183" s="2">
        <f t="shared" si="89"/>
        <v>0</v>
      </c>
      <c r="AE183" s="2">
        <f t="shared" si="90"/>
        <v>0</v>
      </c>
      <c r="AF183" s="2">
        <f t="shared" si="91"/>
        <v>0</v>
      </c>
      <c r="AG183" s="2">
        <f t="shared" si="94"/>
        <v>0</v>
      </c>
    </row>
    <row r="184" spans="2:33" hidden="1" x14ac:dyDescent="0.25">
      <c r="B184" s="1" t="s">
        <v>90</v>
      </c>
      <c r="C184" s="2"/>
      <c r="D184" s="2"/>
      <c r="E184" s="2"/>
      <c r="F184" s="2"/>
      <c r="G184" s="2"/>
      <c r="H184" s="2"/>
      <c r="I184" s="2"/>
      <c r="J184" s="2"/>
      <c r="K184" s="2">
        <f t="shared" si="92"/>
        <v>0</v>
      </c>
      <c r="M184" s="1" t="s">
        <v>90</v>
      </c>
      <c r="N184" s="2"/>
      <c r="O184" s="2"/>
      <c r="P184" s="2"/>
      <c r="Q184" s="2"/>
      <c r="R184" s="2"/>
      <c r="S184" s="2"/>
      <c r="T184" s="2"/>
      <c r="U184" s="2"/>
      <c r="V184" s="2">
        <f t="shared" si="93"/>
        <v>0</v>
      </c>
      <c r="X184" s="1" t="s">
        <v>90</v>
      </c>
      <c r="Y184" s="2">
        <f t="shared" si="84"/>
        <v>0</v>
      </c>
      <c r="Z184" s="2">
        <f t="shared" si="85"/>
        <v>0</v>
      </c>
      <c r="AA184" s="2">
        <f t="shared" si="86"/>
        <v>0</v>
      </c>
      <c r="AB184" s="2">
        <f t="shared" si="87"/>
        <v>0</v>
      </c>
      <c r="AC184" s="2">
        <f t="shared" si="88"/>
        <v>0</v>
      </c>
      <c r="AD184" s="2">
        <f t="shared" si="89"/>
        <v>0</v>
      </c>
      <c r="AE184" s="2">
        <f t="shared" si="90"/>
        <v>0</v>
      </c>
      <c r="AF184" s="2">
        <f t="shared" si="91"/>
        <v>0</v>
      </c>
      <c r="AG184" s="2">
        <f t="shared" si="94"/>
        <v>0</v>
      </c>
    </row>
    <row r="185" spans="2:33" hidden="1" x14ac:dyDescent="0.25">
      <c r="B185" s="1" t="s">
        <v>342</v>
      </c>
      <c r="C185" s="2"/>
      <c r="D185" s="2"/>
      <c r="E185" s="2"/>
      <c r="F185" s="2"/>
      <c r="G185" s="2"/>
      <c r="H185" s="2"/>
      <c r="I185" s="2"/>
      <c r="J185" s="2"/>
      <c r="K185" s="2">
        <f t="shared" si="92"/>
        <v>0</v>
      </c>
      <c r="M185" s="1" t="s">
        <v>342</v>
      </c>
      <c r="N185" s="2"/>
      <c r="O185" s="2"/>
      <c r="P185" s="2"/>
      <c r="Q185" s="2"/>
      <c r="R185" s="2"/>
      <c r="S185" s="2"/>
      <c r="T185" s="2"/>
      <c r="U185" s="2"/>
      <c r="V185" s="2">
        <f t="shared" si="93"/>
        <v>0</v>
      </c>
      <c r="X185" s="1" t="s">
        <v>50</v>
      </c>
      <c r="Y185" s="2">
        <f t="shared" si="84"/>
        <v>0</v>
      </c>
      <c r="Z185" s="2">
        <f t="shared" si="85"/>
        <v>0</v>
      </c>
      <c r="AA185" s="2">
        <f t="shared" si="86"/>
        <v>0</v>
      </c>
      <c r="AB185" s="2">
        <f t="shared" si="87"/>
        <v>0</v>
      </c>
      <c r="AC185" s="2">
        <f t="shared" si="88"/>
        <v>0</v>
      </c>
      <c r="AD185" s="2">
        <f t="shared" si="89"/>
        <v>0</v>
      </c>
      <c r="AE185" s="2">
        <f t="shared" si="90"/>
        <v>0</v>
      </c>
      <c r="AF185" s="2">
        <f t="shared" si="91"/>
        <v>0</v>
      </c>
      <c r="AG185" s="2">
        <f t="shared" si="94"/>
        <v>0</v>
      </c>
    </row>
    <row r="186" spans="2:33" hidden="1" x14ac:dyDescent="0.25">
      <c r="B186" s="1" t="s">
        <v>89</v>
      </c>
      <c r="C186" s="2"/>
      <c r="D186" s="2"/>
      <c r="E186" s="2"/>
      <c r="F186" s="2"/>
      <c r="G186" s="2"/>
      <c r="H186" s="2"/>
      <c r="I186" s="2"/>
      <c r="J186" s="2"/>
      <c r="K186" s="2">
        <f t="shared" si="92"/>
        <v>0</v>
      </c>
      <c r="M186" s="1" t="s">
        <v>89</v>
      </c>
      <c r="N186" s="2"/>
      <c r="O186" s="2"/>
      <c r="P186" s="2"/>
      <c r="Q186" s="2"/>
      <c r="R186" s="2"/>
      <c r="S186" s="2"/>
      <c r="T186" s="2"/>
      <c r="U186" s="2"/>
      <c r="V186" s="2">
        <f t="shared" si="93"/>
        <v>0</v>
      </c>
      <c r="X186" s="1" t="s">
        <v>89</v>
      </c>
      <c r="Y186" s="2">
        <f t="shared" si="84"/>
        <v>0</v>
      </c>
      <c r="Z186" s="2">
        <f t="shared" si="85"/>
        <v>0</v>
      </c>
      <c r="AA186" s="2">
        <f t="shared" si="86"/>
        <v>0</v>
      </c>
      <c r="AB186" s="2">
        <f t="shared" si="87"/>
        <v>0</v>
      </c>
      <c r="AC186" s="2">
        <f t="shared" si="88"/>
        <v>0</v>
      </c>
      <c r="AD186" s="2">
        <f t="shared" si="89"/>
        <v>0</v>
      </c>
      <c r="AE186" s="2">
        <f t="shared" si="90"/>
        <v>0</v>
      </c>
      <c r="AF186" s="2">
        <f t="shared" si="91"/>
        <v>0</v>
      </c>
      <c r="AG186" s="2">
        <f t="shared" si="94"/>
        <v>0</v>
      </c>
    </row>
    <row r="187" spans="2:33" hidden="1" x14ac:dyDescent="0.25">
      <c r="B187" s="1" t="s">
        <v>5</v>
      </c>
      <c r="C187" s="2"/>
      <c r="D187" s="2"/>
      <c r="E187" s="2"/>
      <c r="F187" s="2"/>
      <c r="G187" s="2"/>
      <c r="H187" s="2"/>
      <c r="I187" s="2"/>
      <c r="J187" s="2"/>
      <c r="K187" s="2">
        <f t="shared" si="92"/>
        <v>0</v>
      </c>
      <c r="M187" s="1" t="s">
        <v>5</v>
      </c>
      <c r="N187" s="2"/>
      <c r="O187" s="2"/>
      <c r="P187" s="2"/>
      <c r="Q187" s="2"/>
      <c r="R187" s="2"/>
      <c r="S187" s="2"/>
      <c r="T187" s="2"/>
      <c r="U187" s="2"/>
      <c r="V187" s="2">
        <f t="shared" si="93"/>
        <v>0</v>
      </c>
      <c r="X187" s="1" t="s">
        <v>5</v>
      </c>
      <c r="Y187" s="2">
        <f t="shared" si="84"/>
        <v>0</v>
      </c>
      <c r="Z187" s="2">
        <f t="shared" si="85"/>
        <v>0</v>
      </c>
      <c r="AA187" s="2">
        <f t="shared" si="86"/>
        <v>0</v>
      </c>
      <c r="AB187" s="2">
        <f t="shared" si="87"/>
        <v>0</v>
      </c>
      <c r="AC187" s="2">
        <f t="shared" si="88"/>
        <v>0</v>
      </c>
      <c r="AD187" s="2">
        <f t="shared" si="89"/>
        <v>0</v>
      </c>
      <c r="AE187" s="2">
        <f t="shared" si="90"/>
        <v>0</v>
      </c>
      <c r="AF187" s="2">
        <f t="shared" si="91"/>
        <v>0</v>
      </c>
      <c r="AG187" s="2">
        <f t="shared" si="94"/>
        <v>0</v>
      </c>
    </row>
    <row r="188" spans="2:33" hidden="1" x14ac:dyDescent="0.25">
      <c r="B188" s="1" t="s">
        <v>84</v>
      </c>
      <c r="C188" s="2"/>
      <c r="D188" s="2"/>
      <c r="E188" s="2"/>
      <c r="F188" s="2"/>
      <c r="G188" s="2"/>
      <c r="H188" s="2"/>
      <c r="I188" s="2"/>
      <c r="J188" s="2"/>
      <c r="K188" s="2">
        <f t="shared" si="92"/>
        <v>0</v>
      </c>
      <c r="M188" s="1" t="s">
        <v>84</v>
      </c>
      <c r="N188" s="2"/>
      <c r="O188" s="2"/>
      <c r="P188" s="2"/>
      <c r="Q188" s="2"/>
      <c r="R188" s="2"/>
      <c r="S188" s="2"/>
      <c r="T188" s="2"/>
      <c r="U188" s="2"/>
      <c r="V188" s="2">
        <f t="shared" si="93"/>
        <v>0</v>
      </c>
      <c r="X188" s="1" t="s">
        <v>84</v>
      </c>
      <c r="Y188" s="2">
        <f t="shared" si="84"/>
        <v>0</v>
      </c>
      <c r="Z188" s="2">
        <f t="shared" si="85"/>
        <v>0</v>
      </c>
      <c r="AA188" s="2">
        <f t="shared" si="86"/>
        <v>0</v>
      </c>
      <c r="AB188" s="2">
        <f t="shared" si="87"/>
        <v>0</v>
      </c>
      <c r="AC188" s="2">
        <f t="shared" si="88"/>
        <v>0</v>
      </c>
      <c r="AD188" s="2">
        <f t="shared" si="89"/>
        <v>0</v>
      </c>
      <c r="AE188" s="2">
        <f t="shared" si="90"/>
        <v>0</v>
      </c>
      <c r="AF188" s="2">
        <f t="shared" si="91"/>
        <v>0</v>
      </c>
      <c r="AG188" s="2">
        <f t="shared" si="94"/>
        <v>0</v>
      </c>
    </row>
    <row r="189" spans="2:33" hidden="1" x14ac:dyDescent="0.25">
      <c r="B189" s="1" t="s">
        <v>4</v>
      </c>
      <c r="C189" s="2"/>
      <c r="D189" s="2"/>
      <c r="E189" s="2"/>
      <c r="F189" s="2"/>
      <c r="G189" s="2"/>
      <c r="H189" s="2"/>
      <c r="I189" s="2"/>
      <c r="J189" s="2"/>
      <c r="K189" s="2">
        <f t="shared" si="92"/>
        <v>0</v>
      </c>
      <c r="M189" s="1" t="s">
        <v>4</v>
      </c>
      <c r="N189" s="2"/>
      <c r="O189" s="2"/>
      <c r="P189" s="2"/>
      <c r="Q189" s="2"/>
      <c r="R189" s="2"/>
      <c r="S189" s="2"/>
      <c r="T189" s="2"/>
      <c r="U189" s="2"/>
      <c r="V189" s="2">
        <f t="shared" si="93"/>
        <v>0</v>
      </c>
      <c r="X189" s="1" t="s">
        <v>4</v>
      </c>
      <c r="Y189" s="2">
        <f t="shared" si="84"/>
        <v>0</v>
      </c>
      <c r="Z189" s="2">
        <f t="shared" si="85"/>
        <v>0</v>
      </c>
      <c r="AA189" s="2">
        <f t="shared" si="86"/>
        <v>0</v>
      </c>
      <c r="AB189" s="2">
        <f t="shared" si="87"/>
        <v>0</v>
      </c>
      <c r="AC189" s="2">
        <f t="shared" si="88"/>
        <v>0</v>
      </c>
      <c r="AD189" s="2">
        <f t="shared" si="89"/>
        <v>0</v>
      </c>
      <c r="AE189" s="2">
        <f t="shared" si="90"/>
        <v>0</v>
      </c>
      <c r="AF189" s="2">
        <f t="shared" si="91"/>
        <v>0</v>
      </c>
      <c r="AG189" s="2">
        <f t="shared" si="94"/>
        <v>0</v>
      </c>
    </row>
    <row r="190" spans="2:33" hidden="1" x14ac:dyDescent="0.25">
      <c r="B190" s="1" t="s">
        <v>51</v>
      </c>
      <c r="C190" s="2"/>
      <c r="D190" s="2"/>
      <c r="E190" s="2"/>
      <c r="F190" s="2"/>
      <c r="G190" s="2"/>
      <c r="H190" s="2"/>
      <c r="I190" s="2"/>
      <c r="J190" s="2"/>
      <c r="K190" s="2">
        <f t="shared" si="92"/>
        <v>0</v>
      </c>
      <c r="M190" s="1" t="s">
        <v>51</v>
      </c>
      <c r="N190" s="2"/>
      <c r="O190" s="2"/>
      <c r="P190" s="2"/>
      <c r="Q190" s="2"/>
      <c r="R190" s="2"/>
      <c r="S190" s="2"/>
      <c r="T190" s="2"/>
      <c r="U190" s="2"/>
      <c r="V190" s="2">
        <f t="shared" si="93"/>
        <v>0</v>
      </c>
      <c r="X190" s="1" t="s">
        <v>51</v>
      </c>
      <c r="Y190" s="2">
        <f t="shared" si="84"/>
        <v>0</v>
      </c>
      <c r="Z190" s="2">
        <f t="shared" si="85"/>
        <v>0</v>
      </c>
      <c r="AA190" s="2">
        <f t="shared" si="86"/>
        <v>0</v>
      </c>
      <c r="AB190" s="2">
        <f t="shared" si="87"/>
        <v>0</v>
      </c>
      <c r="AC190" s="2">
        <f t="shared" si="88"/>
        <v>0</v>
      </c>
      <c r="AD190" s="2">
        <f t="shared" si="89"/>
        <v>0</v>
      </c>
      <c r="AE190" s="2">
        <f t="shared" si="90"/>
        <v>0</v>
      </c>
      <c r="AF190" s="2">
        <f t="shared" si="91"/>
        <v>0</v>
      </c>
      <c r="AG190" s="2">
        <f t="shared" si="94"/>
        <v>0</v>
      </c>
    </row>
    <row r="191" spans="2:33" hidden="1" x14ac:dyDescent="0.25">
      <c r="B191" s="1" t="s">
        <v>87</v>
      </c>
      <c r="C191" s="2"/>
      <c r="D191" s="2"/>
      <c r="E191" s="2"/>
      <c r="F191" s="2"/>
      <c r="G191" s="2"/>
      <c r="H191" s="2"/>
      <c r="I191" s="2"/>
      <c r="J191" s="2"/>
      <c r="K191" s="2">
        <f t="shared" si="92"/>
        <v>0</v>
      </c>
      <c r="M191" s="1" t="s">
        <v>87</v>
      </c>
      <c r="N191" s="2"/>
      <c r="O191" s="2"/>
      <c r="P191" s="2"/>
      <c r="Q191" s="2"/>
      <c r="R191" s="2"/>
      <c r="S191" s="2"/>
      <c r="T191" s="2"/>
      <c r="U191" s="2"/>
      <c r="V191" s="2">
        <f t="shared" si="93"/>
        <v>0</v>
      </c>
      <c r="X191" s="1" t="s">
        <v>87</v>
      </c>
      <c r="Y191" s="2">
        <f t="shared" si="84"/>
        <v>0</v>
      </c>
      <c r="Z191" s="2">
        <f t="shared" si="85"/>
        <v>0</v>
      </c>
      <c r="AA191" s="2">
        <f t="shared" si="86"/>
        <v>0</v>
      </c>
      <c r="AB191" s="2">
        <f t="shared" si="87"/>
        <v>0</v>
      </c>
      <c r="AC191" s="2">
        <f t="shared" si="88"/>
        <v>0</v>
      </c>
      <c r="AD191" s="2">
        <f t="shared" si="89"/>
        <v>0</v>
      </c>
      <c r="AE191" s="2">
        <f t="shared" si="90"/>
        <v>0</v>
      </c>
      <c r="AF191" s="2">
        <f t="shared" si="91"/>
        <v>0</v>
      </c>
      <c r="AG191" s="2">
        <f t="shared" si="94"/>
        <v>0</v>
      </c>
    </row>
    <row r="192" spans="2:33" hidden="1" x14ac:dyDescent="0.25">
      <c r="B192" s="1" t="s">
        <v>85</v>
      </c>
      <c r="C192" s="2"/>
      <c r="D192" s="2"/>
      <c r="E192" s="2"/>
      <c r="F192" s="2"/>
      <c r="G192" s="2"/>
      <c r="H192" s="2"/>
      <c r="I192" s="2"/>
      <c r="J192" s="2"/>
      <c r="K192" s="2">
        <f t="shared" si="92"/>
        <v>0</v>
      </c>
      <c r="M192" s="1" t="s">
        <v>85</v>
      </c>
      <c r="N192" s="2"/>
      <c r="O192" s="2"/>
      <c r="P192" s="2"/>
      <c r="Q192" s="2"/>
      <c r="R192" s="2"/>
      <c r="S192" s="2"/>
      <c r="T192" s="2"/>
      <c r="U192" s="2"/>
      <c r="V192" s="2">
        <f t="shared" si="93"/>
        <v>0</v>
      </c>
      <c r="X192" s="1" t="s">
        <v>85</v>
      </c>
      <c r="Y192" s="2">
        <f t="shared" si="84"/>
        <v>0</v>
      </c>
      <c r="Z192" s="2">
        <f t="shared" si="85"/>
        <v>0</v>
      </c>
      <c r="AA192" s="2">
        <f t="shared" si="86"/>
        <v>0</v>
      </c>
      <c r="AB192" s="2">
        <f t="shared" si="87"/>
        <v>0</v>
      </c>
      <c r="AC192" s="2">
        <f t="shared" si="88"/>
        <v>0</v>
      </c>
      <c r="AD192" s="2">
        <f t="shared" si="89"/>
        <v>0</v>
      </c>
      <c r="AE192" s="2">
        <f t="shared" si="90"/>
        <v>0</v>
      </c>
      <c r="AF192" s="2">
        <f t="shared" si="91"/>
        <v>0</v>
      </c>
      <c r="AG192" s="2">
        <f t="shared" si="94"/>
        <v>0</v>
      </c>
    </row>
    <row r="193" spans="2:33" hidden="1" x14ac:dyDescent="0.25">
      <c r="B193" s="1" t="s">
        <v>2</v>
      </c>
      <c r="C193" s="2"/>
      <c r="D193" s="2"/>
      <c r="E193" s="2"/>
      <c r="F193" s="2"/>
      <c r="G193" s="2"/>
      <c r="H193" s="2"/>
      <c r="I193" s="2"/>
      <c r="J193" s="2"/>
      <c r="K193" s="2">
        <f t="shared" si="92"/>
        <v>0</v>
      </c>
      <c r="M193" s="1" t="s">
        <v>2</v>
      </c>
      <c r="N193" s="2"/>
      <c r="O193" s="2"/>
      <c r="P193" s="2"/>
      <c r="Q193" s="2"/>
      <c r="R193" s="2"/>
      <c r="S193" s="2"/>
      <c r="T193" s="2"/>
      <c r="U193" s="2"/>
      <c r="V193" s="2">
        <f t="shared" si="93"/>
        <v>0</v>
      </c>
      <c r="X193" s="1" t="s">
        <v>2</v>
      </c>
      <c r="Y193" s="2">
        <f t="shared" si="84"/>
        <v>0</v>
      </c>
      <c r="Z193" s="2">
        <f t="shared" si="85"/>
        <v>0</v>
      </c>
      <c r="AA193" s="2">
        <f t="shared" si="86"/>
        <v>0</v>
      </c>
      <c r="AB193" s="2">
        <f t="shared" si="87"/>
        <v>0</v>
      </c>
      <c r="AC193" s="2">
        <f t="shared" si="88"/>
        <v>0</v>
      </c>
      <c r="AD193" s="2">
        <f t="shared" si="89"/>
        <v>0</v>
      </c>
      <c r="AE193" s="2">
        <f t="shared" si="90"/>
        <v>0</v>
      </c>
      <c r="AF193" s="2">
        <f t="shared" si="91"/>
        <v>0</v>
      </c>
      <c r="AG193" s="2">
        <f t="shared" si="94"/>
        <v>0</v>
      </c>
    </row>
    <row r="194" spans="2:33" hidden="1" x14ac:dyDescent="0.25">
      <c r="B194" s="1" t="s">
        <v>86</v>
      </c>
      <c r="C194" s="2"/>
      <c r="D194" s="2"/>
      <c r="E194" s="2"/>
      <c r="F194" s="2"/>
      <c r="G194" s="2"/>
      <c r="H194" s="2"/>
      <c r="I194" s="2"/>
      <c r="J194" s="2"/>
      <c r="K194" s="2">
        <f t="shared" si="92"/>
        <v>0</v>
      </c>
      <c r="M194" s="1" t="s">
        <v>86</v>
      </c>
      <c r="N194" s="2"/>
      <c r="O194" s="2"/>
      <c r="P194" s="2"/>
      <c r="Q194" s="2"/>
      <c r="R194" s="2"/>
      <c r="S194" s="2"/>
      <c r="T194" s="2"/>
      <c r="U194" s="2"/>
      <c r="V194" s="2">
        <f t="shared" si="93"/>
        <v>0</v>
      </c>
      <c r="X194" s="1" t="s">
        <v>86</v>
      </c>
      <c r="Y194" s="2">
        <f t="shared" si="84"/>
        <v>0</v>
      </c>
      <c r="Z194" s="2">
        <f t="shared" si="85"/>
        <v>0</v>
      </c>
      <c r="AA194" s="2">
        <f t="shared" si="86"/>
        <v>0</v>
      </c>
      <c r="AB194" s="2">
        <f t="shared" si="87"/>
        <v>0</v>
      </c>
      <c r="AC194" s="2">
        <f t="shared" si="88"/>
        <v>0</v>
      </c>
      <c r="AD194" s="2">
        <f t="shared" si="89"/>
        <v>0</v>
      </c>
      <c r="AE194" s="2">
        <f t="shared" si="90"/>
        <v>0</v>
      </c>
      <c r="AF194" s="2">
        <f t="shared" si="91"/>
        <v>0</v>
      </c>
      <c r="AG194" s="2">
        <f t="shared" si="94"/>
        <v>0</v>
      </c>
    </row>
    <row r="195" spans="2:33" hidden="1" x14ac:dyDescent="0.25">
      <c r="B195" s="1" t="s">
        <v>29</v>
      </c>
      <c r="C195" s="2"/>
      <c r="D195" s="2"/>
      <c r="E195" s="2"/>
      <c r="F195" s="2"/>
      <c r="G195" s="2"/>
      <c r="H195" s="2"/>
      <c r="I195" s="2"/>
      <c r="J195" s="2"/>
      <c r="K195" s="2">
        <f t="shared" si="92"/>
        <v>0</v>
      </c>
      <c r="M195" s="1" t="s">
        <v>29</v>
      </c>
      <c r="N195" s="2"/>
      <c r="O195" s="2"/>
      <c r="P195" s="2"/>
      <c r="Q195" s="2"/>
      <c r="R195" s="2"/>
      <c r="S195" s="2"/>
      <c r="T195" s="2"/>
      <c r="U195" s="2"/>
      <c r="V195" s="2">
        <f t="shared" si="93"/>
        <v>0</v>
      </c>
      <c r="X195" s="1" t="s">
        <v>29</v>
      </c>
      <c r="Y195" s="2">
        <f t="shared" si="84"/>
        <v>0</v>
      </c>
      <c r="Z195" s="2">
        <f t="shared" si="85"/>
        <v>0</v>
      </c>
      <c r="AA195" s="2">
        <f t="shared" si="86"/>
        <v>0</v>
      </c>
      <c r="AB195" s="2">
        <f t="shared" si="87"/>
        <v>0</v>
      </c>
      <c r="AC195" s="2">
        <f t="shared" si="88"/>
        <v>0</v>
      </c>
      <c r="AD195" s="2">
        <f t="shared" si="89"/>
        <v>0</v>
      </c>
      <c r="AE195" s="2">
        <f t="shared" si="90"/>
        <v>0</v>
      </c>
      <c r="AF195" s="2">
        <f t="shared" si="91"/>
        <v>0</v>
      </c>
      <c r="AG195" s="2">
        <f t="shared" si="94"/>
        <v>0</v>
      </c>
    </row>
    <row r="196" spans="2:33" hidden="1" x14ac:dyDescent="0.25">
      <c r="B196" s="1" t="s">
        <v>88</v>
      </c>
      <c r="C196" s="2"/>
      <c r="D196" s="2"/>
      <c r="E196" s="2"/>
      <c r="F196" s="2"/>
      <c r="G196" s="2"/>
      <c r="H196" s="2"/>
      <c r="I196" s="2"/>
      <c r="J196" s="2"/>
      <c r="K196" s="2">
        <f t="shared" si="92"/>
        <v>0</v>
      </c>
      <c r="M196" s="1" t="s">
        <v>88</v>
      </c>
      <c r="N196" s="2"/>
      <c r="O196" s="2"/>
      <c r="P196" s="2"/>
      <c r="Q196" s="2"/>
      <c r="R196" s="2"/>
      <c r="S196" s="2"/>
      <c r="T196" s="2"/>
      <c r="U196" s="2"/>
      <c r="V196" s="2">
        <f t="shared" si="93"/>
        <v>0</v>
      </c>
      <c r="X196" s="1" t="s">
        <v>52</v>
      </c>
      <c r="Y196" s="2">
        <f t="shared" si="84"/>
        <v>0</v>
      </c>
      <c r="Z196" s="2">
        <f t="shared" si="85"/>
        <v>0</v>
      </c>
      <c r="AA196" s="2">
        <f t="shared" si="86"/>
        <v>0</v>
      </c>
      <c r="AB196" s="2">
        <f t="shared" si="87"/>
        <v>0</v>
      </c>
      <c r="AC196" s="2">
        <f t="shared" si="88"/>
        <v>0</v>
      </c>
      <c r="AD196" s="2">
        <f t="shared" si="89"/>
        <v>0</v>
      </c>
      <c r="AE196" s="2">
        <f t="shared" si="90"/>
        <v>0</v>
      </c>
      <c r="AF196" s="2">
        <f t="shared" si="91"/>
        <v>0</v>
      </c>
      <c r="AG196" s="2">
        <f t="shared" si="94"/>
        <v>0</v>
      </c>
    </row>
    <row r="197" spans="2:33" hidden="1" x14ac:dyDescent="0.25">
      <c r="B197" s="1" t="s">
        <v>341</v>
      </c>
      <c r="C197" s="2"/>
      <c r="D197" s="2"/>
      <c r="E197" s="2"/>
      <c r="F197" s="2"/>
      <c r="G197" s="2"/>
      <c r="H197" s="2"/>
      <c r="I197" s="2"/>
      <c r="J197" s="2"/>
      <c r="K197" s="2">
        <f t="shared" si="92"/>
        <v>0</v>
      </c>
      <c r="M197" s="1" t="s">
        <v>341</v>
      </c>
      <c r="N197" s="2"/>
      <c r="O197" s="2"/>
      <c r="P197" s="2"/>
      <c r="Q197" s="2"/>
      <c r="R197" s="2"/>
      <c r="S197" s="2"/>
      <c r="T197" s="2"/>
      <c r="U197" s="2"/>
      <c r="V197" s="2">
        <f t="shared" si="93"/>
        <v>0</v>
      </c>
      <c r="X197" s="1" t="s">
        <v>88</v>
      </c>
      <c r="Y197" s="2">
        <f t="shared" si="84"/>
        <v>0</v>
      </c>
      <c r="Z197" s="2">
        <f t="shared" si="85"/>
        <v>0</v>
      </c>
      <c r="AA197" s="2">
        <f t="shared" si="86"/>
        <v>0</v>
      </c>
      <c r="AB197" s="2">
        <f t="shared" si="87"/>
        <v>0</v>
      </c>
      <c r="AC197" s="2">
        <f t="shared" si="88"/>
        <v>0</v>
      </c>
      <c r="AD197" s="2">
        <f t="shared" si="89"/>
        <v>0</v>
      </c>
      <c r="AE197" s="2">
        <f t="shared" si="90"/>
        <v>0</v>
      </c>
      <c r="AF197" s="2">
        <f t="shared" si="91"/>
        <v>0</v>
      </c>
      <c r="AG197" s="2">
        <f t="shared" si="94"/>
        <v>0</v>
      </c>
    </row>
    <row r="198" spans="2:33" hidden="1" x14ac:dyDescent="0.25">
      <c r="B198" s="1" t="s">
        <v>340</v>
      </c>
      <c r="C198" s="2"/>
      <c r="D198" s="2"/>
      <c r="E198" s="2"/>
      <c r="F198" s="2"/>
      <c r="G198" s="2"/>
      <c r="H198" s="2"/>
      <c r="I198" s="2"/>
      <c r="J198" s="2"/>
      <c r="K198" s="2">
        <f t="shared" si="92"/>
        <v>0</v>
      </c>
      <c r="M198" s="1" t="s">
        <v>340</v>
      </c>
      <c r="N198" s="2"/>
      <c r="O198" s="2"/>
      <c r="P198" s="2"/>
      <c r="Q198" s="2"/>
      <c r="R198" s="2"/>
      <c r="S198" s="2"/>
      <c r="T198" s="2"/>
      <c r="U198" s="2"/>
      <c r="V198" s="2">
        <f t="shared" si="93"/>
        <v>0</v>
      </c>
      <c r="X198" s="1" t="s">
        <v>1</v>
      </c>
      <c r="Y198" s="2">
        <f t="shared" si="84"/>
        <v>0</v>
      </c>
      <c r="Z198" s="2">
        <f t="shared" si="85"/>
        <v>0</v>
      </c>
      <c r="AA198" s="2">
        <f t="shared" si="86"/>
        <v>0</v>
      </c>
      <c r="AB198" s="2">
        <f t="shared" si="87"/>
        <v>0</v>
      </c>
      <c r="AC198" s="2">
        <f t="shared" si="88"/>
        <v>0</v>
      </c>
      <c r="AD198" s="2">
        <f t="shared" si="89"/>
        <v>0</v>
      </c>
      <c r="AE198" s="2">
        <f t="shared" si="90"/>
        <v>0</v>
      </c>
      <c r="AF198" s="2">
        <f t="shared" si="91"/>
        <v>0</v>
      </c>
      <c r="AG198" s="2">
        <f t="shared" si="94"/>
        <v>0</v>
      </c>
    </row>
    <row r="199" spans="2:33" ht="15.75" hidden="1" thickBot="1" x14ac:dyDescent="0.3">
      <c r="C199" s="69">
        <f>SUM(C179:C198)</f>
        <v>0</v>
      </c>
      <c r="D199" s="69">
        <f t="shared" ref="D199:J199" si="95">SUM(D179:D198)</f>
        <v>0</v>
      </c>
      <c r="E199" s="69">
        <f t="shared" si="95"/>
        <v>0</v>
      </c>
      <c r="F199" s="69">
        <f t="shared" si="95"/>
        <v>0</v>
      </c>
      <c r="G199" s="69">
        <f t="shared" si="95"/>
        <v>0</v>
      </c>
      <c r="H199" s="69">
        <f t="shared" si="95"/>
        <v>0</v>
      </c>
      <c r="I199" s="69">
        <f t="shared" si="95"/>
        <v>0</v>
      </c>
      <c r="J199" s="69">
        <f t="shared" si="95"/>
        <v>0</v>
      </c>
      <c r="K199" s="69">
        <f>SUM(K179:K198)</f>
        <v>0</v>
      </c>
      <c r="N199" s="69">
        <f>SUM(N179:N198)</f>
        <v>0</v>
      </c>
      <c r="O199" s="69">
        <f t="shared" ref="O199:U199" si="96">SUM(O179:O198)</f>
        <v>0</v>
      </c>
      <c r="P199" s="69">
        <f t="shared" si="96"/>
        <v>0</v>
      </c>
      <c r="Q199" s="69">
        <f t="shared" si="96"/>
        <v>0</v>
      </c>
      <c r="R199" s="69">
        <f t="shared" si="96"/>
        <v>0</v>
      </c>
      <c r="S199" s="69">
        <f t="shared" si="96"/>
        <v>0</v>
      </c>
      <c r="T199" s="69">
        <f t="shared" si="96"/>
        <v>0</v>
      </c>
      <c r="U199" s="69">
        <f t="shared" si="96"/>
        <v>0</v>
      </c>
      <c r="V199" s="69">
        <f>SUM(V179:V198)</f>
        <v>0</v>
      </c>
      <c r="Y199" s="69">
        <f>SUM(Y179:Y198)</f>
        <v>0</v>
      </c>
      <c r="Z199" s="69">
        <f t="shared" ref="Z199:AF199" si="97">SUM(Z179:Z198)</f>
        <v>0</v>
      </c>
      <c r="AA199" s="69">
        <f t="shared" si="97"/>
        <v>0</v>
      </c>
      <c r="AB199" s="69">
        <f t="shared" si="97"/>
        <v>0</v>
      </c>
      <c r="AC199" s="69">
        <f t="shared" si="97"/>
        <v>0</v>
      </c>
      <c r="AD199" s="69">
        <f t="shared" si="97"/>
        <v>0</v>
      </c>
      <c r="AE199" s="69">
        <f t="shared" si="97"/>
        <v>0</v>
      </c>
      <c r="AF199" s="69">
        <f t="shared" si="97"/>
        <v>0</v>
      </c>
      <c r="AG199" s="69">
        <f>SUM(AG179:AG198)</f>
        <v>0</v>
      </c>
    </row>
    <row r="200" spans="2:33" hidden="1" x14ac:dyDescent="0.25"/>
    <row r="201" spans="2:33" hidden="1" x14ac:dyDescent="0.25"/>
    <row r="202" spans="2:33" hidden="1" x14ac:dyDescent="0.25">
      <c r="B202" s="71" t="s">
        <v>97</v>
      </c>
      <c r="C202" s="167">
        <f>$C$20</f>
        <v>45199</v>
      </c>
      <c r="D202" s="164"/>
      <c r="E202" s="164"/>
      <c r="F202" s="164"/>
      <c r="G202" s="164"/>
      <c r="H202" s="164"/>
      <c r="I202" s="164"/>
      <c r="J202" s="164"/>
      <c r="K202" s="164"/>
      <c r="M202" s="71" t="s">
        <v>97</v>
      </c>
      <c r="N202" s="178">
        <f>$N$20</f>
        <v>45169</v>
      </c>
      <c r="O202" s="179"/>
      <c r="P202" s="179"/>
      <c r="Q202" s="179"/>
      <c r="R202" s="179"/>
      <c r="S202" s="179"/>
      <c r="T202" s="179"/>
      <c r="U202" s="179"/>
      <c r="V202" s="179"/>
      <c r="X202" s="71" t="s">
        <v>97</v>
      </c>
      <c r="Y202" s="164" t="s">
        <v>98</v>
      </c>
      <c r="Z202" s="164"/>
      <c r="AA202" s="164"/>
      <c r="AB202" s="164"/>
      <c r="AC202" s="164"/>
      <c r="AD202" s="164"/>
      <c r="AE202" s="164"/>
      <c r="AF202" s="164"/>
      <c r="AG202" s="164"/>
    </row>
    <row r="203" spans="2:33" hidden="1" x14ac:dyDescent="0.25">
      <c r="B203" s="71" t="s">
        <v>96</v>
      </c>
      <c r="C203" s="164" t="str">
        <f>'Reimbursement Rates &lt;-INPUT'!I7</f>
        <v>Clinic 8</v>
      </c>
      <c r="D203" s="164"/>
      <c r="E203" s="164"/>
      <c r="F203" s="164"/>
      <c r="G203" s="164"/>
      <c r="H203" s="164"/>
      <c r="I203" s="164"/>
      <c r="J203" s="164"/>
      <c r="K203" s="164"/>
      <c r="M203" s="71" t="s">
        <v>96</v>
      </c>
      <c r="N203" s="164" t="str">
        <f>C203</f>
        <v>Clinic 8</v>
      </c>
      <c r="O203" s="164"/>
      <c r="P203" s="164"/>
      <c r="Q203" s="164"/>
      <c r="R203" s="164"/>
      <c r="S203" s="164"/>
      <c r="T203" s="164"/>
      <c r="U203" s="164"/>
      <c r="V203" s="164"/>
      <c r="X203" s="71" t="s">
        <v>96</v>
      </c>
      <c r="Y203" s="164" t="str">
        <f>C203</f>
        <v>Clinic 8</v>
      </c>
      <c r="Z203" s="164"/>
      <c r="AA203" s="164"/>
      <c r="AB203" s="164"/>
      <c r="AC203" s="164"/>
      <c r="AD203" s="164"/>
      <c r="AE203" s="164"/>
      <c r="AF203" s="164"/>
      <c r="AG203" s="164"/>
    </row>
    <row r="204" spans="2:33" hidden="1" x14ac:dyDescent="0.25">
      <c r="B204" s="4" t="s">
        <v>16</v>
      </c>
      <c r="C204" s="5" t="s">
        <v>15</v>
      </c>
      <c r="D204" s="5" t="s">
        <v>14</v>
      </c>
      <c r="E204" s="5" t="s">
        <v>13</v>
      </c>
      <c r="F204" s="5" t="s">
        <v>12</v>
      </c>
      <c r="G204" s="5" t="s">
        <v>94</v>
      </c>
      <c r="H204" s="5" t="s">
        <v>95</v>
      </c>
      <c r="I204" s="5" t="s">
        <v>38</v>
      </c>
      <c r="J204" s="5" t="s">
        <v>9</v>
      </c>
      <c r="K204" s="5" t="s">
        <v>80</v>
      </c>
      <c r="M204" s="4" t="s">
        <v>16</v>
      </c>
      <c r="N204" s="5" t="s">
        <v>15</v>
      </c>
      <c r="O204" s="5" t="s">
        <v>14</v>
      </c>
      <c r="P204" s="5" t="s">
        <v>13</v>
      </c>
      <c r="Q204" s="5" t="s">
        <v>12</v>
      </c>
      <c r="R204" s="5" t="s">
        <v>94</v>
      </c>
      <c r="S204" s="5" t="s">
        <v>95</v>
      </c>
      <c r="T204" s="5" t="s">
        <v>38</v>
      </c>
      <c r="U204" s="5" t="s">
        <v>9</v>
      </c>
      <c r="V204" s="5" t="s">
        <v>80</v>
      </c>
      <c r="X204" s="4" t="s">
        <v>16</v>
      </c>
      <c r="Y204" s="5" t="s">
        <v>15</v>
      </c>
      <c r="Z204" s="5" t="s">
        <v>14</v>
      </c>
      <c r="AA204" s="5" t="s">
        <v>13</v>
      </c>
      <c r="AB204" s="5" t="s">
        <v>12</v>
      </c>
      <c r="AC204" s="5" t="s">
        <v>94</v>
      </c>
      <c r="AD204" s="5" t="s">
        <v>95</v>
      </c>
      <c r="AE204" s="5" t="s">
        <v>38</v>
      </c>
      <c r="AF204" s="5" t="s">
        <v>9</v>
      </c>
      <c r="AG204" s="5" t="s">
        <v>80</v>
      </c>
    </row>
    <row r="205" spans="2:33" hidden="1" x14ac:dyDescent="0.25">
      <c r="B205" s="1" t="s">
        <v>335</v>
      </c>
      <c r="C205" s="2"/>
      <c r="D205" s="2"/>
      <c r="E205" s="2"/>
      <c r="F205" s="2"/>
      <c r="G205" s="2"/>
      <c r="H205" s="2"/>
      <c r="I205" s="2"/>
      <c r="J205" s="2"/>
      <c r="K205" s="2">
        <f>SUM(C205:J205)</f>
        <v>0</v>
      </c>
      <c r="M205" s="1" t="s">
        <v>335</v>
      </c>
      <c r="N205" s="2"/>
      <c r="O205" s="2"/>
      <c r="P205" s="2"/>
      <c r="Q205" s="2"/>
      <c r="R205" s="2"/>
      <c r="S205" s="2"/>
      <c r="T205" s="2"/>
      <c r="U205" s="2"/>
      <c r="V205" s="2">
        <f>SUM(N205:U205)</f>
        <v>0</v>
      </c>
      <c r="X205" s="1" t="s">
        <v>49</v>
      </c>
      <c r="Y205" s="2">
        <f t="shared" ref="Y205:Y224" si="98">C205-N205</f>
        <v>0</v>
      </c>
      <c r="Z205" s="2">
        <f t="shared" ref="Z205:Z224" si="99">D205-O205</f>
        <v>0</v>
      </c>
      <c r="AA205" s="2">
        <f t="shared" ref="AA205:AA224" si="100">E205-P205</f>
        <v>0</v>
      </c>
      <c r="AB205" s="2">
        <f t="shared" ref="AB205:AB224" si="101">F205-Q205</f>
        <v>0</v>
      </c>
      <c r="AC205" s="2">
        <f t="shared" ref="AC205:AC224" si="102">G205-R205</f>
        <v>0</v>
      </c>
      <c r="AD205" s="2">
        <f t="shared" ref="AD205:AD224" si="103">H205-S205</f>
        <v>0</v>
      </c>
      <c r="AE205" s="2">
        <f t="shared" ref="AE205:AE224" si="104">I205-T205</f>
        <v>0</v>
      </c>
      <c r="AF205" s="2">
        <f t="shared" ref="AF205:AF224" si="105">J205-U205</f>
        <v>0</v>
      </c>
      <c r="AG205" s="2">
        <f>SUM(Y205:AF205)</f>
        <v>0</v>
      </c>
    </row>
    <row r="206" spans="2:33" hidden="1" x14ac:dyDescent="0.25">
      <c r="B206" s="1" t="s">
        <v>8</v>
      </c>
      <c r="C206" s="2"/>
      <c r="D206" s="2"/>
      <c r="E206" s="2"/>
      <c r="F206" s="2"/>
      <c r="G206" s="2"/>
      <c r="H206" s="2"/>
      <c r="I206" s="2"/>
      <c r="J206" s="2"/>
      <c r="K206" s="2">
        <f t="shared" ref="K206:K224" si="106">SUM(C206:J206)</f>
        <v>0</v>
      </c>
      <c r="M206" s="1" t="s">
        <v>8</v>
      </c>
      <c r="N206" s="2"/>
      <c r="O206" s="2"/>
      <c r="P206" s="2"/>
      <c r="Q206" s="2"/>
      <c r="R206" s="2"/>
      <c r="S206" s="2"/>
      <c r="T206" s="2"/>
      <c r="U206" s="2"/>
      <c r="V206" s="2">
        <f t="shared" ref="V206:V224" si="107">SUM(N206:U206)</f>
        <v>0</v>
      </c>
      <c r="X206" s="1" t="s">
        <v>8</v>
      </c>
      <c r="Y206" s="2">
        <f t="shared" si="98"/>
        <v>0</v>
      </c>
      <c r="Z206" s="2">
        <f t="shared" si="99"/>
        <v>0</v>
      </c>
      <c r="AA206" s="2">
        <f t="shared" si="100"/>
        <v>0</v>
      </c>
      <c r="AB206" s="2">
        <f t="shared" si="101"/>
        <v>0</v>
      </c>
      <c r="AC206" s="2">
        <f t="shared" si="102"/>
        <v>0</v>
      </c>
      <c r="AD206" s="2">
        <f t="shared" si="103"/>
        <v>0</v>
      </c>
      <c r="AE206" s="2">
        <f t="shared" si="104"/>
        <v>0</v>
      </c>
      <c r="AF206" s="2">
        <f t="shared" si="105"/>
        <v>0</v>
      </c>
      <c r="AG206" s="2">
        <f t="shared" ref="AG206:AG224" si="108">SUM(Y206:AF206)</f>
        <v>0</v>
      </c>
    </row>
    <row r="207" spans="2:33" hidden="1" x14ac:dyDescent="0.25">
      <c r="B207" s="1" t="s">
        <v>336</v>
      </c>
      <c r="C207" s="2"/>
      <c r="D207" s="2"/>
      <c r="E207" s="2"/>
      <c r="F207" s="2"/>
      <c r="G207" s="2"/>
      <c r="H207" s="2"/>
      <c r="I207" s="2"/>
      <c r="J207" s="2"/>
      <c r="K207" s="2">
        <f t="shared" si="106"/>
        <v>0</v>
      </c>
      <c r="M207" s="1" t="s">
        <v>336</v>
      </c>
      <c r="N207" s="2"/>
      <c r="O207" s="2"/>
      <c r="P207" s="2"/>
      <c r="Q207" s="2"/>
      <c r="R207" s="2"/>
      <c r="S207" s="2"/>
      <c r="T207" s="2"/>
      <c r="U207" s="2"/>
      <c r="V207" s="2">
        <f t="shared" si="107"/>
        <v>0</v>
      </c>
      <c r="X207" s="1" t="s">
        <v>7</v>
      </c>
      <c r="Y207" s="2">
        <f t="shared" si="98"/>
        <v>0</v>
      </c>
      <c r="Z207" s="2">
        <f t="shared" si="99"/>
        <v>0</v>
      </c>
      <c r="AA207" s="2">
        <f t="shared" si="100"/>
        <v>0</v>
      </c>
      <c r="AB207" s="2">
        <f t="shared" si="101"/>
        <v>0</v>
      </c>
      <c r="AC207" s="2">
        <f t="shared" si="102"/>
        <v>0</v>
      </c>
      <c r="AD207" s="2">
        <f t="shared" si="103"/>
        <v>0</v>
      </c>
      <c r="AE207" s="2">
        <f t="shared" si="104"/>
        <v>0</v>
      </c>
      <c r="AF207" s="2">
        <f t="shared" si="105"/>
        <v>0</v>
      </c>
      <c r="AG207" s="2">
        <f t="shared" si="108"/>
        <v>0</v>
      </c>
    </row>
    <row r="208" spans="2:33" hidden="1" x14ac:dyDescent="0.25">
      <c r="B208" s="1" t="s">
        <v>42</v>
      </c>
      <c r="C208" s="2"/>
      <c r="D208" s="2"/>
      <c r="E208" s="2"/>
      <c r="F208" s="2"/>
      <c r="G208" s="2"/>
      <c r="H208" s="2"/>
      <c r="I208" s="2"/>
      <c r="J208" s="2"/>
      <c r="K208" s="2">
        <f t="shared" si="106"/>
        <v>0</v>
      </c>
      <c r="M208" s="1" t="s">
        <v>42</v>
      </c>
      <c r="N208" s="2"/>
      <c r="O208" s="2"/>
      <c r="P208" s="2"/>
      <c r="Q208" s="2"/>
      <c r="R208" s="2"/>
      <c r="S208" s="2"/>
      <c r="T208" s="2"/>
      <c r="U208" s="2"/>
      <c r="V208" s="2">
        <f t="shared" si="107"/>
        <v>0</v>
      </c>
      <c r="X208" s="1" t="s">
        <v>42</v>
      </c>
      <c r="Y208" s="2">
        <f t="shared" si="98"/>
        <v>0</v>
      </c>
      <c r="Z208" s="2">
        <f t="shared" si="99"/>
        <v>0</v>
      </c>
      <c r="AA208" s="2">
        <f t="shared" si="100"/>
        <v>0</v>
      </c>
      <c r="AB208" s="2">
        <f t="shared" si="101"/>
        <v>0</v>
      </c>
      <c r="AC208" s="2">
        <f t="shared" si="102"/>
        <v>0</v>
      </c>
      <c r="AD208" s="2">
        <f t="shared" si="103"/>
        <v>0</v>
      </c>
      <c r="AE208" s="2">
        <f t="shared" si="104"/>
        <v>0</v>
      </c>
      <c r="AF208" s="2">
        <f t="shared" si="105"/>
        <v>0</v>
      </c>
      <c r="AG208" s="2">
        <f t="shared" si="108"/>
        <v>0</v>
      </c>
    </row>
    <row r="209" spans="2:33" hidden="1" x14ac:dyDescent="0.25">
      <c r="B209" s="1" t="s">
        <v>6</v>
      </c>
      <c r="C209" s="2"/>
      <c r="D209" s="2"/>
      <c r="E209" s="2"/>
      <c r="F209" s="2"/>
      <c r="G209" s="2"/>
      <c r="H209" s="2"/>
      <c r="I209" s="2"/>
      <c r="J209" s="2"/>
      <c r="K209" s="2">
        <f t="shared" si="106"/>
        <v>0</v>
      </c>
      <c r="M209" s="1" t="s">
        <v>6</v>
      </c>
      <c r="N209" s="2"/>
      <c r="O209" s="2"/>
      <c r="P209" s="2"/>
      <c r="Q209" s="2"/>
      <c r="R209" s="2"/>
      <c r="S209" s="2"/>
      <c r="T209" s="2"/>
      <c r="U209" s="2"/>
      <c r="V209" s="2">
        <f t="shared" si="107"/>
        <v>0</v>
      </c>
      <c r="X209" s="1" t="s">
        <v>6</v>
      </c>
      <c r="Y209" s="2">
        <f t="shared" si="98"/>
        <v>0</v>
      </c>
      <c r="Z209" s="2">
        <f t="shared" si="99"/>
        <v>0</v>
      </c>
      <c r="AA209" s="2">
        <f t="shared" si="100"/>
        <v>0</v>
      </c>
      <c r="AB209" s="2">
        <f t="shared" si="101"/>
        <v>0</v>
      </c>
      <c r="AC209" s="2">
        <f t="shared" si="102"/>
        <v>0</v>
      </c>
      <c r="AD209" s="2">
        <f t="shared" si="103"/>
        <v>0</v>
      </c>
      <c r="AE209" s="2">
        <f t="shared" si="104"/>
        <v>0</v>
      </c>
      <c r="AF209" s="2">
        <f t="shared" si="105"/>
        <v>0</v>
      </c>
      <c r="AG209" s="2">
        <f t="shared" si="108"/>
        <v>0</v>
      </c>
    </row>
    <row r="210" spans="2:33" hidden="1" x14ac:dyDescent="0.25">
      <c r="B210" s="1" t="s">
        <v>90</v>
      </c>
      <c r="C210" s="2"/>
      <c r="D210" s="2"/>
      <c r="E210" s="2"/>
      <c r="F210" s="2"/>
      <c r="G210" s="2"/>
      <c r="H210" s="2"/>
      <c r="I210" s="2"/>
      <c r="J210" s="2"/>
      <c r="K210" s="2">
        <f t="shared" si="106"/>
        <v>0</v>
      </c>
      <c r="M210" s="1" t="s">
        <v>90</v>
      </c>
      <c r="N210" s="2"/>
      <c r="O210" s="2"/>
      <c r="P210" s="2"/>
      <c r="Q210" s="2"/>
      <c r="R210" s="2"/>
      <c r="S210" s="2"/>
      <c r="T210" s="2"/>
      <c r="U210" s="2"/>
      <c r="V210" s="2">
        <f t="shared" si="107"/>
        <v>0</v>
      </c>
      <c r="X210" s="1" t="s">
        <v>90</v>
      </c>
      <c r="Y210" s="2">
        <f t="shared" si="98"/>
        <v>0</v>
      </c>
      <c r="Z210" s="2">
        <f t="shared" si="99"/>
        <v>0</v>
      </c>
      <c r="AA210" s="2">
        <f t="shared" si="100"/>
        <v>0</v>
      </c>
      <c r="AB210" s="2">
        <f t="shared" si="101"/>
        <v>0</v>
      </c>
      <c r="AC210" s="2">
        <f t="shared" si="102"/>
        <v>0</v>
      </c>
      <c r="AD210" s="2">
        <f t="shared" si="103"/>
        <v>0</v>
      </c>
      <c r="AE210" s="2">
        <f t="shared" si="104"/>
        <v>0</v>
      </c>
      <c r="AF210" s="2">
        <f t="shared" si="105"/>
        <v>0</v>
      </c>
      <c r="AG210" s="2">
        <f t="shared" si="108"/>
        <v>0</v>
      </c>
    </row>
    <row r="211" spans="2:33" hidden="1" x14ac:dyDescent="0.25">
      <c r="B211" s="1" t="s">
        <v>342</v>
      </c>
      <c r="C211" s="2"/>
      <c r="D211" s="2"/>
      <c r="E211" s="2"/>
      <c r="F211" s="2"/>
      <c r="G211" s="2"/>
      <c r="H211" s="2"/>
      <c r="I211" s="2"/>
      <c r="J211" s="2"/>
      <c r="K211" s="2">
        <f t="shared" si="106"/>
        <v>0</v>
      </c>
      <c r="M211" s="1" t="s">
        <v>342</v>
      </c>
      <c r="N211" s="2"/>
      <c r="O211" s="2"/>
      <c r="P211" s="2"/>
      <c r="Q211" s="2"/>
      <c r="R211" s="2"/>
      <c r="S211" s="2"/>
      <c r="T211" s="2"/>
      <c r="U211" s="2"/>
      <c r="V211" s="2">
        <f t="shared" si="107"/>
        <v>0</v>
      </c>
      <c r="X211" s="1" t="s">
        <v>50</v>
      </c>
      <c r="Y211" s="2">
        <f t="shared" si="98"/>
        <v>0</v>
      </c>
      <c r="Z211" s="2">
        <f t="shared" si="99"/>
        <v>0</v>
      </c>
      <c r="AA211" s="2">
        <f t="shared" si="100"/>
        <v>0</v>
      </c>
      <c r="AB211" s="2">
        <f t="shared" si="101"/>
        <v>0</v>
      </c>
      <c r="AC211" s="2">
        <f t="shared" si="102"/>
        <v>0</v>
      </c>
      <c r="AD211" s="2">
        <f t="shared" si="103"/>
        <v>0</v>
      </c>
      <c r="AE211" s="2">
        <f t="shared" si="104"/>
        <v>0</v>
      </c>
      <c r="AF211" s="2">
        <f t="shared" si="105"/>
        <v>0</v>
      </c>
      <c r="AG211" s="2">
        <f t="shared" si="108"/>
        <v>0</v>
      </c>
    </row>
    <row r="212" spans="2:33" hidden="1" x14ac:dyDescent="0.25">
      <c r="B212" s="1" t="s">
        <v>89</v>
      </c>
      <c r="C212" s="2"/>
      <c r="D212" s="2"/>
      <c r="E212" s="2"/>
      <c r="F212" s="2"/>
      <c r="G212" s="2"/>
      <c r="H212" s="2"/>
      <c r="I212" s="2"/>
      <c r="J212" s="2"/>
      <c r="K212" s="2">
        <f t="shared" si="106"/>
        <v>0</v>
      </c>
      <c r="M212" s="1" t="s">
        <v>89</v>
      </c>
      <c r="N212" s="2"/>
      <c r="O212" s="2"/>
      <c r="P212" s="2"/>
      <c r="Q212" s="2"/>
      <c r="R212" s="2"/>
      <c r="S212" s="2"/>
      <c r="T212" s="2"/>
      <c r="U212" s="2"/>
      <c r="V212" s="2">
        <f t="shared" si="107"/>
        <v>0</v>
      </c>
      <c r="X212" s="1" t="s">
        <v>89</v>
      </c>
      <c r="Y212" s="2">
        <f t="shared" si="98"/>
        <v>0</v>
      </c>
      <c r="Z212" s="2">
        <f t="shared" si="99"/>
        <v>0</v>
      </c>
      <c r="AA212" s="2">
        <f t="shared" si="100"/>
        <v>0</v>
      </c>
      <c r="AB212" s="2">
        <f t="shared" si="101"/>
        <v>0</v>
      </c>
      <c r="AC212" s="2">
        <f t="shared" si="102"/>
        <v>0</v>
      </c>
      <c r="AD212" s="2">
        <f t="shared" si="103"/>
        <v>0</v>
      </c>
      <c r="AE212" s="2">
        <f t="shared" si="104"/>
        <v>0</v>
      </c>
      <c r="AF212" s="2">
        <f t="shared" si="105"/>
        <v>0</v>
      </c>
      <c r="AG212" s="2">
        <f t="shared" si="108"/>
        <v>0</v>
      </c>
    </row>
    <row r="213" spans="2:33" hidden="1" x14ac:dyDescent="0.25">
      <c r="B213" s="1" t="s">
        <v>5</v>
      </c>
      <c r="C213" s="2"/>
      <c r="D213" s="2"/>
      <c r="E213" s="2"/>
      <c r="F213" s="2"/>
      <c r="G213" s="2"/>
      <c r="H213" s="2"/>
      <c r="I213" s="2"/>
      <c r="J213" s="2"/>
      <c r="K213" s="2">
        <f t="shared" si="106"/>
        <v>0</v>
      </c>
      <c r="M213" s="1" t="s">
        <v>5</v>
      </c>
      <c r="N213" s="2"/>
      <c r="O213" s="2"/>
      <c r="P213" s="2"/>
      <c r="Q213" s="2"/>
      <c r="R213" s="2"/>
      <c r="S213" s="2"/>
      <c r="T213" s="2"/>
      <c r="U213" s="2"/>
      <c r="V213" s="2">
        <f t="shared" si="107"/>
        <v>0</v>
      </c>
      <c r="X213" s="1" t="s">
        <v>5</v>
      </c>
      <c r="Y213" s="2">
        <f t="shared" si="98"/>
        <v>0</v>
      </c>
      <c r="Z213" s="2">
        <f t="shared" si="99"/>
        <v>0</v>
      </c>
      <c r="AA213" s="2">
        <f t="shared" si="100"/>
        <v>0</v>
      </c>
      <c r="AB213" s="2">
        <f t="shared" si="101"/>
        <v>0</v>
      </c>
      <c r="AC213" s="2">
        <f t="shared" si="102"/>
        <v>0</v>
      </c>
      <c r="AD213" s="2">
        <f t="shared" si="103"/>
        <v>0</v>
      </c>
      <c r="AE213" s="2">
        <f t="shared" si="104"/>
        <v>0</v>
      </c>
      <c r="AF213" s="2">
        <f t="shared" si="105"/>
        <v>0</v>
      </c>
      <c r="AG213" s="2">
        <f t="shared" si="108"/>
        <v>0</v>
      </c>
    </row>
    <row r="214" spans="2:33" hidden="1" x14ac:dyDescent="0.25">
      <c r="B214" s="1" t="s">
        <v>84</v>
      </c>
      <c r="C214" s="2"/>
      <c r="D214" s="2"/>
      <c r="E214" s="2"/>
      <c r="F214" s="2"/>
      <c r="G214" s="2"/>
      <c r="H214" s="2"/>
      <c r="I214" s="2"/>
      <c r="J214" s="2"/>
      <c r="K214" s="2">
        <f t="shared" si="106"/>
        <v>0</v>
      </c>
      <c r="M214" s="1" t="s">
        <v>84</v>
      </c>
      <c r="N214" s="2"/>
      <c r="O214" s="2"/>
      <c r="P214" s="2"/>
      <c r="Q214" s="2"/>
      <c r="R214" s="2"/>
      <c r="S214" s="2"/>
      <c r="T214" s="2"/>
      <c r="U214" s="2"/>
      <c r="V214" s="2">
        <f t="shared" si="107"/>
        <v>0</v>
      </c>
      <c r="X214" s="1" t="s">
        <v>84</v>
      </c>
      <c r="Y214" s="2">
        <f t="shared" si="98"/>
        <v>0</v>
      </c>
      <c r="Z214" s="2">
        <f t="shared" si="99"/>
        <v>0</v>
      </c>
      <c r="AA214" s="2">
        <f t="shared" si="100"/>
        <v>0</v>
      </c>
      <c r="AB214" s="2">
        <f t="shared" si="101"/>
        <v>0</v>
      </c>
      <c r="AC214" s="2">
        <f t="shared" si="102"/>
        <v>0</v>
      </c>
      <c r="AD214" s="2">
        <f t="shared" si="103"/>
        <v>0</v>
      </c>
      <c r="AE214" s="2">
        <f t="shared" si="104"/>
        <v>0</v>
      </c>
      <c r="AF214" s="2">
        <f t="shared" si="105"/>
        <v>0</v>
      </c>
      <c r="AG214" s="2">
        <f t="shared" si="108"/>
        <v>0</v>
      </c>
    </row>
    <row r="215" spans="2:33" hidden="1" x14ac:dyDescent="0.25">
      <c r="B215" s="1" t="s">
        <v>4</v>
      </c>
      <c r="C215" s="2"/>
      <c r="D215" s="2"/>
      <c r="E215" s="2"/>
      <c r="F215" s="2"/>
      <c r="G215" s="2"/>
      <c r="H215" s="2"/>
      <c r="I215" s="2"/>
      <c r="J215" s="2"/>
      <c r="K215" s="2">
        <f t="shared" si="106"/>
        <v>0</v>
      </c>
      <c r="M215" s="1" t="s">
        <v>4</v>
      </c>
      <c r="N215" s="2"/>
      <c r="O215" s="2"/>
      <c r="P215" s="2"/>
      <c r="Q215" s="2"/>
      <c r="R215" s="2"/>
      <c r="S215" s="2"/>
      <c r="T215" s="2"/>
      <c r="U215" s="2"/>
      <c r="V215" s="2">
        <f t="shared" si="107"/>
        <v>0</v>
      </c>
      <c r="X215" s="1" t="s">
        <v>4</v>
      </c>
      <c r="Y215" s="2">
        <f t="shared" si="98"/>
        <v>0</v>
      </c>
      <c r="Z215" s="2">
        <f t="shared" si="99"/>
        <v>0</v>
      </c>
      <c r="AA215" s="2">
        <f t="shared" si="100"/>
        <v>0</v>
      </c>
      <c r="AB215" s="2">
        <f t="shared" si="101"/>
        <v>0</v>
      </c>
      <c r="AC215" s="2">
        <f t="shared" si="102"/>
        <v>0</v>
      </c>
      <c r="AD215" s="2">
        <f t="shared" si="103"/>
        <v>0</v>
      </c>
      <c r="AE215" s="2">
        <f t="shared" si="104"/>
        <v>0</v>
      </c>
      <c r="AF215" s="2">
        <f t="shared" si="105"/>
        <v>0</v>
      </c>
      <c r="AG215" s="2">
        <f t="shared" si="108"/>
        <v>0</v>
      </c>
    </row>
    <row r="216" spans="2:33" hidden="1" x14ac:dyDescent="0.25">
      <c r="B216" s="1" t="s">
        <v>51</v>
      </c>
      <c r="C216" s="2"/>
      <c r="D216" s="2"/>
      <c r="E216" s="2"/>
      <c r="F216" s="2"/>
      <c r="G216" s="2"/>
      <c r="H216" s="2"/>
      <c r="I216" s="2"/>
      <c r="J216" s="2"/>
      <c r="K216" s="2">
        <f t="shared" si="106"/>
        <v>0</v>
      </c>
      <c r="M216" s="1" t="s">
        <v>51</v>
      </c>
      <c r="N216" s="2"/>
      <c r="O216" s="2"/>
      <c r="P216" s="2"/>
      <c r="Q216" s="2"/>
      <c r="R216" s="2"/>
      <c r="S216" s="2"/>
      <c r="T216" s="2"/>
      <c r="U216" s="2"/>
      <c r="V216" s="2">
        <f t="shared" si="107"/>
        <v>0</v>
      </c>
      <c r="X216" s="1" t="s">
        <v>51</v>
      </c>
      <c r="Y216" s="2">
        <f t="shared" si="98"/>
        <v>0</v>
      </c>
      <c r="Z216" s="2">
        <f t="shared" si="99"/>
        <v>0</v>
      </c>
      <c r="AA216" s="2">
        <f t="shared" si="100"/>
        <v>0</v>
      </c>
      <c r="AB216" s="2">
        <f t="shared" si="101"/>
        <v>0</v>
      </c>
      <c r="AC216" s="2">
        <f t="shared" si="102"/>
        <v>0</v>
      </c>
      <c r="AD216" s="2">
        <f t="shared" si="103"/>
        <v>0</v>
      </c>
      <c r="AE216" s="2">
        <f t="shared" si="104"/>
        <v>0</v>
      </c>
      <c r="AF216" s="2">
        <f t="shared" si="105"/>
        <v>0</v>
      </c>
      <c r="AG216" s="2">
        <f t="shared" si="108"/>
        <v>0</v>
      </c>
    </row>
    <row r="217" spans="2:33" hidden="1" x14ac:dyDescent="0.25">
      <c r="B217" s="1" t="s">
        <v>87</v>
      </c>
      <c r="C217" s="2"/>
      <c r="D217" s="2"/>
      <c r="E217" s="2"/>
      <c r="F217" s="2"/>
      <c r="G217" s="2"/>
      <c r="H217" s="2"/>
      <c r="I217" s="2"/>
      <c r="J217" s="2"/>
      <c r="K217" s="2">
        <f t="shared" si="106"/>
        <v>0</v>
      </c>
      <c r="M217" s="1" t="s">
        <v>87</v>
      </c>
      <c r="N217" s="2"/>
      <c r="O217" s="2"/>
      <c r="P217" s="2"/>
      <c r="Q217" s="2"/>
      <c r="R217" s="2"/>
      <c r="S217" s="2"/>
      <c r="T217" s="2"/>
      <c r="U217" s="2"/>
      <c r="V217" s="2">
        <f t="shared" si="107"/>
        <v>0</v>
      </c>
      <c r="X217" s="1" t="s">
        <v>87</v>
      </c>
      <c r="Y217" s="2">
        <f t="shared" si="98"/>
        <v>0</v>
      </c>
      <c r="Z217" s="2">
        <f t="shared" si="99"/>
        <v>0</v>
      </c>
      <c r="AA217" s="2">
        <f t="shared" si="100"/>
        <v>0</v>
      </c>
      <c r="AB217" s="2">
        <f t="shared" si="101"/>
        <v>0</v>
      </c>
      <c r="AC217" s="2">
        <f t="shared" si="102"/>
        <v>0</v>
      </c>
      <c r="AD217" s="2">
        <f t="shared" si="103"/>
        <v>0</v>
      </c>
      <c r="AE217" s="2">
        <f t="shared" si="104"/>
        <v>0</v>
      </c>
      <c r="AF217" s="2">
        <f t="shared" si="105"/>
        <v>0</v>
      </c>
      <c r="AG217" s="2">
        <f t="shared" si="108"/>
        <v>0</v>
      </c>
    </row>
    <row r="218" spans="2:33" hidden="1" x14ac:dyDescent="0.25">
      <c r="B218" s="1" t="s">
        <v>85</v>
      </c>
      <c r="C218" s="2"/>
      <c r="D218" s="2"/>
      <c r="E218" s="2"/>
      <c r="F218" s="2"/>
      <c r="G218" s="2"/>
      <c r="H218" s="2"/>
      <c r="I218" s="2"/>
      <c r="J218" s="2"/>
      <c r="K218" s="2">
        <f t="shared" si="106"/>
        <v>0</v>
      </c>
      <c r="M218" s="1" t="s">
        <v>85</v>
      </c>
      <c r="N218" s="2"/>
      <c r="O218" s="2"/>
      <c r="P218" s="2"/>
      <c r="Q218" s="2"/>
      <c r="R218" s="2"/>
      <c r="S218" s="2"/>
      <c r="T218" s="2"/>
      <c r="U218" s="2"/>
      <c r="V218" s="2">
        <f t="shared" si="107"/>
        <v>0</v>
      </c>
      <c r="X218" s="1" t="s">
        <v>85</v>
      </c>
      <c r="Y218" s="2">
        <f t="shared" si="98"/>
        <v>0</v>
      </c>
      <c r="Z218" s="2">
        <f t="shared" si="99"/>
        <v>0</v>
      </c>
      <c r="AA218" s="2">
        <f t="shared" si="100"/>
        <v>0</v>
      </c>
      <c r="AB218" s="2">
        <f t="shared" si="101"/>
        <v>0</v>
      </c>
      <c r="AC218" s="2">
        <f t="shared" si="102"/>
        <v>0</v>
      </c>
      <c r="AD218" s="2">
        <f t="shared" si="103"/>
        <v>0</v>
      </c>
      <c r="AE218" s="2">
        <f t="shared" si="104"/>
        <v>0</v>
      </c>
      <c r="AF218" s="2">
        <f t="shared" si="105"/>
        <v>0</v>
      </c>
      <c r="AG218" s="2">
        <f t="shared" si="108"/>
        <v>0</v>
      </c>
    </row>
    <row r="219" spans="2:33" hidden="1" x14ac:dyDescent="0.25">
      <c r="B219" s="1" t="s">
        <v>2</v>
      </c>
      <c r="C219" s="2"/>
      <c r="D219" s="2"/>
      <c r="E219" s="2"/>
      <c r="F219" s="2"/>
      <c r="G219" s="2"/>
      <c r="H219" s="2"/>
      <c r="I219" s="2"/>
      <c r="J219" s="2"/>
      <c r="K219" s="2">
        <f t="shared" si="106"/>
        <v>0</v>
      </c>
      <c r="M219" s="1" t="s">
        <v>2</v>
      </c>
      <c r="N219" s="2"/>
      <c r="O219" s="2"/>
      <c r="P219" s="2"/>
      <c r="Q219" s="2"/>
      <c r="R219" s="2"/>
      <c r="S219" s="2"/>
      <c r="T219" s="2"/>
      <c r="U219" s="2"/>
      <c r="V219" s="2">
        <f t="shared" si="107"/>
        <v>0</v>
      </c>
      <c r="X219" s="1" t="s">
        <v>2</v>
      </c>
      <c r="Y219" s="2">
        <f t="shared" si="98"/>
        <v>0</v>
      </c>
      <c r="Z219" s="2">
        <f t="shared" si="99"/>
        <v>0</v>
      </c>
      <c r="AA219" s="2">
        <f t="shared" si="100"/>
        <v>0</v>
      </c>
      <c r="AB219" s="2">
        <f t="shared" si="101"/>
        <v>0</v>
      </c>
      <c r="AC219" s="2">
        <f t="shared" si="102"/>
        <v>0</v>
      </c>
      <c r="AD219" s="2">
        <f t="shared" si="103"/>
        <v>0</v>
      </c>
      <c r="AE219" s="2">
        <f t="shared" si="104"/>
        <v>0</v>
      </c>
      <c r="AF219" s="2">
        <f t="shared" si="105"/>
        <v>0</v>
      </c>
      <c r="AG219" s="2">
        <f t="shared" si="108"/>
        <v>0</v>
      </c>
    </row>
    <row r="220" spans="2:33" hidden="1" x14ac:dyDescent="0.25">
      <c r="B220" s="1" t="s">
        <v>86</v>
      </c>
      <c r="C220" s="2"/>
      <c r="D220" s="2"/>
      <c r="E220" s="2"/>
      <c r="F220" s="2"/>
      <c r="G220" s="2"/>
      <c r="H220" s="2"/>
      <c r="I220" s="2"/>
      <c r="J220" s="2"/>
      <c r="K220" s="2">
        <f t="shared" si="106"/>
        <v>0</v>
      </c>
      <c r="M220" s="1" t="s">
        <v>86</v>
      </c>
      <c r="N220" s="2"/>
      <c r="O220" s="2"/>
      <c r="P220" s="2"/>
      <c r="Q220" s="2"/>
      <c r="R220" s="2"/>
      <c r="S220" s="2"/>
      <c r="T220" s="2"/>
      <c r="U220" s="2"/>
      <c r="V220" s="2">
        <f t="shared" si="107"/>
        <v>0</v>
      </c>
      <c r="X220" s="1" t="s">
        <v>86</v>
      </c>
      <c r="Y220" s="2">
        <f t="shared" si="98"/>
        <v>0</v>
      </c>
      <c r="Z220" s="2">
        <f t="shared" si="99"/>
        <v>0</v>
      </c>
      <c r="AA220" s="2">
        <f t="shared" si="100"/>
        <v>0</v>
      </c>
      <c r="AB220" s="2">
        <f t="shared" si="101"/>
        <v>0</v>
      </c>
      <c r="AC220" s="2">
        <f t="shared" si="102"/>
        <v>0</v>
      </c>
      <c r="AD220" s="2">
        <f t="shared" si="103"/>
        <v>0</v>
      </c>
      <c r="AE220" s="2">
        <f t="shared" si="104"/>
        <v>0</v>
      </c>
      <c r="AF220" s="2">
        <f t="shared" si="105"/>
        <v>0</v>
      </c>
      <c r="AG220" s="2">
        <f t="shared" si="108"/>
        <v>0</v>
      </c>
    </row>
    <row r="221" spans="2:33" hidden="1" x14ac:dyDescent="0.25">
      <c r="B221" s="1" t="s">
        <v>29</v>
      </c>
      <c r="C221" s="2"/>
      <c r="D221" s="2"/>
      <c r="E221" s="2"/>
      <c r="F221" s="2"/>
      <c r="G221" s="2"/>
      <c r="H221" s="2"/>
      <c r="I221" s="2"/>
      <c r="J221" s="2"/>
      <c r="K221" s="2">
        <f t="shared" si="106"/>
        <v>0</v>
      </c>
      <c r="M221" s="1" t="s">
        <v>29</v>
      </c>
      <c r="N221" s="2"/>
      <c r="O221" s="2"/>
      <c r="P221" s="2"/>
      <c r="Q221" s="2"/>
      <c r="R221" s="2"/>
      <c r="S221" s="2"/>
      <c r="T221" s="2"/>
      <c r="U221" s="2"/>
      <c r="V221" s="2">
        <f t="shared" si="107"/>
        <v>0</v>
      </c>
      <c r="X221" s="1" t="s">
        <v>29</v>
      </c>
      <c r="Y221" s="2">
        <f t="shared" si="98"/>
        <v>0</v>
      </c>
      <c r="Z221" s="2">
        <f t="shared" si="99"/>
        <v>0</v>
      </c>
      <c r="AA221" s="2">
        <f t="shared" si="100"/>
        <v>0</v>
      </c>
      <c r="AB221" s="2">
        <f t="shared" si="101"/>
        <v>0</v>
      </c>
      <c r="AC221" s="2">
        <f t="shared" si="102"/>
        <v>0</v>
      </c>
      <c r="AD221" s="2">
        <f t="shared" si="103"/>
        <v>0</v>
      </c>
      <c r="AE221" s="2">
        <f t="shared" si="104"/>
        <v>0</v>
      </c>
      <c r="AF221" s="2">
        <f t="shared" si="105"/>
        <v>0</v>
      </c>
      <c r="AG221" s="2">
        <f t="shared" si="108"/>
        <v>0</v>
      </c>
    </row>
    <row r="222" spans="2:33" hidden="1" x14ac:dyDescent="0.25">
      <c r="B222" s="1" t="s">
        <v>88</v>
      </c>
      <c r="C222" s="2"/>
      <c r="D222" s="2"/>
      <c r="E222" s="2"/>
      <c r="F222" s="2"/>
      <c r="G222" s="2"/>
      <c r="H222" s="2"/>
      <c r="I222" s="2"/>
      <c r="J222" s="2"/>
      <c r="K222" s="2">
        <f t="shared" si="106"/>
        <v>0</v>
      </c>
      <c r="M222" s="1" t="s">
        <v>88</v>
      </c>
      <c r="N222" s="2"/>
      <c r="O222" s="2"/>
      <c r="P222" s="2"/>
      <c r="Q222" s="2"/>
      <c r="R222" s="2"/>
      <c r="S222" s="2"/>
      <c r="T222" s="2"/>
      <c r="U222" s="2"/>
      <c r="V222" s="2">
        <f t="shared" si="107"/>
        <v>0</v>
      </c>
      <c r="X222" s="1" t="s">
        <v>52</v>
      </c>
      <c r="Y222" s="2">
        <f t="shared" si="98"/>
        <v>0</v>
      </c>
      <c r="Z222" s="2">
        <f t="shared" si="99"/>
        <v>0</v>
      </c>
      <c r="AA222" s="2">
        <f t="shared" si="100"/>
        <v>0</v>
      </c>
      <c r="AB222" s="2">
        <f t="shared" si="101"/>
        <v>0</v>
      </c>
      <c r="AC222" s="2">
        <f t="shared" si="102"/>
        <v>0</v>
      </c>
      <c r="AD222" s="2">
        <f t="shared" si="103"/>
        <v>0</v>
      </c>
      <c r="AE222" s="2">
        <f t="shared" si="104"/>
        <v>0</v>
      </c>
      <c r="AF222" s="2">
        <f t="shared" si="105"/>
        <v>0</v>
      </c>
      <c r="AG222" s="2">
        <f t="shared" si="108"/>
        <v>0</v>
      </c>
    </row>
    <row r="223" spans="2:33" hidden="1" x14ac:dyDescent="0.25">
      <c r="B223" s="1" t="s">
        <v>341</v>
      </c>
      <c r="C223" s="2"/>
      <c r="D223" s="2"/>
      <c r="E223" s="2"/>
      <c r="F223" s="2"/>
      <c r="G223" s="2"/>
      <c r="H223" s="2"/>
      <c r="I223" s="2"/>
      <c r="J223" s="2"/>
      <c r="K223" s="2">
        <f t="shared" si="106"/>
        <v>0</v>
      </c>
      <c r="M223" s="1" t="s">
        <v>341</v>
      </c>
      <c r="N223" s="2"/>
      <c r="O223" s="2"/>
      <c r="P223" s="2"/>
      <c r="Q223" s="2"/>
      <c r="R223" s="2"/>
      <c r="S223" s="2"/>
      <c r="T223" s="2"/>
      <c r="U223" s="2"/>
      <c r="V223" s="2">
        <f t="shared" si="107"/>
        <v>0</v>
      </c>
      <c r="X223" s="1" t="s">
        <v>88</v>
      </c>
      <c r="Y223" s="2">
        <f t="shared" si="98"/>
        <v>0</v>
      </c>
      <c r="Z223" s="2">
        <f t="shared" si="99"/>
        <v>0</v>
      </c>
      <c r="AA223" s="2">
        <f t="shared" si="100"/>
        <v>0</v>
      </c>
      <c r="AB223" s="2">
        <f t="shared" si="101"/>
        <v>0</v>
      </c>
      <c r="AC223" s="2">
        <f t="shared" si="102"/>
        <v>0</v>
      </c>
      <c r="AD223" s="2">
        <f t="shared" si="103"/>
        <v>0</v>
      </c>
      <c r="AE223" s="2">
        <f t="shared" si="104"/>
        <v>0</v>
      </c>
      <c r="AF223" s="2">
        <f t="shared" si="105"/>
        <v>0</v>
      </c>
      <c r="AG223" s="2">
        <f t="shared" si="108"/>
        <v>0</v>
      </c>
    </row>
    <row r="224" spans="2:33" hidden="1" x14ac:dyDescent="0.25">
      <c r="B224" s="1" t="s">
        <v>340</v>
      </c>
      <c r="C224" s="2"/>
      <c r="D224" s="2"/>
      <c r="E224" s="2"/>
      <c r="F224" s="2"/>
      <c r="G224" s="2"/>
      <c r="H224" s="2"/>
      <c r="I224" s="2"/>
      <c r="J224" s="2"/>
      <c r="K224" s="2">
        <f t="shared" si="106"/>
        <v>0</v>
      </c>
      <c r="M224" s="1" t="s">
        <v>340</v>
      </c>
      <c r="N224" s="2"/>
      <c r="O224" s="2"/>
      <c r="P224" s="2"/>
      <c r="Q224" s="2"/>
      <c r="R224" s="2"/>
      <c r="S224" s="2"/>
      <c r="T224" s="2"/>
      <c r="U224" s="2"/>
      <c r="V224" s="2">
        <f t="shared" si="107"/>
        <v>0</v>
      </c>
      <c r="X224" s="1" t="s">
        <v>1</v>
      </c>
      <c r="Y224" s="2">
        <f t="shared" si="98"/>
        <v>0</v>
      </c>
      <c r="Z224" s="2">
        <f t="shared" si="99"/>
        <v>0</v>
      </c>
      <c r="AA224" s="2">
        <f t="shared" si="100"/>
        <v>0</v>
      </c>
      <c r="AB224" s="2">
        <f t="shared" si="101"/>
        <v>0</v>
      </c>
      <c r="AC224" s="2">
        <f t="shared" si="102"/>
        <v>0</v>
      </c>
      <c r="AD224" s="2">
        <f t="shared" si="103"/>
        <v>0</v>
      </c>
      <c r="AE224" s="2">
        <f t="shared" si="104"/>
        <v>0</v>
      </c>
      <c r="AF224" s="2">
        <f t="shared" si="105"/>
        <v>0</v>
      </c>
      <c r="AG224" s="2">
        <f t="shared" si="108"/>
        <v>0</v>
      </c>
    </row>
    <row r="225" spans="2:33" ht="15.75" hidden="1" thickBot="1" x14ac:dyDescent="0.3">
      <c r="C225" s="69">
        <f>SUM(C205:C224)</f>
        <v>0</v>
      </c>
      <c r="D225" s="69">
        <f t="shared" ref="D225:J225" si="109">SUM(D205:D224)</f>
        <v>0</v>
      </c>
      <c r="E225" s="69">
        <f t="shared" si="109"/>
        <v>0</v>
      </c>
      <c r="F225" s="69">
        <f t="shared" si="109"/>
        <v>0</v>
      </c>
      <c r="G225" s="69">
        <f t="shared" si="109"/>
        <v>0</v>
      </c>
      <c r="H225" s="69">
        <f t="shared" si="109"/>
        <v>0</v>
      </c>
      <c r="I225" s="69">
        <f t="shared" si="109"/>
        <v>0</v>
      </c>
      <c r="J225" s="69">
        <f t="shared" si="109"/>
        <v>0</v>
      </c>
      <c r="K225" s="69">
        <f>SUM(K205:K224)</f>
        <v>0</v>
      </c>
      <c r="N225" s="69">
        <f>SUM(N205:N224)</f>
        <v>0</v>
      </c>
      <c r="O225" s="69">
        <f t="shared" ref="O225:U225" si="110">SUM(O205:O224)</f>
        <v>0</v>
      </c>
      <c r="P225" s="69">
        <f t="shared" si="110"/>
        <v>0</v>
      </c>
      <c r="Q225" s="69">
        <f t="shared" si="110"/>
        <v>0</v>
      </c>
      <c r="R225" s="69">
        <f t="shared" si="110"/>
        <v>0</v>
      </c>
      <c r="S225" s="69">
        <f t="shared" si="110"/>
        <v>0</v>
      </c>
      <c r="T225" s="69">
        <f t="shared" si="110"/>
        <v>0</v>
      </c>
      <c r="U225" s="69">
        <f t="shared" si="110"/>
        <v>0</v>
      </c>
      <c r="V225" s="69">
        <f>SUM(V205:V224)</f>
        <v>0</v>
      </c>
      <c r="Y225" s="69">
        <f>SUM(Y205:Y224)</f>
        <v>0</v>
      </c>
      <c r="Z225" s="69">
        <f t="shared" ref="Z225:AF225" si="111">SUM(Z205:Z224)</f>
        <v>0</v>
      </c>
      <c r="AA225" s="69">
        <f t="shared" si="111"/>
        <v>0</v>
      </c>
      <c r="AB225" s="69">
        <f t="shared" si="111"/>
        <v>0</v>
      </c>
      <c r="AC225" s="69">
        <f t="shared" si="111"/>
        <v>0</v>
      </c>
      <c r="AD225" s="69">
        <f t="shared" si="111"/>
        <v>0</v>
      </c>
      <c r="AE225" s="69">
        <f t="shared" si="111"/>
        <v>0</v>
      </c>
      <c r="AF225" s="69">
        <f t="shared" si="111"/>
        <v>0</v>
      </c>
      <c r="AG225" s="69">
        <f>SUM(AG205:AG224)</f>
        <v>0</v>
      </c>
    </row>
    <row r="226" spans="2:33" hidden="1" x14ac:dyDescent="0.25"/>
    <row r="227" spans="2:33" hidden="1" x14ac:dyDescent="0.25"/>
    <row r="228" spans="2:33" hidden="1" x14ac:dyDescent="0.25">
      <c r="B228" s="71" t="s">
        <v>97</v>
      </c>
      <c r="C228" s="167">
        <f>$C$20</f>
        <v>45199</v>
      </c>
      <c r="D228" s="164"/>
      <c r="E228" s="164"/>
      <c r="F228" s="164"/>
      <c r="G228" s="164"/>
      <c r="H228" s="164"/>
      <c r="I228" s="164"/>
      <c r="J228" s="164"/>
      <c r="K228" s="164"/>
      <c r="M228" s="71" t="s">
        <v>97</v>
      </c>
      <c r="N228" s="178">
        <f>$N$20</f>
        <v>45169</v>
      </c>
      <c r="O228" s="179"/>
      <c r="P228" s="179"/>
      <c r="Q228" s="179"/>
      <c r="R228" s="179"/>
      <c r="S228" s="179"/>
      <c r="T228" s="179"/>
      <c r="U228" s="179"/>
      <c r="V228" s="179"/>
      <c r="X228" s="71" t="s">
        <v>97</v>
      </c>
      <c r="Y228" s="164" t="s">
        <v>98</v>
      </c>
      <c r="Z228" s="164"/>
      <c r="AA228" s="164"/>
      <c r="AB228" s="164"/>
      <c r="AC228" s="164"/>
      <c r="AD228" s="164"/>
      <c r="AE228" s="164"/>
      <c r="AF228" s="164"/>
      <c r="AG228" s="164"/>
    </row>
    <row r="229" spans="2:33" hidden="1" x14ac:dyDescent="0.25">
      <c r="B229" s="71" t="s">
        <v>96</v>
      </c>
      <c r="C229" s="164" t="str">
        <f>'Reimbursement Rates &lt;-INPUT'!J7</f>
        <v>Clinic 9</v>
      </c>
      <c r="D229" s="164"/>
      <c r="E229" s="164"/>
      <c r="F229" s="164"/>
      <c r="G229" s="164"/>
      <c r="H229" s="164"/>
      <c r="I229" s="164"/>
      <c r="J229" s="164"/>
      <c r="K229" s="164"/>
      <c r="M229" s="71" t="s">
        <v>96</v>
      </c>
      <c r="N229" s="164" t="str">
        <f>C229</f>
        <v>Clinic 9</v>
      </c>
      <c r="O229" s="164"/>
      <c r="P229" s="164"/>
      <c r="Q229" s="164"/>
      <c r="R229" s="164"/>
      <c r="S229" s="164"/>
      <c r="T229" s="164"/>
      <c r="U229" s="164"/>
      <c r="V229" s="164"/>
      <c r="X229" s="71" t="s">
        <v>96</v>
      </c>
      <c r="Y229" s="164" t="str">
        <f>C229</f>
        <v>Clinic 9</v>
      </c>
      <c r="Z229" s="164"/>
      <c r="AA229" s="164"/>
      <c r="AB229" s="164"/>
      <c r="AC229" s="164"/>
      <c r="AD229" s="164"/>
      <c r="AE229" s="164"/>
      <c r="AF229" s="164"/>
      <c r="AG229" s="164"/>
    </row>
    <row r="230" spans="2:33" hidden="1" x14ac:dyDescent="0.25">
      <c r="B230" s="4" t="s">
        <v>16</v>
      </c>
      <c r="C230" s="5" t="s">
        <v>15</v>
      </c>
      <c r="D230" s="5" t="s">
        <v>14</v>
      </c>
      <c r="E230" s="5" t="s">
        <v>13</v>
      </c>
      <c r="F230" s="5" t="s">
        <v>12</v>
      </c>
      <c r="G230" s="5" t="s">
        <v>94</v>
      </c>
      <c r="H230" s="5" t="s">
        <v>95</v>
      </c>
      <c r="I230" s="5" t="s">
        <v>38</v>
      </c>
      <c r="J230" s="5" t="s">
        <v>9</v>
      </c>
      <c r="K230" s="5" t="s">
        <v>80</v>
      </c>
      <c r="M230" s="4" t="s">
        <v>16</v>
      </c>
      <c r="N230" s="5" t="s">
        <v>15</v>
      </c>
      <c r="O230" s="5" t="s">
        <v>14</v>
      </c>
      <c r="P230" s="5" t="s">
        <v>13</v>
      </c>
      <c r="Q230" s="5" t="s">
        <v>12</v>
      </c>
      <c r="R230" s="5" t="s">
        <v>94</v>
      </c>
      <c r="S230" s="5" t="s">
        <v>95</v>
      </c>
      <c r="T230" s="5" t="s">
        <v>38</v>
      </c>
      <c r="U230" s="5" t="s">
        <v>9</v>
      </c>
      <c r="V230" s="5" t="s">
        <v>80</v>
      </c>
      <c r="X230" s="4" t="s">
        <v>16</v>
      </c>
      <c r="Y230" s="5" t="s">
        <v>15</v>
      </c>
      <c r="Z230" s="5" t="s">
        <v>14</v>
      </c>
      <c r="AA230" s="5" t="s">
        <v>13</v>
      </c>
      <c r="AB230" s="5" t="s">
        <v>12</v>
      </c>
      <c r="AC230" s="5" t="s">
        <v>94</v>
      </c>
      <c r="AD230" s="5" t="s">
        <v>95</v>
      </c>
      <c r="AE230" s="5" t="s">
        <v>38</v>
      </c>
      <c r="AF230" s="5" t="s">
        <v>9</v>
      </c>
      <c r="AG230" s="5" t="s">
        <v>80</v>
      </c>
    </row>
    <row r="231" spans="2:33" hidden="1" x14ac:dyDescent="0.25">
      <c r="B231" s="1" t="s">
        <v>335</v>
      </c>
      <c r="C231" s="2"/>
      <c r="D231" s="2"/>
      <c r="E231" s="2"/>
      <c r="F231" s="2"/>
      <c r="G231" s="2"/>
      <c r="H231" s="2"/>
      <c r="I231" s="2"/>
      <c r="J231" s="2"/>
      <c r="K231" s="2">
        <f>SUM(C231:J231)</f>
        <v>0</v>
      </c>
      <c r="M231" s="1" t="s">
        <v>335</v>
      </c>
      <c r="N231" s="2"/>
      <c r="O231" s="2"/>
      <c r="P231" s="2"/>
      <c r="Q231" s="2"/>
      <c r="R231" s="2"/>
      <c r="S231" s="2"/>
      <c r="T231" s="2"/>
      <c r="U231" s="2"/>
      <c r="V231" s="2">
        <f>SUM(N231:U231)</f>
        <v>0</v>
      </c>
      <c r="X231" s="1" t="s">
        <v>49</v>
      </c>
      <c r="Y231" s="2">
        <f t="shared" ref="Y231:Y250" si="112">C231-N231</f>
        <v>0</v>
      </c>
      <c r="Z231" s="2">
        <f t="shared" ref="Z231:Z250" si="113">D231-O231</f>
        <v>0</v>
      </c>
      <c r="AA231" s="2">
        <f t="shared" ref="AA231:AA250" si="114">E231-P231</f>
        <v>0</v>
      </c>
      <c r="AB231" s="2">
        <f t="shared" ref="AB231:AB250" si="115">F231-Q231</f>
        <v>0</v>
      </c>
      <c r="AC231" s="2">
        <f t="shared" ref="AC231:AC250" si="116">G231-R231</f>
        <v>0</v>
      </c>
      <c r="AD231" s="2">
        <f t="shared" ref="AD231:AD250" si="117">H231-S231</f>
        <v>0</v>
      </c>
      <c r="AE231" s="2">
        <f t="shared" ref="AE231:AE250" si="118">I231-T231</f>
        <v>0</v>
      </c>
      <c r="AF231" s="2">
        <f t="shared" ref="AF231:AF250" si="119">J231-U231</f>
        <v>0</v>
      </c>
      <c r="AG231" s="2">
        <f>SUM(Y231:AF231)</f>
        <v>0</v>
      </c>
    </row>
    <row r="232" spans="2:33" hidden="1" x14ac:dyDescent="0.25">
      <c r="B232" s="1" t="s">
        <v>8</v>
      </c>
      <c r="C232" s="2"/>
      <c r="D232" s="2"/>
      <c r="E232" s="2"/>
      <c r="F232" s="2"/>
      <c r="G232" s="2"/>
      <c r="H232" s="2"/>
      <c r="I232" s="2"/>
      <c r="J232" s="2"/>
      <c r="K232" s="2">
        <f t="shared" ref="K232:K250" si="120">SUM(C232:J232)</f>
        <v>0</v>
      </c>
      <c r="M232" s="1" t="s">
        <v>8</v>
      </c>
      <c r="N232" s="2"/>
      <c r="O232" s="2"/>
      <c r="P232" s="2"/>
      <c r="Q232" s="2"/>
      <c r="R232" s="2"/>
      <c r="S232" s="2"/>
      <c r="T232" s="2"/>
      <c r="U232" s="2"/>
      <c r="V232" s="2">
        <f t="shared" ref="V232:V250" si="121">SUM(N232:U232)</f>
        <v>0</v>
      </c>
      <c r="X232" s="1" t="s">
        <v>8</v>
      </c>
      <c r="Y232" s="2">
        <f t="shared" si="112"/>
        <v>0</v>
      </c>
      <c r="Z232" s="2">
        <f t="shared" si="113"/>
        <v>0</v>
      </c>
      <c r="AA232" s="2">
        <f t="shared" si="114"/>
        <v>0</v>
      </c>
      <c r="AB232" s="2">
        <f t="shared" si="115"/>
        <v>0</v>
      </c>
      <c r="AC232" s="2">
        <f t="shared" si="116"/>
        <v>0</v>
      </c>
      <c r="AD232" s="2">
        <f t="shared" si="117"/>
        <v>0</v>
      </c>
      <c r="AE232" s="2">
        <f t="shared" si="118"/>
        <v>0</v>
      </c>
      <c r="AF232" s="2">
        <f t="shared" si="119"/>
        <v>0</v>
      </c>
      <c r="AG232" s="2">
        <f t="shared" ref="AG232:AG250" si="122">SUM(Y232:AF232)</f>
        <v>0</v>
      </c>
    </row>
    <row r="233" spans="2:33" hidden="1" x14ac:dyDescent="0.25">
      <c r="B233" s="1" t="s">
        <v>336</v>
      </c>
      <c r="C233" s="2"/>
      <c r="D233" s="2"/>
      <c r="E233" s="2"/>
      <c r="F233" s="2"/>
      <c r="G233" s="2"/>
      <c r="H233" s="2"/>
      <c r="I233" s="2"/>
      <c r="J233" s="2"/>
      <c r="K233" s="2">
        <f t="shared" si="120"/>
        <v>0</v>
      </c>
      <c r="M233" s="1" t="s">
        <v>336</v>
      </c>
      <c r="N233" s="2"/>
      <c r="O233" s="2"/>
      <c r="P233" s="2"/>
      <c r="Q233" s="2"/>
      <c r="R233" s="2"/>
      <c r="S233" s="2"/>
      <c r="T233" s="2"/>
      <c r="U233" s="2"/>
      <c r="V233" s="2">
        <f t="shared" si="121"/>
        <v>0</v>
      </c>
      <c r="X233" s="1" t="s">
        <v>7</v>
      </c>
      <c r="Y233" s="2">
        <f t="shared" si="112"/>
        <v>0</v>
      </c>
      <c r="Z233" s="2">
        <f t="shared" si="113"/>
        <v>0</v>
      </c>
      <c r="AA233" s="2">
        <f t="shared" si="114"/>
        <v>0</v>
      </c>
      <c r="AB233" s="2">
        <f t="shared" si="115"/>
        <v>0</v>
      </c>
      <c r="AC233" s="2">
        <f t="shared" si="116"/>
        <v>0</v>
      </c>
      <c r="AD233" s="2">
        <f t="shared" si="117"/>
        <v>0</v>
      </c>
      <c r="AE233" s="2">
        <f t="shared" si="118"/>
        <v>0</v>
      </c>
      <c r="AF233" s="2">
        <f t="shared" si="119"/>
        <v>0</v>
      </c>
      <c r="AG233" s="2">
        <f t="shared" si="122"/>
        <v>0</v>
      </c>
    </row>
    <row r="234" spans="2:33" hidden="1" x14ac:dyDescent="0.25">
      <c r="B234" s="1" t="s">
        <v>42</v>
      </c>
      <c r="C234" s="2"/>
      <c r="D234" s="2"/>
      <c r="E234" s="2"/>
      <c r="F234" s="2"/>
      <c r="G234" s="2"/>
      <c r="H234" s="2"/>
      <c r="I234" s="2"/>
      <c r="J234" s="2"/>
      <c r="K234" s="2">
        <f t="shared" si="120"/>
        <v>0</v>
      </c>
      <c r="M234" s="1" t="s">
        <v>42</v>
      </c>
      <c r="N234" s="2"/>
      <c r="O234" s="2"/>
      <c r="P234" s="2"/>
      <c r="Q234" s="2"/>
      <c r="R234" s="2"/>
      <c r="S234" s="2"/>
      <c r="T234" s="2"/>
      <c r="U234" s="2"/>
      <c r="V234" s="2">
        <f t="shared" si="121"/>
        <v>0</v>
      </c>
      <c r="X234" s="1" t="s">
        <v>42</v>
      </c>
      <c r="Y234" s="2">
        <f t="shared" si="112"/>
        <v>0</v>
      </c>
      <c r="Z234" s="2">
        <f t="shared" si="113"/>
        <v>0</v>
      </c>
      <c r="AA234" s="2">
        <f t="shared" si="114"/>
        <v>0</v>
      </c>
      <c r="AB234" s="2">
        <f t="shared" si="115"/>
        <v>0</v>
      </c>
      <c r="AC234" s="2">
        <f t="shared" si="116"/>
        <v>0</v>
      </c>
      <c r="AD234" s="2">
        <f t="shared" si="117"/>
        <v>0</v>
      </c>
      <c r="AE234" s="2">
        <f t="shared" si="118"/>
        <v>0</v>
      </c>
      <c r="AF234" s="2">
        <f t="shared" si="119"/>
        <v>0</v>
      </c>
      <c r="AG234" s="2">
        <f t="shared" si="122"/>
        <v>0</v>
      </c>
    </row>
    <row r="235" spans="2:33" hidden="1" x14ac:dyDescent="0.25">
      <c r="B235" s="1" t="s">
        <v>6</v>
      </c>
      <c r="C235" s="2"/>
      <c r="D235" s="2"/>
      <c r="E235" s="2"/>
      <c r="F235" s="2"/>
      <c r="G235" s="2"/>
      <c r="H235" s="2"/>
      <c r="I235" s="2"/>
      <c r="J235" s="2"/>
      <c r="K235" s="2">
        <f t="shared" si="120"/>
        <v>0</v>
      </c>
      <c r="M235" s="1" t="s">
        <v>6</v>
      </c>
      <c r="N235" s="2"/>
      <c r="O235" s="2"/>
      <c r="P235" s="2"/>
      <c r="Q235" s="2"/>
      <c r="R235" s="2"/>
      <c r="S235" s="2"/>
      <c r="T235" s="2"/>
      <c r="U235" s="2"/>
      <c r="V235" s="2">
        <f t="shared" si="121"/>
        <v>0</v>
      </c>
      <c r="X235" s="1" t="s">
        <v>6</v>
      </c>
      <c r="Y235" s="2">
        <f t="shared" si="112"/>
        <v>0</v>
      </c>
      <c r="Z235" s="2">
        <f t="shared" si="113"/>
        <v>0</v>
      </c>
      <c r="AA235" s="2">
        <f t="shared" si="114"/>
        <v>0</v>
      </c>
      <c r="AB235" s="2">
        <f t="shared" si="115"/>
        <v>0</v>
      </c>
      <c r="AC235" s="2">
        <f t="shared" si="116"/>
        <v>0</v>
      </c>
      <c r="AD235" s="2">
        <f t="shared" si="117"/>
        <v>0</v>
      </c>
      <c r="AE235" s="2">
        <f t="shared" si="118"/>
        <v>0</v>
      </c>
      <c r="AF235" s="2">
        <f t="shared" si="119"/>
        <v>0</v>
      </c>
      <c r="AG235" s="2">
        <f t="shared" si="122"/>
        <v>0</v>
      </c>
    </row>
    <row r="236" spans="2:33" hidden="1" x14ac:dyDescent="0.25">
      <c r="B236" s="1" t="s">
        <v>90</v>
      </c>
      <c r="C236" s="2"/>
      <c r="D236" s="2"/>
      <c r="E236" s="2"/>
      <c r="F236" s="2"/>
      <c r="G236" s="2"/>
      <c r="H236" s="2"/>
      <c r="I236" s="2"/>
      <c r="J236" s="2"/>
      <c r="K236" s="2">
        <f t="shared" si="120"/>
        <v>0</v>
      </c>
      <c r="M236" s="1" t="s">
        <v>90</v>
      </c>
      <c r="N236" s="2"/>
      <c r="O236" s="2"/>
      <c r="P236" s="2"/>
      <c r="Q236" s="2"/>
      <c r="R236" s="2"/>
      <c r="S236" s="2"/>
      <c r="T236" s="2"/>
      <c r="U236" s="2"/>
      <c r="V236" s="2">
        <f t="shared" si="121"/>
        <v>0</v>
      </c>
      <c r="X236" s="1" t="s">
        <v>90</v>
      </c>
      <c r="Y236" s="2">
        <f t="shared" si="112"/>
        <v>0</v>
      </c>
      <c r="Z236" s="2">
        <f t="shared" si="113"/>
        <v>0</v>
      </c>
      <c r="AA236" s="2">
        <f t="shared" si="114"/>
        <v>0</v>
      </c>
      <c r="AB236" s="2">
        <f t="shared" si="115"/>
        <v>0</v>
      </c>
      <c r="AC236" s="2">
        <f t="shared" si="116"/>
        <v>0</v>
      </c>
      <c r="AD236" s="2">
        <f t="shared" si="117"/>
        <v>0</v>
      </c>
      <c r="AE236" s="2">
        <f t="shared" si="118"/>
        <v>0</v>
      </c>
      <c r="AF236" s="2">
        <f t="shared" si="119"/>
        <v>0</v>
      </c>
      <c r="AG236" s="2">
        <f t="shared" si="122"/>
        <v>0</v>
      </c>
    </row>
    <row r="237" spans="2:33" hidden="1" x14ac:dyDescent="0.25">
      <c r="B237" s="1" t="s">
        <v>342</v>
      </c>
      <c r="C237" s="2"/>
      <c r="D237" s="2"/>
      <c r="E237" s="2"/>
      <c r="F237" s="2"/>
      <c r="G237" s="2"/>
      <c r="H237" s="2"/>
      <c r="I237" s="2"/>
      <c r="J237" s="2"/>
      <c r="K237" s="2">
        <f t="shared" si="120"/>
        <v>0</v>
      </c>
      <c r="M237" s="1" t="s">
        <v>342</v>
      </c>
      <c r="N237" s="2"/>
      <c r="O237" s="2"/>
      <c r="P237" s="2"/>
      <c r="Q237" s="2"/>
      <c r="R237" s="2"/>
      <c r="S237" s="2"/>
      <c r="T237" s="2"/>
      <c r="U237" s="2"/>
      <c r="V237" s="2">
        <f t="shared" si="121"/>
        <v>0</v>
      </c>
      <c r="X237" s="1" t="s">
        <v>50</v>
      </c>
      <c r="Y237" s="2">
        <f t="shared" si="112"/>
        <v>0</v>
      </c>
      <c r="Z237" s="2">
        <f t="shared" si="113"/>
        <v>0</v>
      </c>
      <c r="AA237" s="2">
        <f t="shared" si="114"/>
        <v>0</v>
      </c>
      <c r="AB237" s="2">
        <f t="shared" si="115"/>
        <v>0</v>
      </c>
      <c r="AC237" s="2">
        <f t="shared" si="116"/>
        <v>0</v>
      </c>
      <c r="AD237" s="2">
        <f t="shared" si="117"/>
        <v>0</v>
      </c>
      <c r="AE237" s="2">
        <f t="shared" si="118"/>
        <v>0</v>
      </c>
      <c r="AF237" s="2">
        <f t="shared" si="119"/>
        <v>0</v>
      </c>
      <c r="AG237" s="2">
        <f t="shared" si="122"/>
        <v>0</v>
      </c>
    </row>
    <row r="238" spans="2:33" hidden="1" x14ac:dyDescent="0.25">
      <c r="B238" s="1" t="s">
        <v>89</v>
      </c>
      <c r="C238" s="2"/>
      <c r="D238" s="2"/>
      <c r="E238" s="2"/>
      <c r="F238" s="2"/>
      <c r="G238" s="2"/>
      <c r="H238" s="2"/>
      <c r="I238" s="2"/>
      <c r="J238" s="2"/>
      <c r="K238" s="2">
        <f t="shared" si="120"/>
        <v>0</v>
      </c>
      <c r="M238" s="1" t="s">
        <v>89</v>
      </c>
      <c r="N238" s="2"/>
      <c r="O238" s="2"/>
      <c r="P238" s="2"/>
      <c r="Q238" s="2"/>
      <c r="R238" s="2"/>
      <c r="S238" s="2"/>
      <c r="T238" s="2"/>
      <c r="U238" s="2"/>
      <c r="V238" s="2">
        <f t="shared" si="121"/>
        <v>0</v>
      </c>
      <c r="X238" s="1" t="s">
        <v>89</v>
      </c>
      <c r="Y238" s="2">
        <f t="shared" si="112"/>
        <v>0</v>
      </c>
      <c r="Z238" s="2">
        <f t="shared" si="113"/>
        <v>0</v>
      </c>
      <c r="AA238" s="2">
        <f t="shared" si="114"/>
        <v>0</v>
      </c>
      <c r="AB238" s="2">
        <f t="shared" si="115"/>
        <v>0</v>
      </c>
      <c r="AC238" s="2">
        <f t="shared" si="116"/>
        <v>0</v>
      </c>
      <c r="AD238" s="2">
        <f t="shared" si="117"/>
        <v>0</v>
      </c>
      <c r="AE238" s="2">
        <f t="shared" si="118"/>
        <v>0</v>
      </c>
      <c r="AF238" s="2">
        <f t="shared" si="119"/>
        <v>0</v>
      </c>
      <c r="AG238" s="2">
        <f t="shared" si="122"/>
        <v>0</v>
      </c>
    </row>
    <row r="239" spans="2:33" hidden="1" x14ac:dyDescent="0.25">
      <c r="B239" s="1" t="s">
        <v>5</v>
      </c>
      <c r="C239" s="2"/>
      <c r="D239" s="2"/>
      <c r="E239" s="2"/>
      <c r="F239" s="2"/>
      <c r="G239" s="2"/>
      <c r="H239" s="2"/>
      <c r="I239" s="2"/>
      <c r="J239" s="2"/>
      <c r="K239" s="2">
        <f t="shared" si="120"/>
        <v>0</v>
      </c>
      <c r="M239" s="1" t="s">
        <v>5</v>
      </c>
      <c r="N239" s="2"/>
      <c r="O239" s="2"/>
      <c r="P239" s="2"/>
      <c r="Q239" s="2"/>
      <c r="R239" s="2"/>
      <c r="S239" s="2"/>
      <c r="T239" s="2"/>
      <c r="U239" s="2"/>
      <c r="V239" s="2">
        <f t="shared" si="121"/>
        <v>0</v>
      </c>
      <c r="X239" s="1" t="s">
        <v>5</v>
      </c>
      <c r="Y239" s="2">
        <f t="shared" si="112"/>
        <v>0</v>
      </c>
      <c r="Z239" s="2">
        <f t="shared" si="113"/>
        <v>0</v>
      </c>
      <c r="AA239" s="2">
        <f t="shared" si="114"/>
        <v>0</v>
      </c>
      <c r="AB239" s="2">
        <f t="shared" si="115"/>
        <v>0</v>
      </c>
      <c r="AC239" s="2">
        <f t="shared" si="116"/>
        <v>0</v>
      </c>
      <c r="AD239" s="2">
        <f t="shared" si="117"/>
        <v>0</v>
      </c>
      <c r="AE239" s="2">
        <f t="shared" si="118"/>
        <v>0</v>
      </c>
      <c r="AF239" s="2">
        <f t="shared" si="119"/>
        <v>0</v>
      </c>
      <c r="AG239" s="2">
        <f t="shared" si="122"/>
        <v>0</v>
      </c>
    </row>
    <row r="240" spans="2:33" hidden="1" x14ac:dyDescent="0.25">
      <c r="B240" s="1" t="s">
        <v>84</v>
      </c>
      <c r="C240" s="2"/>
      <c r="D240" s="2"/>
      <c r="E240" s="2"/>
      <c r="F240" s="2"/>
      <c r="G240" s="2"/>
      <c r="H240" s="2"/>
      <c r="I240" s="2"/>
      <c r="J240" s="2"/>
      <c r="K240" s="2">
        <f t="shared" si="120"/>
        <v>0</v>
      </c>
      <c r="M240" s="1" t="s">
        <v>84</v>
      </c>
      <c r="N240" s="2"/>
      <c r="O240" s="2"/>
      <c r="P240" s="2"/>
      <c r="Q240" s="2"/>
      <c r="R240" s="2"/>
      <c r="S240" s="2"/>
      <c r="T240" s="2"/>
      <c r="U240" s="2"/>
      <c r="V240" s="2">
        <f t="shared" si="121"/>
        <v>0</v>
      </c>
      <c r="X240" s="1" t="s">
        <v>84</v>
      </c>
      <c r="Y240" s="2">
        <f t="shared" si="112"/>
        <v>0</v>
      </c>
      <c r="Z240" s="2">
        <f t="shared" si="113"/>
        <v>0</v>
      </c>
      <c r="AA240" s="2">
        <f t="shared" si="114"/>
        <v>0</v>
      </c>
      <c r="AB240" s="2">
        <f t="shared" si="115"/>
        <v>0</v>
      </c>
      <c r="AC240" s="2">
        <f t="shared" si="116"/>
        <v>0</v>
      </c>
      <c r="AD240" s="2">
        <f t="shared" si="117"/>
        <v>0</v>
      </c>
      <c r="AE240" s="2">
        <f t="shared" si="118"/>
        <v>0</v>
      </c>
      <c r="AF240" s="2">
        <f t="shared" si="119"/>
        <v>0</v>
      </c>
      <c r="AG240" s="2">
        <f t="shared" si="122"/>
        <v>0</v>
      </c>
    </row>
    <row r="241" spans="2:33" hidden="1" x14ac:dyDescent="0.25">
      <c r="B241" s="1" t="s">
        <v>4</v>
      </c>
      <c r="C241" s="2"/>
      <c r="D241" s="2"/>
      <c r="E241" s="2"/>
      <c r="F241" s="2"/>
      <c r="G241" s="2"/>
      <c r="H241" s="2"/>
      <c r="I241" s="2"/>
      <c r="J241" s="2"/>
      <c r="K241" s="2">
        <f t="shared" si="120"/>
        <v>0</v>
      </c>
      <c r="M241" s="1" t="s">
        <v>4</v>
      </c>
      <c r="N241" s="2"/>
      <c r="O241" s="2"/>
      <c r="P241" s="2"/>
      <c r="Q241" s="2"/>
      <c r="R241" s="2"/>
      <c r="S241" s="2"/>
      <c r="T241" s="2"/>
      <c r="U241" s="2"/>
      <c r="V241" s="2">
        <f t="shared" si="121"/>
        <v>0</v>
      </c>
      <c r="X241" s="1" t="s">
        <v>4</v>
      </c>
      <c r="Y241" s="2">
        <f t="shared" si="112"/>
        <v>0</v>
      </c>
      <c r="Z241" s="2">
        <f t="shared" si="113"/>
        <v>0</v>
      </c>
      <c r="AA241" s="2">
        <f t="shared" si="114"/>
        <v>0</v>
      </c>
      <c r="AB241" s="2">
        <f t="shared" si="115"/>
        <v>0</v>
      </c>
      <c r="AC241" s="2">
        <f t="shared" si="116"/>
        <v>0</v>
      </c>
      <c r="AD241" s="2">
        <f t="shared" si="117"/>
        <v>0</v>
      </c>
      <c r="AE241" s="2">
        <f t="shared" si="118"/>
        <v>0</v>
      </c>
      <c r="AF241" s="2">
        <f t="shared" si="119"/>
        <v>0</v>
      </c>
      <c r="AG241" s="2">
        <f t="shared" si="122"/>
        <v>0</v>
      </c>
    </row>
    <row r="242" spans="2:33" hidden="1" x14ac:dyDescent="0.25">
      <c r="B242" s="1" t="s">
        <v>51</v>
      </c>
      <c r="C242" s="2"/>
      <c r="D242" s="2"/>
      <c r="E242" s="2"/>
      <c r="F242" s="2"/>
      <c r="G242" s="2"/>
      <c r="H242" s="2"/>
      <c r="I242" s="2"/>
      <c r="J242" s="2"/>
      <c r="K242" s="2">
        <f t="shared" si="120"/>
        <v>0</v>
      </c>
      <c r="M242" s="1" t="s">
        <v>51</v>
      </c>
      <c r="N242" s="2"/>
      <c r="O242" s="2"/>
      <c r="P242" s="2"/>
      <c r="Q242" s="2"/>
      <c r="R242" s="2"/>
      <c r="S242" s="2"/>
      <c r="T242" s="2"/>
      <c r="U242" s="2"/>
      <c r="V242" s="2">
        <f t="shared" si="121"/>
        <v>0</v>
      </c>
      <c r="X242" s="1" t="s">
        <v>51</v>
      </c>
      <c r="Y242" s="2">
        <f t="shared" si="112"/>
        <v>0</v>
      </c>
      <c r="Z242" s="2">
        <f t="shared" si="113"/>
        <v>0</v>
      </c>
      <c r="AA242" s="2">
        <f t="shared" si="114"/>
        <v>0</v>
      </c>
      <c r="AB242" s="2">
        <f t="shared" si="115"/>
        <v>0</v>
      </c>
      <c r="AC242" s="2">
        <f t="shared" si="116"/>
        <v>0</v>
      </c>
      <c r="AD242" s="2">
        <f t="shared" si="117"/>
        <v>0</v>
      </c>
      <c r="AE242" s="2">
        <f t="shared" si="118"/>
        <v>0</v>
      </c>
      <c r="AF242" s="2">
        <f t="shared" si="119"/>
        <v>0</v>
      </c>
      <c r="AG242" s="2">
        <f t="shared" si="122"/>
        <v>0</v>
      </c>
    </row>
    <row r="243" spans="2:33" hidden="1" x14ac:dyDescent="0.25">
      <c r="B243" s="1" t="s">
        <v>87</v>
      </c>
      <c r="C243" s="2"/>
      <c r="D243" s="2"/>
      <c r="E243" s="2"/>
      <c r="F243" s="2"/>
      <c r="G243" s="2"/>
      <c r="H243" s="2"/>
      <c r="I243" s="2"/>
      <c r="J243" s="2"/>
      <c r="K243" s="2">
        <f t="shared" si="120"/>
        <v>0</v>
      </c>
      <c r="M243" s="1" t="s">
        <v>87</v>
      </c>
      <c r="N243" s="2"/>
      <c r="O243" s="2"/>
      <c r="P243" s="2"/>
      <c r="Q243" s="2"/>
      <c r="R243" s="2"/>
      <c r="S243" s="2"/>
      <c r="T243" s="2"/>
      <c r="U243" s="2"/>
      <c r="V243" s="2">
        <f t="shared" si="121"/>
        <v>0</v>
      </c>
      <c r="X243" s="1" t="s">
        <v>87</v>
      </c>
      <c r="Y243" s="2">
        <f t="shared" si="112"/>
        <v>0</v>
      </c>
      <c r="Z243" s="2">
        <f t="shared" si="113"/>
        <v>0</v>
      </c>
      <c r="AA243" s="2">
        <f t="shared" si="114"/>
        <v>0</v>
      </c>
      <c r="AB243" s="2">
        <f t="shared" si="115"/>
        <v>0</v>
      </c>
      <c r="AC243" s="2">
        <f t="shared" si="116"/>
        <v>0</v>
      </c>
      <c r="AD243" s="2">
        <f t="shared" si="117"/>
        <v>0</v>
      </c>
      <c r="AE243" s="2">
        <f t="shared" si="118"/>
        <v>0</v>
      </c>
      <c r="AF243" s="2">
        <f t="shared" si="119"/>
        <v>0</v>
      </c>
      <c r="AG243" s="2">
        <f t="shared" si="122"/>
        <v>0</v>
      </c>
    </row>
    <row r="244" spans="2:33" hidden="1" x14ac:dyDescent="0.25">
      <c r="B244" s="1" t="s">
        <v>85</v>
      </c>
      <c r="C244" s="2"/>
      <c r="D244" s="2"/>
      <c r="E244" s="2"/>
      <c r="F244" s="2"/>
      <c r="G244" s="2"/>
      <c r="H244" s="2"/>
      <c r="I244" s="2"/>
      <c r="J244" s="2"/>
      <c r="K244" s="2">
        <f t="shared" si="120"/>
        <v>0</v>
      </c>
      <c r="M244" s="1" t="s">
        <v>85</v>
      </c>
      <c r="N244" s="2"/>
      <c r="O244" s="2"/>
      <c r="P244" s="2"/>
      <c r="Q244" s="2"/>
      <c r="R244" s="2"/>
      <c r="S244" s="2"/>
      <c r="T244" s="2"/>
      <c r="U244" s="2"/>
      <c r="V244" s="2">
        <f t="shared" si="121"/>
        <v>0</v>
      </c>
      <c r="X244" s="1" t="s">
        <v>85</v>
      </c>
      <c r="Y244" s="2">
        <f t="shared" si="112"/>
        <v>0</v>
      </c>
      <c r="Z244" s="2">
        <f t="shared" si="113"/>
        <v>0</v>
      </c>
      <c r="AA244" s="2">
        <f t="shared" si="114"/>
        <v>0</v>
      </c>
      <c r="AB244" s="2">
        <f t="shared" si="115"/>
        <v>0</v>
      </c>
      <c r="AC244" s="2">
        <f t="shared" si="116"/>
        <v>0</v>
      </c>
      <c r="AD244" s="2">
        <f t="shared" si="117"/>
        <v>0</v>
      </c>
      <c r="AE244" s="2">
        <f t="shared" si="118"/>
        <v>0</v>
      </c>
      <c r="AF244" s="2">
        <f t="shared" si="119"/>
        <v>0</v>
      </c>
      <c r="AG244" s="2">
        <f t="shared" si="122"/>
        <v>0</v>
      </c>
    </row>
    <row r="245" spans="2:33" hidden="1" x14ac:dyDescent="0.25">
      <c r="B245" s="1" t="s">
        <v>2</v>
      </c>
      <c r="C245" s="2"/>
      <c r="D245" s="2"/>
      <c r="E245" s="2"/>
      <c r="F245" s="2"/>
      <c r="G245" s="2"/>
      <c r="H245" s="2"/>
      <c r="I245" s="2"/>
      <c r="J245" s="2"/>
      <c r="K245" s="2">
        <f t="shared" si="120"/>
        <v>0</v>
      </c>
      <c r="M245" s="1" t="s">
        <v>2</v>
      </c>
      <c r="N245" s="2"/>
      <c r="O245" s="2"/>
      <c r="P245" s="2"/>
      <c r="Q245" s="2"/>
      <c r="R245" s="2"/>
      <c r="S245" s="2"/>
      <c r="T245" s="2"/>
      <c r="U245" s="2"/>
      <c r="V245" s="2">
        <f t="shared" si="121"/>
        <v>0</v>
      </c>
      <c r="X245" s="1" t="s">
        <v>2</v>
      </c>
      <c r="Y245" s="2">
        <f t="shared" si="112"/>
        <v>0</v>
      </c>
      <c r="Z245" s="2">
        <f t="shared" si="113"/>
        <v>0</v>
      </c>
      <c r="AA245" s="2">
        <f t="shared" si="114"/>
        <v>0</v>
      </c>
      <c r="AB245" s="2">
        <f t="shared" si="115"/>
        <v>0</v>
      </c>
      <c r="AC245" s="2">
        <f t="shared" si="116"/>
        <v>0</v>
      </c>
      <c r="AD245" s="2">
        <f t="shared" si="117"/>
        <v>0</v>
      </c>
      <c r="AE245" s="2">
        <f t="shared" si="118"/>
        <v>0</v>
      </c>
      <c r="AF245" s="2">
        <f t="shared" si="119"/>
        <v>0</v>
      </c>
      <c r="AG245" s="2">
        <f t="shared" si="122"/>
        <v>0</v>
      </c>
    </row>
    <row r="246" spans="2:33" hidden="1" x14ac:dyDescent="0.25">
      <c r="B246" s="1" t="s">
        <v>86</v>
      </c>
      <c r="C246" s="2"/>
      <c r="D246" s="2"/>
      <c r="E246" s="2"/>
      <c r="F246" s="2"/>
      <c r="G246" s="2"/>
      <c r="H246" s="2"/>
      <c r="I246" s="2"/>
      <c r="J246" s="2"/>
      <c r="K246" s="2">
        <f t="shared" si="120"/>
        <v>0</v>
      </c>
      <c r="M246" s="1" t="s">
        <v>86</v>
      </c>
      <c r="N246" s="2"/>
      <c r="O246" s="2"/>
      <c r="P246" s="2"/>
      <c r="Q246" s="2"/>
      <c r="R246" s="2"/>
      <c r="S246" s="2"/>
      <c r="T246" s="2"/>
      <c r="U246" s="2"/>
      <c r="V246" s="2">
        <f t="shared" si="121"/>
        <v>0</v>
      </c>
      <c r="X246" s="1" t="s">
        <v>86</v>
      </c>
      <c r="Y246" s="2">
        <f t="shared" si="112"/>
        <v>0</v>
      </c>
      <c r="Z246" s="2">
        <f t="shared" si="113"/>
        <v>0</v>
      </c>
      <c r="AA246" s="2">
        <f t="shared" si="114"/>
        <v>0</v>
      </c>
      <c r="AB246" s="2">
        <f t="shared" si="115"/>
        <v>0</v>
      </c>
      <c r="AC246" s="2">
        <f t="shared" si="116"/>
        <v>0</v>
      </c>
      <c r="AD246" s="2">
        <f t="shared" si="117"/>
        <v>0</v>
      </c>
      <c r="AE246" s="2">
        <f t="shared" si="118"/>
        <v>0</v>
      </c>
      <c r="AF246" s="2">
        <f t="shared" si="119"/>
        <v>0</v>
      </c>
      <c r="AG246" s="2">
        <f t="shared" si="122"/>
        <v>0</v>
      </c>
    </row>
    <row r="247" spans="2:33" hidden="1" x14ac:dyDescent="0.25">
      <c r="B247" s="1" t="s">
        <v>29</v>
      </c>
      <c r="C247" s="2"/>
      <c r="D247" s="2"/>
      <c r="E247" s="2"/>
      <c r="F247" s="2"/>
      <c r="G247" s="2"/>
      <c r="H247" s="2"/>
      <c r="I247" s="2"/>
      <c r="J247" s="2"/>
      <c r="K247" s="2">
        <f t="shared" si="120"/>
        <v>0</v>
      </c>
      <c r="M247" s="1" t="s">
        <v>29</v>
      </c>
      <c r="N247" s="2"/>
      <c r="O247" s="2"/>
      <c r="P247" s="2"/>
      <c r="Q247" s="2"/>
      <c r="R247" s="2"/>
      <c r="S247" s="2"/>
      <c r="T247" s="2"/>
      <c r="U247" s="2"/>
      <c r="V247" s="2">
        <f t="shared" si="121"/>
        <v>0</v>
      </c>
      <c r="X247" s="1" t="s">
        <v>29</v>
      </c>
      <c r="Y247" s="2">
        <f t="shared" si="112"/>
        <v>0</v>
      </c>
      <c r="Z247" s="2">
        <f t="shared" si="113"/>
        <v>0</v>
      </c>
      <c r="AA247" s="2">
        <f t="shared" si="114"/>
        <v>0</v>
      </c>
      <c r="AB247" s="2">
        <f t="shared" si="115"/>
        <v>0</v>
      </c>
      <c r="AC247" s="2">
        <f t="shared" si="116"/>
        <v>0</v>
      </c>
      <c r="AD247" s="2">
        <f t="shared" si="117"/>
        <v>0</v>
      </c>
      <c r="AE247" s="2">
        <f t="shared" si="118"/>
        <v>0</v>
      </c>
      <c r="AF247" s="2">
        <f t="shared" si="119"/>
        <v>0</v>
      </c>
      <c r="AG247" s="2">
        <f t="shared" si="122"/>
        <v>0</v>
      </c>
    </row>
    <row r="248" spans="2:33" hidden="1" x14ac:dyDescent="0.25">
      <c r="B248" s="1" t="s">
        <v>88</v>
      </c>
      <c r="C248" s="2"/>
      <c r="D248" s="2"/>
      <c r="E248" s="2"/>
      <c r="F248" s="2"/>
      <c r="G248" s="2"/>
      <c r="H248" s="2"/>
      <c r="I248" s="2"/>
      <c r="J248" s="2"/>
      <c r="K248" s="2">
        <f t="shared" si="120"/>
        <v>0</v>
      </c>
      <c r="M248" s="1" t="s">
        <v>88</v>
      </c>
      <c r="N248" s="2"/>
      <c r="O248" s="2"/>
      <c r="P248" s="2"/>
      <c r="Q248" s="2"/>
      <c r="R248" s="2"/>
      <c r="S248" s="2"/>
      <c r="T248" s="2"/>
      <c r="U248" s="2"/>
      <c r="V248" s="2">
        <f t="shared" si="121"/>
        <v>0</v>
      </c>
      <c r="X248" s="1" t="s">
        <v>52</v>
      </c>
      <c r="Y248" s="2">
        <f t="shared" si="112"/>
        <v>0</v>
      </c>
      <c r="Z248" s="2">
        <f t="shared" si="113"/>
        <v>0</v>
      </c>
      <c r="AA248" s="2">
        <f t="shared" si="114"/>
        <v>0</v>
      </c>
      <c r="AB248" s="2">
        <f t="shared" si="115"/>
        <v>0</v>
      </c>
      <c r="AC248" s="2">
        <f t="shared" si="116"/>
        <v>0</v>
      </c>
      <c r="AD248" s="2">
        <f t="shared" si="117"/>
        <v>0</v>
      </c>
      <c r="AE248" s="2">
        <f t="shared" si="118"/>
        <v>0</v>
      </c>
      <c r="AF248" s="2">
        <f t="shared" si="119"/>
        <v>0</v>
      </c>
      <c r="AG248" s="2">
        <f t="shared" si="122"/>
        <v>0</v>
      </c>
    </row>
    <row r="249" spans="2:33" hidden="1" x14ac:dyDescent="0.25">
      <c r="B249" s="1" t="s">
        <v>341</v>
      </c>
      <c r="C249" s="2"/>
      <c r="D249" s="2"/>
      <c r="E249" s="2"/>
      <c r="F249" s="2"/>
      <c r="G249" s="2"/>
      <c r="H249" s="2"/>
      <c r="I249" s="2"/>
      <c r="J249" s="2"/>
      <c r="K249" s="2">
        <f t="shared" si="120"/>
        <v>0</v>
      </c>
      <c r="M249" s="1" t="s">
        <v>341</v>
      </c>
      <c r="N249" s="2"/>
      <c r="O249" s="2"/>
      <c r="P249" s="2"/>
      <c r="Q249" s="2"/>
      <c r="R249" s="2"/>
      <c r="S249" s="2"/>
      <c r="T249" s="2"/>
      <c r="U249" s="2"/>
      <c r="V249" s="2">
        <f t="shared" si="121"/>
        <v>0</v>
      </c>
      <c r="X249" s="1" t="s">
        <v>88</v>
      </c>
      <c r="Y249" s="2">
        <f t="shared" si="112"/>
        <v>0</v>
      </c>
      <c r="Z249" s="2">
        <f t="shared" si="113"/>
        <v>0</v>
      </c>
      <c r="AA249" s="2">
        <f t="shared" si="114"/>
        <v>0</v>
      </c>
      <c r="AB249" s="2">
        <f t="shared" si="115"/>
        <v>0</v>
      </c>
      <c r="AC249" s="2">
        <f t="shared" si="116"/>
        <v>0</v>
      </c>
      <c r="AD249" s="2">
        <f t="shared" si="117"/>
        <v>0</v>
      </c>
      <c r="AE249" s="2">
        <f t="shared" si="118"/>
        <v>0</v>
      </c>
      <c r="AF249" s="2">
        <f t="shared" si="119"/>
        <v>0</v>
      </c>
      <c r="AG249" s="2">
        <f t="shared" si="122"/>
        <v>0</v>
      </c>
    </row>
    <row r="250" spans="2:33" hidden="1" x14ac:dyDescent="0.25">
      <c r="B250" s="1" t="s">
        <v>340</v>
      </c>
      <c r="C250" s="2"/>
      <c r="D250" s="2"/>
      <c r="E250" s="2"/>
      <c r="F250" s="2"/>
      <c r="G250" s="2"/>
      <c r="H250" s="2"/>
      <c r="I250" s="2"/>
      <c r="J250" s="2"/>
      <c r="K250" s="2">
        <f t="shared" si="120"/>
        <v>0</v>
      </c>
      <c r="M250" s="1" t="s">
        <v>340</v>
      </c>
      <c r="N250" s="2"/>
      <c r="O250" s="2"/>
      <c r="P250" s="2"/>
      <c r="Q250" s="2"/>
      <c r="R250" s="2"/>
      <c r="S250" s="2"/>
      <c r="T250" s="2"/>
      <c r="U250" s="2"/>
      <c r="V250" s="2">
        <f t="shared" si="121"/>
        <v>0</v>
      </c>
      <c r="X250" s="1" t="s">
        <v>1</v>
      </c>
      <c r="Y250" s="2">
        <f t="shared" si="112"/>
        <v>0</v>
      </c>
      <c r="Z250" s="2">
        <f t="shared" si="113"/>
        <v>0</v>
      </c>
      <c r="AA250" s="2">
        <f t="shared" si="114"/>
        <v>0</v>
      </c>
      <c r="AB250" s="2">
        <f t="shared" si="115"/>
        <v>0</v>
      </c>
      <c r="AC250" s="2">
        <f t="shared" si="116"/>
        <v>0</v>
      </c>
      <c r="AD250" s="2">
        <f t="shared" si="117"/>
        <v>0</v>
      </c>
      <c r="AE250" s="2">
        <f t="shared" si="118"/>
        <v>0</v>
      </c>
      <c r="AF250" s="2">
        <f t="shared" si="119"/>
        <v>0</v>
      </c>
      <c r="AG250" s="2">
        <f t="shared" si="122"/>
        <v>0</v>
      </c>
    </row>
    <row r="251" spans="2:33" ht="15.75" hidden="1" thickBot="1" x14ac:dyDescent="0.3">
      <c r="C251" s="69">
        <f>SUM(C231:C250)</f>
        <v>0</v>
      </c>
      <c r="D251" s="69">
        <f t="shared" ref="D251:J251" si="123">SUM(D231:D250)</f>
        <v>0</v>
      </c>
      <c r="E251" s="69">
        <f t="shared" si="123"/>
        <v>0</v>
      </c>
      <c r="F251" s="69">
        <f t="shared" si="123"/>
        <v>0</v>
      </c>
      <c r="G251" s="69">
        <f t="shared" si="123"/>
        <v>0</v>
      </c>
      <c r="H251" s="69">
        <f t="shared" si="123"/>
        <v>0</v>
      </c>
      <c r="I251" s="69">
        <f t="shared" si="123"/>
        <v>0</v>
      </c>
      <c r="J251" s="69">
        <f t="shared" si="123"/>
        <v>0</v>
      </c>
      <c r="K251" s="69">
        <f>SUM(K231:K250)</f>
        <v>0</v>
      </c>
      <c r="N251" s="69">
        <f>SUM(N231:N250)</f>
        <v>0</v>
      </c>
      <c r="O251" s="69">
        <f t="shared" ref="O251:U251" si="124">SUM(O231:O250)</f>
        <v>0</v>
      </c>
      <c r="P251" s="69">
        <f t="shared" si="124"/>
        <v>0</v>
      </c>
      <c r="Q251" s="69">
        <f t="shared" si="124"/>
        <v>0</v>
      </c>
      <c r="R251" s="69">
        <f t="shared" si="124"/>
        <v>0</v>
      </c>
      <c r="S251" s="69">
        <f t="shared" si="124"/>
        <v>0</v>
      </c>
      <c r="T251" s="69">
        <f t="shared" si="124"/>
        <v>0</v>
      </c>
      <c r="U251" s="69">
        <f t="shared" si="124"/>
        <v>0</v>
      </c>
      <c r="V251" s="69">
        <f>SUM(V231:V250)</f>
        <v>0</v>
      </c>
      <c r="Y251" s="69">
        <f>SUM(Y231:Y250)</f>
        <v>0</v>
      </c>
      <c r="Z251" s="69">
        <f t="shared" ref="Z251:AF251" si="125">SUM(Z231:Z250)</f>
        <v>0</v>
      </c>
      <c r="AA251" s="69">
        <f t="shared" si="125"/>
        <v>0</v>
      </c>
      <c r="AB251" s="69">
        <f t="shared" si="125"/>
        <v>0</v>
      </c>
      <c r="AC251" s="69">
        <f t="shared" si="125"/>
        <v>0</v>
      </c>
      <c r="AD251" s="69">
        <f t="shared" si="125"/>
        <v>0</v>
      </c>
      <c r="AE251" s="69">
        <f t="shared" si="125"/>
        <v>0</v>
      </c>
      <c r="AF251" s="69">
        <f t="shared" si="125"/>
        <v>0</v>
      </c>
      <c r="AG251" s="69">
        <f>SUM(AG231:AG250)</f>
        <v>0</v>
      </c>
    </row>
    <row r="252" spans="2:33" hidden="1" x14ac:dyDescent="0.25"/>
    <row r="253" spans="2:33" hidden="1" x14ac:dyDescent="0.25"/>
    <row r="254" spans="2:33" hidden="1" x14ac:dyDescent="0.25">
      <c r="B254" s="71" t="s">
        <v>97</v>
      </c>
      <c r="C254" s="167">
        <f>$C$20</f>
        <v>45199</v>
      </c>
      <c r="D254" s="164"/>
      <c r="E254" s="164"/>
      <c r="F254" s="164"/>
      <c r="G254" s="164"/>
      <c r="H254" s="164"/>
      <c r="I254" s="164"/>
      <c r="J254" s="164"/>
      <c r="K254" s="164"/>
      <c r="M254" s="71" t="s">
        <v>97</v>
      </c>
      <c r="N254" s="178">
        <f>$N$20</f>
        <v>45169</v>
      </c>
      <c r="O254" s="179"/>
      <c r="P254" s="179"/>
      <c r="Q254" s="179"/>
      <c r="R254" s="179"/>
      <c r="S254" s="179"/>
      <c r="T254" s="179"/>
      <c r="U254" s="179"/>
      <c r="V254" s="179"/>
      <c r="X254" s="71" t="s">
        <v>97</v>
      </c>
      <c r="Y254" s="164" t="s">
        <v>98</v>
      </c>
      <c r="Z254" s="164"/>
      <c r="AA254" s="164"/>
      <c r="AB254" s="164"/>
      <c r="AC254" s="164"/>
      <c r="AD254" s="164"/>
      <c r="AE254" s="164"/>
      <c r="AF254" s="164"/>
      <c r="AG254" s="164"/>
    </row>
    <row r="255" spans="2:33" hidden="1" x14ac:dyDescent="0.25">
      <c r="B255" s="71" t="s">
        <v>96</v>
      </c>
      <c r="C255" s="164" t="str">
        <f>'Reimbursement Rates &lt;-INPUT'!K7</f>
        <v>Clinic 10</v>
      </c>
      <c r="D255" s="164"/>
      <c r="E255" s="164"/>
      <c r="F255" s="164"/>
      <c r="G255" s="164"/>
      <c r="H255" s="164"/>
      <c r="I255" s="164"/>
      <c r="J255" s="164"/>
      <c r="K255" s="164"/>
      <c r="M255" s="71" t="s">
        <v>96</v>
      </c>
      <c r="N255" s="164" t="str">
        <f>C255</f>
        <v>Clinic 10</v>
      </c>
      <c r="O255" s="164"/>
      <c r="P255" s="164"/>
      <c r="Q255" s="164"/>
      <c r="R255" s="164"/>
      <c r="S255" s="164"/>
      <c r="T255" s="164"/>
      <c r="U255" s="164"/>
      <c r="V255" s="164"/>
      <c r="X255" s="71" t="s">
        <v>96</v>
      </c>
      <c r="Y255" s="164" t="str">
        <f>C255</f>
        <v>Clinic 10</v>
      </c>
      <c r="Z255" s="164"/>
      <c r="AA255" s="164"/>
      <c r="AB255" s="164"/>
      <c r="AC255" s="164"/>
      <c r="AD255" s="164"/>
      <c r="AE255" s="164"/>
      <c r="AF255" s="164"/>
      <c r="AG255" s="164"/>
    </row>
    <row r="256" spans="2:33" hidden="1" x14ac:dyDescent="0.25">
      <c r="B256" s="4" t="s">
        <v>16</v>
      </c>
      <c r="C256" s="5" t="s">
        <v>15</v>
      </c>
      <c r="D256" s="5" t="s">
        <v>14</v>
      </c>
      <c r="E256" s="5" t="s">
        <v>13</v>
      </c>
      <c r="F256" s="5" t="s">
        <v>12</v>
      </c>
      <c r="G256" s="5" t="s">
        <v>94</v>
      </c>
      <c r="H256" s="5" t="s">
        <v>95</v>
      </c>
      <c r="I256" s="5" t="s">
        <v>38</v>
      </c>
      <c r="J256" s="5" t="s">
        <v>9</v>
      </c>
      <c r="K256" s="5" t="s">
        <v>80</v>
      </c>
      <c r="M256" s="4" t="s">
        <v>16</v>
      </c>
      <c r="N256" s="5" t="s">
        <v>15</v>
      </c>
      <c r="O256" s="5" t="s">
        <v>14</v>
      </c>
      <c r="P256" s="5" t="s">
        <v>13</v>
      </c>
      <c r="Q256" s="5" t="s">
        <v>12</v>
      </c>
      <c r="R256" s="5" t="s">
        <v>94</v>
      </c>
      <c r="S256" s="5" t="s">
        <v>95</v>
      </c>
      <c r="T256" s="5" t="s">
        <v>38</v>
      </c>
      <c r="U256" s="5" t="s">
        <v>9</v>
      </c>
      <c r="V256" s="5" t="s">
        <v>80</v>
      </c>
      <c r="X256" s="4" t="s">
        <v>16</v>
      </c>
      <c r="Y256" s="5" t="s">
        <v>15</v>
      </c>
      <c r="Z256" s="5" t="s">
        <v>14</v>
      </c>
      <c r="AA256" s="5" t="s">
        <v>13</v>
      </c>
      <c r="AB256" s="5" t="s">
        <v>12</v>
      </c>
      <c r="AC256" s="5" t="s">
        <v>94</v>
      </c>
      <c r="AD256" s="5" t="s">
        <v>95</v>
      </c>
      <c r="AE256" s="5" t="s">
        <v>38</v>
      </c>
      <c r="AF256" s="5" t="s">
        <v>9</v>
      </c>
      <c r="AG256" s="5" t="s">
        <v>80</v>
      </c>
    </row>
    <row r="257" spans="2:33" hidden="1" x14ac:dyDescent="0.25">
      <c r="B257" s="1" t="s">
        <v>335</v>
      </c>
      <c r="C257" s="2"/>
      <c r="D257" s="2"/>
      <c r="E257" s="2"/>
      <c r="F257" s="2"/>
      <c r="G257" s="2"/>
      <c r="H257" s="2"/>
      <c r="I257" s="2"/>
      <c r="J257" s="2"/>
      <c r="K257" s="2">
        <f>SUM(C257:J257)</f>
        <v>0</v>
      </c>
      <c r="M257" s="1" t="s">
        <v>335</v>
      </c>
      <c r="N257" s="2"/>
      <c r="O257" s="2"/>
      <c r="P257" s="2"/>
      <c r="Q257" s="2"/>
      <c r="R257" s="2"/>
      <c r="S257" s="2"/>
      <c r="T257" s="2"/>
      <c r="U257" s="2"/>
      <c r="V257" s="2">
        <f>SUM(N257:U257)</f>
        <v>0</v>
      </c>
      <c r="X257" s="1" t="s">
        <v>49</v>
      </c>
      <c r="Y257" s="2">
        <f t="shared" ref="Y257:Y276" si="126">C257-N257</f>
        <v>0</v>
      </c>
      <c r="Z257" s="2">
        <f t="shared" ref="Z257:Z276" si="127">D257-O257</f>
        <v>0</v>
      </c>
      <c r="AA257" s="2">
        <f t="shared" ref="AA257:AA276" si="128">E257-P257</f>
        <v>0</v>
      </c>
      <c r="AB257" s="2">
        <f t="shared" ref="AB257:AB276" si="129">F257-Q257</f>
        <v>0</v>
      </c>
      <c r="AC257" s="2">
        <f t="shared" ref="AC257:AC276" si="130">G257-R257</f>
        <v>0</v>
      </c>
      <c r="AD257" s="2">
        <f t="shared" ref="AD257:AD276" si="131">H257-S257</f>
        <v>0</v>
      </c>
      <c r="AE257" s="2">
        <f t="shared" ref="AE257:AE276" si="132">I257-T257</f>
        <v>0</v>
      </c>
      <c r="AF257" s="2">
        <f t="shared" ref="AF257:AF276" si="133">J257-U257</f>
        <v>0</v>
      </c>
      <c r="AG257" s="2">
        <f>SUM(Y257:AF257)</f>
        <v>0</v>
      </c>
    </row>
    <row r="258" spans="2:33" hidden="1" x14ac:dyDescent="0.25">
      <c r="B258" s="1" t="s">
        <v>8</v>
      </c>
      <c r="C258" s="2"/>
      <c r="D258" s="2"/>
      <c r="E258" s="2"/>
      <c r="F258" s="2"/>
      <c r="G258" s="2"/>
      <c r="H258" s="2"/>
      <c r="I258" s="2"/>
      <c r="J258" s="2"/>
      <c r="K258" s="2">
        <f t="shared" ref="K258:K276" si="134">SUM(C258:J258)</f>
        <v>0</v>
      </c>
      <c r="M258" s="1" t="s">
        <v>8</v>
      </c>
      <c r="N258" s="2"/>
      <c r="O258" s="2"/>
      <c r="P258" s="2"/>
      <c r="Q258" s="2"/>
      <c r="R258" s="2"/>
      <c r="S258" s="2"/>
      <c r="T258" s="2"/>
      <c r="U258" s="2"/>
      <c r="V258" s="2">
        <f t="shared" ref="V258:V276" si="135">SUM(N258:U258)</f>
        <v>0</v>
      </c>
      <c r="X258" s="1" t="s">
        <v>8</v>
      </c>
      <c r="Y258" s="2">
        <f t="shared" si="126"/>
        <v>0</v>
      </c>
      <c r="Z258" s="2">
        <f t="shared" si="127"/>
        <v>0</v>
      </c>
      <c r="AA258" s="2">
        <f t="shared" si="128"/>
        <v>0</v>
      </c>
      <c r="AB258" s="2">
        <f t="shared" si="129"/>
        <v>0</v>
      </c>
      <c r="AC258" s="2">
        <f t="shared" si="130"/>
        <v>0</v>
      </c>
      <c r="AD258" s="2">
        <f t="shared" si="131"/>
        <v>0</v>
      </c>
      <c r="AE258" s="2">
        <f t="shared" si="132"/>
        <v>0</v>
      </c>
      <c r="AF258" s="2">
        <f t="shared" si="133"/>
        <v>0</v>
      </c>
      <c r="AG258" s="2">
        <f t="shared" ref="AG258:AG276" si="136">SUM(Y258:AF258)</f>
        <v>0</v>
      </c>
    </row>
    <row r="259" spans="2:33" hidden="1" x14ac:dyDescent="0.25">
      <c r="B259" s="1" t="s">
        <v>336</v>
      </c>
      <c r="C259" s="2"/>
      <c r="D259" s="2"/>
      <c r="E259" s="2"/>
      <c r="F259" s="2"/>
      <c r="G259" s="2"/>
      <c r="H259" s="2"/>
      <c r="I259" s="2"/>
      <c r="J259" s="2"/>
      <c r="K259" s="2">
        <f t="shared" si="134"/>
        <v>0</v>
      </c>
      <c r="M259" s="1" t="s">
        <v>336</v>
      </c>
      <c r="N259" s="2"/>
      <c r="O259" s="2"/>
      <c r="P259" s="2"/>
      <c r="Q259" s="2"/>
      <c r="R259" s="2"/>
      <c r="S259" s="2"/>
      <c r="T259" s="2"/>
      <c r="U259" s="2"/>
      <c r="V259" s="2">
        <f t="shared" si="135"/>
        <v>0</v>
      </c>
      <c r="X259" s="1" t="s">
        <v>7</v>
      </c>
      <c r="Y259" s="2">
        <f t="shared" si="126"/>
        <v>0</v>
      </c>
      <c r="Z259" s="2">
        <f t="shared" si="127"/>
        <v>0</v>
      </c>
      <c r="AA259" s="2">
        <f t="shared" si="128"/>
        <v>0</v>
      </c>
      <c r="AB259" s="2">
        <f t="shared" si="129"/>
        <v>0</v>
      </c>
      <c r="AC259" s="2">
        <f t="shared" si="130"/>
        <v>0</v>
      </c>
      <c r="AD259" s="2">
        <f t="shared" si="131"/>
        <v>0</v>
      </c>
      <c r="AE259" s="2">
        <f t="shared" si="132"/>
        <v>0</v>
      </c>
      <c r="AF259" s="2">
        <f t="shared" si="133"/>
        <v>0</v>
      </c>
      <c r="AG259" s="2">
        <f t="shared" si="136"/>
        <v>0</v>
      </c>
    </row>
    <row r="260" spans="2:33" hidden="1" x14ac:dyDescent="0.25">
      <c r="B260" s="1" t="s">
        <v>42</v>
      </c>
      <c r="C260" s="2"/>
      <c r="D260" s="2"/>
      <c r="E260" s="2"/>
      <c r="F260" s="2"/>
      <c r="G260" s="2"/>
      <c r="H260" s="2"/>
      <c r="I260" s="2"/>
      <c r="J260" s="2"/>
      <c r="K260" s="2">
        <f t="shared" si="134"/>
        <v>0</v>
      </c>
      <c r="M260" s="1" t="s">
        <v>42</v>
      </c>
      <c r="N260" s="2"/>
      <c r="O260" s="2"/>
      <c r="P260" s="2"/>
      <c r="Q260" s="2"/>
      <c r="R260" s="2"/>
      <c r="S260" s="2"/>
      <c r="T260" s="2"/>
      <c r="U260" s="2"/>
      <c r="V260" s="2">
        <f t="shared" si="135"/>
        <v>0</v>
      </c>
      <c r="X260" s="1" t="s">
        <v>42</v>
      </c>
      <c r="Y260" s="2">
        <f t="shared" si="126"/>
        <v>0</v>
      </c>
      <c r="Z260" s="2">
        <f t="shared" si="127"/>
        <v>0</v>
      </c>
      <c r="AA260" s="2">
        <f t="shared" si="128"/>
        <v>0</v>
      </c>
      <c r="AB260" s="2">
        <f t="shared" si="129"/>
        <v>0</v>
      </c>
      <c r="AC260" s="2">
        <f t="shared" si="130"/>
        <v>0</v>
      </c>
      <c r="AD260" s="2">
        <f t="shared" si="131"/>
        <v>0</v>
      </c>
      <c r="AE260" s="2">
        <f t="shared" si="132"/>
        <v>0</v>
      </c>
      <c r="AF260" s="2">
        <f t="shared" si="133"/>
        <v>0</v>
      </c>
      <c r="AG260" s="2">
        <f t="shared" si="136"/>
        <v>0</v>
      </c>
    </row>
    <row r="261" spans="2:33" hidden="1" x14ac:dyDescent="0.25">
      <c r="B261" s="1" t="s">
        <v>6</v>
      </c>
      <c r="C261" s="2"/>
      <c r="D261" s="2"/>
      <c r="E261" s="2"/>
      <c r="F261" s="2"/>
      <c r="G261" s="2"/>
      <c r="H261" s="2"/>
      <c r="I261" s="2"/>
      <c r="J261" s="2"/>
      <c r="K261" s="2">
        <f t="shared" si="134"/>
        <v>0</v>
      </c>
      <c r="M261" s="1" t="s">
        <v>6</v>
      </c>
      <c r="N261" s="2"/>
      <c r="O261" s="2"/>
      <c r="P261" s="2"/>
      <c r="Q261" s="2"/>
      <c r="R261" s="2"/>
      <c r="S261" s="2"/>
      <c r="T261" s="2"/>
      <c r="U261" s="2"/>
      <c r="V261" s="2">
        <f t="shared" si="135"/>
        <v>0</v>
      </c>
      <c r="X261" s="1" t="s">
        <v>6</v>
      </c>
      <c r="Y261" s="2">
        <f t="shared" si="126"/>
        <v>0</v>
      </c>
      <c r="Z261" s="2">
        <f t="shared" si="127"/>
        <v>0</v>
      </c>
      <c r="AA261" s="2">
        <f t="shared" si="128"/>
        <v>0</v>
      </c>
      <c r="AB261" s="2">
        <f t="shared" si="129"/>
        <v>0</v>
      </c>
      <c r="AC261" s="2">
        <f t="shared" si="130"/>
        <v>0</v>
      </c>
      <c r="AD261" s="2">
        <f t="shared" si="131"/>
        <v>0</v>
      </c>
      <c r="AE261" s="2">
        <f t="shared" si="132"/>
        <v>0</v>
      </c>
      <c r="AF261" s="2">
        <f t="shared" si="133"/>
        <v>0</v>
      </c>
      <c r="AG261" s="2">
        <f t="shared" si="136"/>
        <v>0</v>
      </c>
    </row>
    <row r="262" spans="2:33" hidden="1" x14ac:dyDescent="0.25">
      <c r="B262" s="1" t="s">
        <v>90</v>
      </c>
      <c r="C262" s="2"/>
      <c r="D262" s="2"/>
      <c r="E262" s="2"/>
      <c r="F262" s="2"/>
      <c r="G262" s="2"/>
      <c r="H262" s="2"/>
      <c r="I262" s="2"/>
      <c r="J262" s="2"/>
      <c r="K262" s="2">
        <f t="shared" si="134"/>
        <v>0</v>
      </c>
      <c r="M262" s="1" t="s">
        <v>90</v>
      </c>
      <c r="N262" s="2"/>
      <c r="O262" s="2"/>
      <c r="P262" s="2"/>
      <c r="Q262" s="2"/>
      <c r="R262" s="2"/>
      <c r="S262" s="2"/>
      <c r="T262" s="2"/>
      <c r="U262" s="2"/>
      <c r="V262" s="2">
        <f t="shared" si="135"/>
        <v>0</v>
      </c>
      <c r="X262" s="1" t="s">
        <v>90</v>
      </c>
      <c r="Y262" s="2">
        <f t="shared" si="126"/>
        <v>0</v>
      </c>
      <c r="Z262" s="2">
        <f t="shared" si="127"/>
        <v>0</v>
      </c>
      <c r="AA262" s="2">
        <f t="shared" si="128"/>
        <v>0</v>
      </c>
      <c r="AB262" s="2">
        <f t="shared" si="129"/>
        <v>0</v>
      </c>
      <c r="AC262" s="2">
        <f t="shared" si="130"/>
        <v>0</v>
      </c>
      <c r="AD262" s="2">
        <f t="shared" si="131"/>
        <v>0</v>
      </c>
      <c r="AE262" s="2">
        <f t="shared" si="132"/>
        <v>0</v>
      </c>
      <c r="AF262" s="2">
        <f t="shared" si="133"/>
        <v>0</v>
      </c>
      <c r="AG262" s="2">
        <f t="shared" si="136"/>
        <v>0</v>
      </c>
    </row>
    <row r="263" spans="2:33" hidden="1" x14ac:dyDescent="0.25">
      <c r="B263" s="1" t="s">
        <v>342</v>
      </c>
      <c r="C263" s="2"/>
      <c r="D263" s="2"/>
      <c r="E263" s="2"/>
      <c r="F263" s="2"/>
      <c r="G263" s="2"/>
      <c r="H263" s="2"/>
      <c r="I263" s="2"/>
      <c r="J263" s="2"/>
      <c r="K263" s="2">
        <f t="shared" si="134"/>
        <v>0</v>
      </c>
      <c r="M263" s="1" t="s">
        <v>342</v>
      </c>
      <c r="N263" s="2"/>
      <c r="O263" s="2"/>
      <c r="P263" s="2"/>
      <c r="Q263" s="2"/>
      <c r="R263" s="2"/>
      <c r="S263" s="2"/>
      <c r="T263" s="2"/>
      <c r="U263" s="2"/>
      <c r="V263" s="2">
        <f t="shared" si="135"/>
        <v>0</v>
      </c>
      <c r="X263" s="1" t="s">
        <v>50</v>
      </c>
      <c r="Y263" s="2">
        <f t="shared" si="126"/>
        <v>0</v>
      </c>
      <c r="Z263" s="2">
        <f t="shared" si="127"/>
        <v>0</v>
      </c>
      <c r="AA263" s="2">
        <f t="shared" si="128"/>
        <v>0</v>
      </c>
      <c r="AB263" s="2">
        <f t="shared" si="129"/>
        <v>0</v>
      </c>
      <c r="AC263" s="2">
        <f t="shared" si="130"/>
        <v>0</v>
      </c>
      <c r="AD263" s="2">
        <f t="shared" si="131"/>
        <v>0</v>
      </c>
      <c r="AE263" s="2">
        <f t="shared" si="132"/>
        <v>0</v>
      </c>
      <c r="AF263" s="2">
        <f t="shared" si="133"/>
        <v>0</v>
      </c>
      <c r="AG263" s="2">
        <f t="shared" si="136"/>
        <v>0</v>
      </c>
    </row>
    <row r="264" spans="2:33" hidden="1" x14ac:dyDescent="0.25">
      <c r="B264" s="1" t="s">
        <v>89</v>
      </c>
      <c r="C264" s="2"/>
      <c r="D264" s="2"/>
      <c r="E264" s="2"/>
      <c r="F264" s="2"/>
      <c r="G264" s="2"/>
      <c r="H264" s="2"/>
      <c r="I264" s="2"/>
      <c r="J264" s="2"/>
      <c r="K264" s="2">
        <f t="shared" si="134"/>
        <v>0</v>
      </c>
      <c r="M264" s="1" t="s">
        <v>89</v>
      </c>
      <c r="N264" s="2"/>
      <c r="O264" s="2"/>
      <c r="P264" s="2"/>
      <c r="Q264" s="2"/>
      <c r="R264" s="2"/>
      <c r="S264" s="2"/>
      <c r="T264" s="2"/>
      <c r="U264" s="2"/>
      <c r="V264" s="2">
        <f t="shared" si="135"/>
        <v>0</v>
      </c>
      <c r="X264" s="1" t="s">
        <v>89</v>
      </c>
      <c r="Y264" s="2">
        <f t="shared" si="126"/>
        <v>0</v>
      </c>
      <c r="Z264" s="2">
        <f t="shared" si="127"/>
        <v>0</v>
      </c>
      <c r="AA264" s="2">
        <f t="shared" si="128"/>
        <v>0</v>
      </c>
      <c r="AB264" s="2">
        <f t="shared" si="129"/>
        <v>0</v>
      </c>
      <c r="AC264" s="2">
        <f t="shared" si="130"/>
        <v>0</v>
      </c>
      <c r="AD264" s="2">
        <f t="shared" si="131"/>
        <v>0</v>
      </c>
      <c r="AE264" s="2">
        <f t="shared" si="132"/>
        <v>0</v>
      </c>
      <c r="AF264" s="2">
        <f t="shared" si="133"/>
        <v>0</v>
      </c>
      <c r="AG264" s="2">
        <f t="shared" si="136"/>
        <v>0</v>
      </c>
    </row>
    <row r="265" spans="2:33" hidden="1" x14ac:dyDescent="0.25">
      <c r="B265" s="1" t="s">
        <v>5</v>
      </c>
      <c r="C265" s="2"/>
      <c r="D265" s="2"/>
      <c r="E265" s="2"/>
      <c r="F265" s="2"/>
      <c r="G265" s="2"/>
      <c r="H265" s="2"/>
      <c r="I265" s="2"/>
      <c r="J265" s="2"/>
      <c r="K265" s="2">
        <f t="shared" si="134"/>
        <v>0</v>
      </c>
      <c r="M265" s="1" t="s">
        <v>5</v>
      </c>
      <c r="N265" s="2"/>
      <c r="O265" s="2"/>
      <c r="P265" s="2"/>
      <c r="Q265" s="2"/>
      <c r="R265" s="2"/>
      <c r="S265" s="2"/>
      <c r="T265" s="2"/>
      <c r="U265" s="2"/>
      <c r="V265" s="2">
        <f t="shared" si="135"/>
        <v>0</v>
      </c>
      <c r="X265" s="1" t="s">
        <v>5</v>
      </c>
      <c r="Y265" s="2">
        <f t="shared" si="126"/>
        <v>0</v>
      </c>
      <c r="Z265" s="2">
        <f t="shared" si="127"/>
        <v>0</v>
      </c>
      <c r="AA265" s="2">
        <f t="shared" si="128"/>
        <v>0</v>
      </c>
      <c r="AB265" s="2">
        <f t="shared" si="129"/>
        <v>0</v>
      </c>
      <c r="AC265" s="2">
        <f t="shared" si="130"/>
        <v>0</v>
      </c>
      <c r="AD265" s="2">
        <f t="shared" si="131"/>
        <v>0</v>
      </c>
      <c r="AE265" s="2">
        <f t="shared" si="132"/>
        <v>0</v>
      </c>
      <c r="AF265" s="2">
        <f t="shared" si="133"/>
        <v>0</v>
      </c>
      <c r="AG265" s="2">
        <f t="shared" si="136"/>
        <v>0</v>
      </c>
    </row>
    <row r="266" spans="2:33" hidden="1" x14ac:dyDescent="0.25">
      <c r="B266" s="1" t="s">
        <v>84</v>
      </c>
      <c r="C266" s="2"/>
      <c r="D266" s="2"/>
      <c r="E266" s="2"/>
      <c r="F266" s="2"/>
      <c r="G266" s="2"/>
      <c r="H266" s="2"/>
      <c r="I266" s="2"/>
      <c r="J266" s="2"/>
      <c r="K266" s="2">
        <f t="shared" si="134"/>
        <v>0</v>
      </c>
      <c r="M266" s="1" t="s">
        <v>84</v>
      </c>
      <c r="N266" s="2"/>
      <c r="O266" s="2"/>
      <c r="P266" s="2"/>
      <c r="Q266" s="2"/>
      <c r="R266" s="2"/>
      <c r="S266" s="2"/>
      <c r="T266" s="2"/>
      <c r="U266" s="2"/>
      <c r="V266" s="2">
        <f t="shared" si="135"/>
        <v>0</v>
      </c>
      <c r="X266" s="1" t="s">
        <v>84</v>
      </c>
      <c r="Y266" s="2">
        <f t="shared" si="126"/>
        <v>0</v>
      </c>
      <c r="Z266" s="2">
        <f t="shared" si="127"/>
        <v>0</v>
      </c>
      <c r="AA266" s="2">
        <f t="shared" si="128"/>
        <v>0</v>
      </c>
      <c r="AB266" s="2">
        <f t="shared" si="129"/>
        <v>0</v>
      </c>
      <c r="AC266" s="2">
        <f t="shared" si="130"/>
        <v>0</v>
      </c>
      <c r="AD266" s="2">
        <f t="shared" si="131"/>
        <v>0</v>
      </c>
      <c r="AE266" s="2">
        <f t="shared" si="132"/>
        <v>0</v>
      </c>
      <c r="AF266" s="2">
        <f t="shared" si="133"/>
        <v>0</v>
      </c>
      <c r="AG266" s="2">
        <f t="shared" si="136"/>
        <v>0</v>
      </c>
    </row>
    <row r="267" spans="2:33" hidden="1" x14ac:dyDescent="0.25">
      <c r="B267" s="1" t="s">
        <v>4</v>
      </c>
      <c r="C267" s="2"/>
      <c r="D267" s="2"/>
      <c r="E267" s="2"/>
      <c r="F267" s="2"/>
      <c r="G267" s="2"/>
      <c r="H267" s="2"/>
      <c r="I267" s="2"/>
      <c r="J267" s="2"/>
      <c r="K267" s="2">
        <f t="shared" si="134"/>
        <v>0</v>
      </c>
      <c r="M267" s="1" t="s">
        <v>4</v>
      </c>
      <c r="N267" s="2"/>
      <c r="O267" s="2"/>
      <c r="P267" s="2"/>
      <c r="Q267" s="2"/>
      <c r="R267" s="2"/>
      <c r="S267" s="2"/>
      <c r="T267" s="2"/>
      <c r="U267" s="2"/>
      <c r="V267" s="2">
        <f t="shared" si="135"/>
        <v>0</v>
      </c>
      <c r="X267" s="1" t="s">
        <v>4</v>
      </c>
      <c r="Y267" s="2">
        <f t="shared" si="126"/>
        <v>0</v>
      </c>
      <c r="Z267" s="2">
        <f t="shared" si="127"/>
        <v>0</v>
      </c>
      <c r="AA267" s="2">
        <f t="shared" si="128"/>
        <v>0</v>
      </c>
      <c r="AB267" s="2">
        <f t="shared" si="129"/>
        <v>0</v>
      </c>
      <c r="AC267" s="2">
        <f t="shared" si="130"/>
        <v>0</v>
      </c>
      <c r="AD267" s="2">
        <f t="shared" si="131"/>
        <v>0</v>
      </c>
      <c r="AE267" s="2">
        <f t="shared" si="132"/>
        <v>0</v>
      </c>
      <c r="AF267" s="2">
        <f t="shared" si="133"/>
        <v>0</v>
      </c>
      <c r="AG267" s="2">
        <f t="shared" si="136"/>
        <v>0</v>
      </c>
    </row>
    <row r="268" spans="2:33" hidden="1" x14ac:dyDescent="0.25">
      <c r="B268" s="1" t="s">
        <v>51</v>
      </c>
      <c r="C268" s="2"/>
      <c r="D268" s="2"/>
      <c r="E268" s="2"/>
      <c r="F268" s="2"/>
      <c r="G268" s="2"/>
      <c r="H268" s="2"/>
      <c r="I268" s="2"/>
      <c r="J268" s="2"/>
      <c r="K268" s="2">
        <f t="shared" si="134"/>
        <v>0</v>
      </c>
      <c r="M268" s="1" t="s">
        <v>51</v>
      </c>
      <c r="N268" s="2"/>
      <c r="O268" s="2"/>
      <c r="P268" s="2"/>
      <c r="Q268" s="2"/>
      <c r="R268" s="2"/>
      <c r="S268" s="2"/>
      <c r="T268" s="2"/>
      <c r="U268" s="2"/>
      <c r="V268" s="2">
        <f t="shared" si="135"/>
        <v>0</v>
      </c>
      <c r="X268" s="1" t="s">
        <v>51</v>
      </c>
      <c r="Y268" s="2">
        <f t="shared" si="126"/>
        <v>0</v>
      </c>
      <c r="Z268" s="2">
        <f t="shared" si="127"/>
        <v>0</v>
      </c>
      <c r="AA268" s="2">
        <f t="shared" si="128"/>
        <v>0</v>
      </c>
      <c r="AB268" s="2">
        <f t="shared" si="129"/>
        <v>0</v>
      </c>
      <c r="AC268" s="2">
        <f t="shared" si="130"/>
        <v>0</v>
      </c>
      <c r="AD268" s="2">
        <f t="shared" si="131"/>
        <v>0</v>
      </c>
      <c r="AE268" s="2">
        <f t="shared" si="132"/>
        <v>0</v>
      </c>
      <c r="AF268" s="2">
        <f t="shared" si="133"/>
        <v>0</v>
      </c>
      <c r="AG268" s="2">
        <f t="shared" si="136"/>
        <v>0</v>
      </c>
    </row>
    <row r="269" spans="2:33" hidden="1" x14ac:dyDescent="0.25">
      <c r="B269" s="1" t="s">
        <v>87</v>
      </c>
      <c r="C269" s="2"/>
      <c r="D269" s="2"/>
      <c r="E269" s="2"/>
      <c r="F269" s="2"/>
      <c r="G269" s="2"/>
      <c r="H269" s="2"/>
      <c r="I269" s="2"/>
      <c r="J269" s="2"/>
      <c r="K269" s="2">
        <f t="shared" si="134"/>
        <v>0</v>
      </c>
      <c r="M269" s="1" t="s">
        <v>87</v>
      </c>
      <c r="N269" s="2"/>
      <c r="O269" s="2"/>
      <c r="P269" s="2"/>
      <c r="Q269" s="2"/>
      <c r="R269" s="2"/>
      <c r="S269" s="2"/>
      <c r="T269" s="2"/>
      <c r="U269" s="2"/>
      <c r="V269" s="2">
        <f t="shared" si="135"/>
        <v>0</v>
      </c>
      <c r="X269" s="1" t="s">
        <v>87</v>
      </c>
      <c r="Y269" s="2">
        <f t="shared" si="126"/>
        <v>0</v>
      </c>
      <c r="Z269" s="2">
        <f t="shared" si="127"/>
        <v>0</v>
      </c>
      <c r="AA269" s="2">
        <f t="shared" si="128"/>
        <v>0</v>
      </c>
      <c r="AB269" s="2">
        <f t="shared" si="129"/>
        <v>0</v>
      </c>
      <c r="AC269" s="2">
        <f t="shared" si="130"/>
        <v>0</v>
      </c>
      <c r="AD269" s="2">
        <f t="shared" si="131"/>
        <v>0</v>
      </c>
      <c r="AE269" s="2">
        <f t="shared" si="132"/>
        <v>0</v>
      </c>
      <c r="AF269" s="2">
        <f t="shared" si="133"/>
        <v>0</v>
      </c>
      <c r="AG269" s="2">
        <f t="shared" si="136"/>
        <v>0</v>
      </c>
    </row>
    <row r="270" spans="2:33" hidden="1" x14ac:dyDescent="0.25">
      <c r="B270" s="1" t="s">
        <v>85</v>
      </c>
      <c r="C270" s="2"/>
      <c r="D270" s="2"/>
      <c r="E270" s="2"/>
      <c r="F270" s="2"/>
      <c r="G270" s="2"/>
      <c r="H270" s="2"/>
      <c r="I270" s="2"/>
      <c r="J270" s="2"/>
      <c r="K270" s="2">
        <f t="shared" si="134"/>
        <v>0</v>
      </c>
      <c r="M270" s="1" t="s">
        <v>85</v>
      </c>
      <c r="N270" s="2"/>
      <c r="O270" s="2"/>
      <c r="P270" s="2"/>
      <c r="Q270" s="2"/>
      <c r="R270" s="2"/>
      <c r="S270" s="2"/>
      <c r="T270" s="2"/>
      <c r="U270" s="2"/>
      <c r="V270" s="2">
        <f t="shared" si="135"/>
        <v>0</v>
      </c>
      <c r="X270" s="1" t="s">
        <v>85</v>
      </c>
      <c r="Y270" s="2">
        <f t="shared" si="126"/>
        <v>0</v>
      </c>
      <c r="Z270" s="2">
        <f t="shared" si="127"/>
        <v>0</v>
      </c>
      <c r="AA270" s="2">
        <f t="shared" si="128"/>
        <v>0</v>
      </c>
      <c r="AB270" s="2">
        <f t="shared" si="129"/>
        <v>0</v>
      </c>
      <c r="AC270" s="2">
        <f t="shared" si="130"/>
        <v>0</v>
      </c>
      <c r="AD270" s="2">
        <f t="shared" si="131"/>
        <v>0</v>
      </c>
      <c r="AE270" s="2">
        <f t="shared" si="132"/>
        <v>0</v>
      </c>
      <c r="AF270" s="2">
        <f t="shared" si="133"/>
        <v>0</v>
      </c>
      <c r="AG270" s="2">
        <f t="shared" si="136"/>
        <v>0</v>
      </c>
    </row>
    <row r="271" spans="2:33" hidden="1" x14ac:dyDescent="0.25">
      <c r="B271" s="1" t="s">
        <v>2</v>
      </c>
      <c r="C271" s="2"/>
      <c r="D271" s="2"/>
      <c r="E271" s="2"/>
      <c r="F271" s="2"/>
      <c r="G271" s="2"/>
      <c r="H271" s="2"/>
      <c r="I271" s="2"/>
      <c r="J271" s="2"/>
      <c r="K271" s="2">
        <f t="shared" si="134"/>
        <v>0</v>
      </c>
      <c r="M271" s="1" t="s">
        <v>2</v>
      </c>
      <c r="N271" s="2"/>
      <c r="O271" s="2"/>
      <c r="P271" s="2"/>
      <c r="Q271" s="2"/>
      <c r="R271" s="2"/>
      <c r="S271" s="2"/>
      <c r="T271" s="2"/>
      <c r="U271" s="2"/>
      <c r="V271" s="2">
        <f t="shared" si="135"/>
        <v>0</v>
      </c>
      <c r="X271" s="1" t="s">
        <v>2</v>
      </c>
      <c r="Y271" s="2">
        <f t="shared" si="126"/>
        <v>0</v>
      </c>
      <c r="Z271" s="2">
        <f t="shared" si="127"/>
        <v>0</v>
      </c>
      <c r="AA271" s="2">
        <f t="shared" si="128"/>
        <v>0</v>
      </c>
      <c r="AB271" s="2">
        <f t="shared" si="129"/>
        <v>0</v>
      </c>
      <c r="AC271" s="2">
        <f t="shared" si="130"/>
        <v>0</v>
      </c>
      <c r="AD271" s="2">
        <f t="shared" si="131"/>
        <v>0</v>
      </c>
      <c r="AE271" s="2">
        <f t="shared" si="132"/>
        <v>0</v>
      </c>
      <c r="AF271" s="2">
        <f t="shared" si="133"/>
        <v>0</v>
      </c>
      <c r="AG271" s="2">
        <f t="shared" si="136"/>
        <v>0</v>
      </c>
    </row>
    <row r="272" spans="2:33" hidden="1" x14ac:dyDescent="0.25">
      <c r="B272" s="1" t="s">
        <v>86</v>
      </c>
      <c r="C272" s="2"/>
      <c r="D272" s="2"/>
      <c r="E272" s="2"/>
      <c r="F272" s="2"/>
      <c r="G272" s="2"/>
      <c r="H272" s="2"/>
      <c r="I272" s="2"/>
      <c r="J272" s="2"/>
      <c r="K272" s="2">
        <f t="shared" si="134"/>
        <v>0</v>
      </c>
      <c r="M272" s="1" t="s">
        <v>86</v>
      </c>
      <c r="N272" s="2"/>
      <c r="O272" s="2"/>
      <c r="P272" s="2"/>
      <c r="Q272" s="2"/>
      <c r="R272" s="2"/>
      <c r="S272" s="2"/>
      <c r="T272" s="2"/>
      <c r="U272" s="2"/>
      <c r="V272" s="2">
        <f t="shared" si="135"/>
        <v>0</v>
      </c>
      <c r="X272" s="1" t="s">
        <v>86</v>
      </c>
      <c r="Y272" s="2">
        <f t="shared" si="126"/>
        <v>0</v>
      </c>
      <c r="Z272" s="2">
        <f t="shared" si="127"/>
        <v>0</v>
      </c>
      <c r="AA272" s="2">
        <f t="shared" si="128"/>
        <v>0</v>
      </c>
      <c r="AB272" s="2">
        <f t="shared" si="129"/>
        <v>0</v>
      </c>
      <c r="AC272" s="2">
        <f t="shared" si="130"/>
        <v>0</v>
      </c>
      <c r="AD272" s="2">
        <f t="shared" si="131"/>
        <v>0</v>
      </c>
      <c r="AE272" s="2">
        <f t="shared" si="132"/>
        <v>0</v>
      </c>
      <c r="AF272" s="2">
        <f t="shared" si="133"/>
        <v>0</v>
      </c>
      <c r="AG272" s="2">
        <f t="shared" si="136"/>
        <v>0</v>
      </c>
    </row>
    <row r="273" spans="2:33" hidden="1" x14ac:dyDescent="0.25">
      <c r="B273" s="1" t="s">
        <v>29</v>
      </c>
      <c r="C273" s="2"/>
      <c r="D273" s="2"/>
      <c r="E273" s="2"/>
      <c r="F273" s="2"/>
      <c r="G273" s="2"/>
      <c r="H273" s="2"/>
      <c r="I273" s="2"/>
      <c r="J273" s="2"/>
      <c r="K273" s="2">
        <f t="shared" si="134"/>
        <v>0</v>
      </c>
      <c r="M273" s="1" t="s">
        <v>29</v>
      </c>
      <c r="N273" s="2"/>
      <c r="O273" s="2"/>
      <c r="P273" s="2"/>
      <c r="Q273" s="2"/>
      <c r="R273" s="2"/>
      <c r="S273" s="2"/>
      <c r="T273" s="2"/>
      <c r="U273" s="2"/>
      <c r="V273" s="2">
        <f t="shared" si="135"/>
        <v>0</v>
      </c>
      <c r="X273" s="1" t="s">
        <v>29</v>
      </c>
      <c r="Y273" s="2">
        <f t="shared" si="126"/>
        <v>0</v>
      </c>
      <c r="Z273" s="2">
        <f t="shared" si="127"/>
        <v>0</v>
      </c>
      <c r="AA273" s="2">
        <f t="shared" si="128"/>
        <v>0</v>
      </c>
      <c r="AB273" s="2">
        <f t="shared" si="129"/>
        <v>0</v>
      </c>
      <c r="AC273" s="2">
        <f t="shared" si="130"/>
        <v>0</v>
      </c>
      <c r="AD273" s="2">
        <f t="shared" si="131"/>
        <v>0</v>
      </c>
      <c r="AE273" s="2">
        <f t="shared" si="132"/>
        <v>0</v>
      </c>
      <c r="AF273" s="2">
        <f t="shared" si="133"/>
        <v>0</v>
      </c>
      <c r="AG273" s="2">
        <f t="shared" si="136"/>
        <v>0</v>
      </c>
    </row>
    <row r="274" spans="2:33" hidden="1" x14ac:dyDescent="0.25">
      <c r="B274" s="1" t="s">
        <v>88</v>
      </c>
      <c r="C274" s="2"/>
      <c r="D274" s="2"/>
      <c r="E274" s="2"/>
      <c r="F274" s="2"/>
      <c r="G274" s="2"/>
      <c r="H274" s="2"/>
      <c r="I274" s="2"/>
      <c r="J274" s="2"/>
      <c r="K274" s="2">
        <f t="shared" si="134"/>
        <v>0</v>
      </c>
      <c r="M274" s="1" t="s">
        <v>88</v>
      </c>
      <c r="N274" s="2"/>
      <c r="O274" s="2"/>
      <c r="P274" s="2"/>
      <c r="Q274" s="2"/>
      <c r="R274" s="2"/>
      <c r="S274" s="2"/>
      <c r="T274" s="2"/>
      <c r="U274" s="2"/>
      <c r="V274" s="2">
        <f t="shared" si="135"/>
        <v>0</v>
      </c>
      <c r="X274" s="1" t="s">
        <v>52</v>
      </c>
      <c r="Y274" s="2">
        <f t="shared" si="126"/>
        <v>0</v>
      </c>
      <c r="Z274" s="2">
        <f t="shared" si="127"/>
        <v>0</v>
      </c>
      <c r="AA274" s="2">
        <f t="shared" si="128"/>
        <v>0</v>
      </c>
      <c r="AB274" s="2">
        <f t="shared" si="129"/>
        <v>0</v>
      </c>
      <c r="AC274" s="2">
        <f t="shared" si="130"/>
        <v>0</v>
      </c>
      <c r="AD274" s="2">
        <f t="shared" si="131"/>
        <v>0</v>
      </c>
      <c r="AE274" s="2">
        <f t="shared" si="132"/>
        <v>0</v>
      </c>
      <c r="AF274" s="2">
        <f t="shared" si="133"/>
        <v>0</v>
      </c>
      <c r="AG274" s="2">
        <f t="shared" si="136"/>
        <v>0</v>
      </c>
    </row>
    <row r="275" spans="2:33" hidden="1" x14ac:dyDescent="0.25">
      <c r="B275" s="1" t="s">
        <v>341</v>
      </c>
      <c r="C275" s="2"/>
      <c r="D275" s="2"/>
      <c r="E275" s="2"/>
      <c r="F275" s="2"/>
      <c r="G275" s="2"/>
      <c r="H275" s="2"/>
      <c r="I275" s="2"/>
      <c r="J275" s="2"/>
      <c r="K275" s="2">
        <f t="shared" si="134"/>
        <v>0</v>
      </c>
      <c r="M275" s="1" t="s">
        <v>341</v>
      </c>
      <c r="N275" s="2"/>
      <c r="O275" s="2"/>
      <c r="P275" s="2"/>
      <c r="Q275" s="2"/>
      <c r="R275" s="2"/>
      <c r="S275" s="2"/>
      <c r="T275" s="2"/>
      <c r="U275" s="2"/>
      <c r="V275" s="2">
        <f t="shared" si="135"/>
        <v>0</v>
      </c>
      <c r="X275" s="1" t="s">
        <v>88</v>
      </c>
      <c r="Y275" s="2">
        <f t="shared" si="126"/>
        <v>0</v>
      </c>
      <c r="Z275" s="2">
        <f t="shared" si="127"/>
        <v>0</v>
      </c>
      <c r="AA275" s="2">
        <f t="shared" si="128"/>
        <v>0</v>
      </c>
      <c r="AB275" s="2">
        <f t="shared" si="129"/>
        <v>0</v>
      </c>
      <c r="AC275" s="2">
        <f t="shared" si="130"/>
        <v>0</v>
      </c>
      <c r="AD275" s="2">
        <f t="shared" si="131"/>
        <v>0</v>
      </c>
      <c r="AE275" s="2">
        <f t="shared" si="132"/>
        <v>0</v>
      </c>
      <c r="AF275" s="2">
        <f t="shared" si="133"/>
        <v>0</v>
      </c>
      <c r="AG275" s="2">
        <f t="shared" si="136"/>
        <v>0</v>
      </c>
    </row>
    <row r="276" spans="2:33" hidden="1" x14ac:dyDescent="0.25">
      <c r="B276" s="1" t="s">
        <v>340</v>
      </c>
      <c r="C276" s="2"/>
      <c r="D276" s="2"/>
      <c r="E276" s="2"/>
      <c r="F276" s="2"/>
      <c r="G276" s="2"/>
      <c r="H276" s="2"/>
      <c r="I276" s="2"/>
      <c r="J276" s="2"/>
      <c r="K276" s="2">
        <f t="shared" si="134"/>
        <v>0</v>
      </c>
      <c r="M276" s="1" t="s">
        <v>340</v>
      </c>
      <c r="N276" s="2"/>
      <c r="O276" s="2"/>
      <c r="P276" s="2"/>
      <c r="Q276" s="2"/>
      <c r="R276" s="2"/>
      <c r="S276" s="2"/>
      <c r="T276" s="2"/>
      <c r="U276" s="2"/>
      <c r="V276" s="2">
        <f t="shared" si="135"/>
        <v>0</v>
      </c>
      <c r="X276" s="1" t="s">
        <v>1</v>
      </c>
      <c r="Y276" s="2">
        <f t="shared" si="126"/>
        <v>0</v>
      </c>
      <c r="Z276" s="2">
        <f t="shared" si="127"/>
        <v>0</v>
      </c>
      <c r="AA276" s="2">
        <f t="shared" si="128"/>
        <v>0</v>
      </c>
      <c r="AB276" s="2">
        <f t="shared" si="129"/>
        <v>0</v>
      </c>
      <c r="AC276" s="2">
        <f t="shared" si="130"/>
        <v>0</v>
      </c>
      <c r="AD276" s="2">
        <f t="shared" si="131"/>
        <v>0</v>
      </c>
      <c r="AE276" s="2">
        <f t="shared" si="132"/>
        <v>0</v>
      </c>
      <c r="AF276" s="2">
        <f t="shared" si="133"/>
        <v>0</v>
      </c>
      <c r="AG276" s="2">
        <f t="shared" si="136"/>
        <v>0</v>
      </c>
    </row>
    <row r="277" spans="2:33" ht="15.75" hidden="1" thickBot="1" x14ac:dyDescent="0.3">
      <c r="C277" s="69">
        <f>SUM(C257:C276)</f>
        <v>0</v>
      </c>
      <c r="D277" s="69">
        <f t="shared" ref="D277:J277" si="137">SUM(D257:D276)</f>
        <v>0</v>
      </c>
      <c r="E277" s="69">
        <f t="shared" si="137"/>
        <v>0</v>
      </c>
      <c r="F277" s="69">
        <f t="shared" si="137"/>
        <v>0</v>
      </c>
      <c r="G277" s="69">
        <f t="shared" si="137"/>
        <v>0</v>
      </c>
      <c r="H277" s="69">
        <f t="shared" si="137"/>
        <v>0</v>
      </c>
      <c r="I277" s="69">
        <f t="shared" si="137"/>
        <v>0</v>
      </c>
      <c r="J277" s="69">
        <f t="shared" si="137"/>
        <v>0</v>
      </c>
      <c r="K277" s="69">
        <f>SUM(K257:K276)</f>
        <v>0</v>
      </c>
      <c r="N277" s="69">
        <f>SUM(N257:N276)</f>
        <v>0</v>
      </c>
      <c r="O277" s="69">
        <f t="shared" ref="O277:U277" si="138">SUM(O257:O276)</f>
        <v>0</v>
      </c>
      <c r="P277" s="69">
        <f t="shared" si="138"/>
        <v>0</v>
      </c>
      <c r="Q277" s="69">
        <f t="shared" si="138"/>
        <v>0</v>
      </c>
      <c r="R277" s="69">
        <f t="shared" si="138"/>
        <v>0</v>
      </c>
      <c r="S277" s="69">
        <f t="shared" si="138"/>
        <v>0</v>
      </c>
      <c r="T277" s="69">
        <f t="shared" si="138"/>
        <v>0</v>
      </c>
      <c r="U277" s="69">
        <f t="shared" si="138"/>
        <v>0</v>
      </c>
      <c r="V277" s="69">
        <f>SUM(V257:V276)</f>
        <v>0</v>
      </c>
      <c r="Y277" s="69">
        <f>SUM(Y257:Y276)</f>
        <v>0</v>
      </c>
      <c r="Z277" s="69">
        <f t="shared" ref="Z277:AF277" si="139">SUM(Z257:Z276)</f>
        <v>0</v>
      </c>
      <c r="AA277" s="69">
        <f t="shared" si="139"/>
        <v>0</v>
      </c>
      <c r="AB277" s="69">
        <f t="shared" si="139"/>
        <v>0</v>
      </c>
      <c r="AC277" s="69">
        <f t="shared" si="139"/>
        <v>0</v>
      </c>
      <c r="AD277" s="69">
        <f t="shared" si="139"/>
        <v>0</v>
      </c>
      <c r="AE277" s="69">
        <f t="shared" si="139"/>
        <v>0</v>
      </c>
      <c r="AF277" s="69">
        <f t="shared" si="139"/>
        <v>0</v>
      </c>
      <c r="AG277" s="69">
        <f>SUM(AG257:AG276)</f>
        <v>0</v>
      </c>
    </row>
    <row r="278" spans="2:33" hidden="1" x14ac:dyDescent="0.25"/>
    <row r="279" spans="2:33" hidden="1" x14ac:dyDescent="0.25"/>
    <row r="280" spans="2:33" hidden="1" x14ac:dyDescent="0.25">
      <c r="B280" s="71" t="s">
        <v>97</v>
      </c>
      <c r="C280" s="167">
        <f>$C$20</f>
        <v>45199</v>
      </c>
      <c r="D280" s="164"/>
      <c r="E280" s="164"/>
      <c r="F280" s="164"/>
      <c r="G280" s="164"/>
      <c r="H280" s="164"/>
      <c r="I280" s="164"/>
      <c r="J280" s="164"/>
      <c r="K280" s="164"/>
      <c r="M280" s="71" t="s">
        <v>97</v>
      </c>
      <c r="N280" s="178">
        <f>$N$20</f>
        <v>45169</v>
      </c>
      <c r="O280" s="179"/>
      <c r="P280" s="179"/>
      <c r="Q280" s="179"/>
      <c r="R280" s="179"/>
      <c r="S280" s="179"/>
      <c r="T280" s="179"/>
      <c r="U280" s="179"/>
      <c r="V280" s="179"/>
      <c r="X280" s="71" t="s">
        <v>97</v>
      </c>
      <c r="Y280" s="164" t="s">
        <v>98</v>
      </c>
      <c r="Z280" s="164"/>
      <c r="AA280" s="164"/>
      <c r="AB280" s="164"/>
      <c r="AC280" s="164"/>
      <c r="AD280" s="164"/>
      <c r="AE280" s="164"/>
      <c r="AF280" s="164"/>
      <c r="AG280" s="164"/>
    </row>
    <row r="281" spans="2:33" hidden="1" x14ac:dyDescent="0.25">
      <c r="B281" s="71" t="s">
        <v>96</v>
      </c>
      <c r="C281" s="164" t="str">
        <f>'Reimbursement Rates &lt;-INPUT'!L7</f>
        <v>Clinic 11</v>
      </c>
      <c r="D281" s="164"/>
      <c r="E281" s="164"/>
      <c r="F281" s="164"/>
      <c r="G281" s="164"/>
      <c r="H281" s="164"/>
      <c r="I281" s="164"/>
      <c r="J281" s="164"/>
      <c r="K281" s="164"/>
      <c r="M281" s="71" t="s">
        <v>96</v>
      </c>
      <c r="N281" s="164" t="str">
        <f>C281</f>
        <v>Clinic 11</v>
      </c>
      <c r="O281" s="164"/>
      <c r="P281" s="164"/>
      <c r="Q281" s="164"/>
      <c r="R281" s="164"/>
      <c r="S281" s="164"/>
      <c r="T281" s="164"/>
      <c r="U281" s="164"/>
      <c r="V281" s="164"/>
      <c r="X281" s="71" t="s">
        <v>96</v>
      </c>
      <c r="Y281" s="164" t="str">
        <f>C281</f>
        <v>Clinic 11</v>
      </c>
      <c r="Z281" s="164"/>
      <c r="AA281" s="164"/>
      <c r="AB281" s="164"/>
      <c r="AC281" s="164"/>
      <c r="AD281" s="164"/>
      <c r="AE281" s="164"/>
      <c r="AF281" s="164"/>
      <c r="AG281" s="164"/>
    </row>
    <row r="282" spans="2:33" hidden="1" x14ac:dyDescent="0.25">
      <c r="B282" s="4" t="s">
        <v>16</v>
      </c>
      <c r="C282" s="5" t="s">
        <v>15</v>
      </c>
      <c r="D282" s="5" t="s">
        <v>14</v>
      </c>
      <c r="E282" s="5" t="s">
        <v>13</v>
      </c>
      <c r="F282" s="5" t="s">
        <v>12</v>
      </c>
      <c r="G282" s="5" t="s">
        <v>94</v>
      </c>
      <c r="H282" s="5" t="s">
        <v>95</v>
      </c>
      <c r="I282" s="5" t="s">
        <v>38</v>
      </c>
      <c r="J282" s="5" t="s">
        <v>9</v>
      </c>
      <c r="K282" s="5" t="s">
        <v>80</v>
      </c>
      <c r="M282" s="4" t="s">
        <v>16</v>
      </c>
      <c r="N282" s="5" t="s">
        <v>15</v>
      </c>
      <c r="O282" s="5" t="s">
        <v>14</v>
      </c>
      <c r="P282" s="5" t="s">
        <v>13</v>
      </c>
      <c r="Q282" s="5" t="s">
        <v>12</v>
      </c>
      <c r="R282" s="5" t="s">
        <v>94</v>
      </c>
      <c r="S282" s="5" t="s">
        <v>95</v>
      </c>
      <c r="T282" s="5" t="s">
        <v>38</v>
      </c>
      <c r="U282" s="5" t="s">
        <v>9</v>
      </c>
      <c r="V282" s="5" t="s">
        <v>80</v>
      </c>
      <c r="X282" s="4" t="s">
        <v>16</v>
      </c>
      <c r="Y282" s="5" t="s">
        <v>15</v>
      </c>
      <c r="Z282" s="5" t="s">
        <v>14</v>
      </c>
      <c r="AA282" s="5" t="s">
        <v>13</v>
      </c>
      <c r="AB282" s="5" t="s">
        <v>12</v>
      </c>
      <c r="AC282" s="5" t="s">
        <v>94</v>
      </c>
      <c r="AD282" s="5" t="s">
        <v>95</v>
      </c>
      <c r="AE282" s="5" t="s">
        <v>38</v>
      </c>
      <c r="AF282" s="5" t="s">
        <v>9</v>
      </c>
      <c r="AG282" s="5" t="s">
        <v>80</v>
      </c>
    </row>
    <row r="283" spans="2:33" hidden="1" x14ac:dyDescent="0.25">
      <c r="B283" s="1" t="s">
        <v>335</v>
      </c>
      <c r="C283" s="2"/>
      <c r="D283" s="2"/>
      <c r="E283" s="2"/>
      <c r="F283" s="2"/>
      <c r="G283" s="2"/>
      <c r="H283" s="2"/>
      <c r="I283" s="2"/>
      <c r="J283" s="2"/>
      <c r="K283" s="2">
        <f>SUM(C283:J283)</f>
        <v>0</v>
      </c>
      <c r="M283" s="1" t="s">
        <v>335</v>
      </c>
      <c r="N283" s="2"/>
      <c r="O283" s="2"/>
      <c r="P283" s="2"/>
      <c r="Q283" s="2"/>
      <c r="R283" s="2"/>
      <c r="S283" s="2"/>
      <c r="T283" s="2"/>
      <c r="U283" s="2"/>
      <c r="V283" s="2">
        <f>SUM(N283:U283)</f>
        <v>0</v>
      </c>
      <c r="X283" s="1" t="s">
        <v>49</v>
      </c>
      <c r="Y283" s="2">
        <f t="shared" ref="Y283:Y302" si="140">C283-N283</f>
        <v>0</v>
      </c>
      <c r="Z283" s="2">
        <f t="shared" ref="Z283:Z302" si="141">D283-O283</f>
        <v>0</v>
      </c>
      <c r="AA283" s="2">
        <f t="shared" ref="AA283:AA302" si="142">E283-P283</f>
        <v>0</v>
      </c>
      <c r="AB283" s="2">
        <f t="shared" ref="AB283:AB302" si="143">F283-Q283</f>
        <v>0</v>
      </c>
      <c r="AC283" s="2">
        <f t="shared" ref="AC283:AC302" si="144">G283-R283</f>
        <v>0</v>
      </c>
      <c r="AD283" s="2">
        <f t="shared" ref="AD283:AD302" si="145">H283-S283</f>
        <v>0</v>
      </c>
      <c r="AE283" s="2">
        <f t="shared" ref="AE283:AE302" si="146">I283-T283</f>
        <v>0</v>
      </c>
      <c r="AF283" s="2">
        <f t="shared" ref="AF283:AF302" si="147">J283-U283</f>
        <v>0</v>
      </c>
      <c r="AG283" s="2">
        <f>SUM(Y283:AF283)</f>
        <v>0</v>
      </c>
    </row>
    <row r="284" spans="2:33" hidden="1" x14ac:dyDescent="0.25">
      <c r="B284" s="1" t="s">
        <v>8</v>
      </c>
      <c r="C284" s="2"/>
      <c r="D284" s="2"/>
      <c r="E284" s="2"/>
      <c r="F284" s="2"/>
      <c r="G284" s="2"/>
      <c r="H284" s="2"/>
      <c r="I284" s="2"/>
      <c r="J284" s="2"/>
      <c r="K284" s="2">
        <f t="shared" ref="K284:K302" si="148">SUM(C284:J284)</f>
        <v>0</v>
      </c>
      <c r="M284" s="1" t="s">
        <v>8</v>
      </c>
      <c r="N284" s="2"/>
      <c r="O284" s="2"/>
      <c r="P284" s="2"/>
      <c r="Q284" s="2"/>
      <c r="R284" s="2"/>
      <c r="S284" s="2"/>
      <c r="T284" s="2"/>
      <c r="U284" s="2"/>
      <c r="V284" s="2">
        <f t="shared" ref="V284:V302" si="149">SUM(N284:U284)</f>
        <v>0</v>
      </c>
      <c r="X284" s="1" t="s">
        <v>8</v>
      </c>
      <c r="Y284" s="2">
        <f t="shared" si="140"/>
        <v>0</v>
      </c>
      <c r="Z284" s="2">
        <f t="shared" si="141"/>
        <v>0</v>
      </c>
      <c r="AA284" s="2">
        <f t="shared" si="142"/>
        <v>0</v>
      </c>
      <c r="AB284" s="2">
        <f t="shared" si="143"/>
        <v>0</v>
      </c>
      <c r="AC284" s="2">
        <f t="shared" si="144"/>
        <v>0</v>
      </c>
      <c r="AD284" s="2">
        <f t="shared" si="145"/>
        <v>0</v>
      </c>
      <c r="AE284" s="2">
        <f t="shared" si="146"/>
        <v>0</v>
      </c>
      <c r="AF284" s="2">
        <f t="shared" si="147"/>
        <v>0</v>
      </c>
      <c r="AG284" s="2">
        <f t="shared" ref="AG284:AG302" si="150">SUM(Y284:AF284)</f>
        <v>0</v>
      </c>
    </row>
    <row r="285" spans="2:33" hidden="1" x14ac:dyDescent="0.25">
      <c r="B285" s="1" t="s">
        <v>336</v>
      </c>
      <c r="C285" s="2"/>
      <c r="D285" s="2"/>
      <c r="E285" s="2"/>
      <c r="F285" s="2"/>
      <c r="G285" s="2"/>
      <c r="H285" s="2"/>
      <c r="I285" s="2"/>
      <c r="J285" s="2"/>
      <c r="K285" s="2">
        <f t="shared" si="148"/>
        <v>0</v>
      </c>
      <c r="M285" s="1" t="s">
        <v>336</v>
      </c>
      <c r="N285" s="2"/>
      <c r="O285" s="2"/>
      <c r="P285" s="2"/>
      <c r="Q285" s="2"/>
      <c r="R285" s="2"/>
      <c r="S285" s="2"/>
      <c r="T285" s="2"/>
      <c r="U285" s="2"/>
      <c r="V285" s="2">
        <f t="shared" si="149"/>
        <v>0</v>
      </c>
      <c r="X285" s="1" t="s">
        <v>7</v>
      </c>
      <c r="Y285" s="2">
        <f t="shared" si="140"/>
        <v>0</v>
      </c>
      <c r="Z285" s="2">
        <f t="shared" si="141"/>
        <v>0</v>
      </c>
      <c r="AA285" s="2">
        <f t="shared" si="142"/>
        <v>0</v>
      </c>
      <c r="AB285" s="2">
        <f t="shared" si="143"/>
        <v>0</v>
      </c>
      <c r="AC285" s="2">
        <f t="shared" si="144"/>
        <v>0</v>
      </c>
      <c r="AD285" s="2">
        <f t="shared" si="145"/>
        <v>0</v>
      </c>
      <c r="AE285" s="2">
        <f t="shared" si="146"/>
        <v>0</v>
      </c>
      <c r="AF285" s="2">
        <f t="shared" si="147"/>
        <v>0</v>
      </c>
      <c r="AG285" s="2">
        <f t="shared" si="150"/>
        <v>0</v>
      </c>
    </row>
    <row r="286" spans="2:33" hidden="1" x14ac:dyDescent="0.25">
      <c r="B286" s="1" t="s">
        <v>42</v>
      </c>
      <c r="C286" s="2"/>
      <c r="D286" s="2"/>
      <c r="E286" s="2"/>
      <c r="F286" s="2"/>
      <c r="G286" s="2"/>
      <c r="H286" s="2"/>
      <c r="I286" s="2"/>
      <c r="J286" s="2"/>
      <c r="K286" s="2">
        <f t="shared" si="148"/>
        <v>0</v>
      </c>
      <c r="M286" s="1" t="s">
        <v>42</v>
      </c>
      <c r="N286" s="2"/>
      <c r="O286" s="2"/>
      <c r="P286" s="2"/>
      <c r="Q286" s="2"/>
      <c r="R286" s="2"/>
      <c r="S286" s="2"/>
      <c r="T286" s="2"/>
      <c r="U286" s="2"/>
      <c r="V286" s="2">
        <f t="shared" si="149"/>
        <v>0</v>
      </c>
      <c r="X286" s="1" t="s">
        <v>42</v>
      </c>
      <c r="Y286" s="2">
        <f t="shared" si="140"/>
        <v>0</v>
      </c>
      <c r="Z286" s="2">
        <f t="shared" si="141"/>
        <v>0</v>
      </c>
      <c r="AA286" s="2">
        <f t="shared" si="142"/>
        <v>0</v>
      </c>
      <c r="AB286" s="2">
        <f t="shared" si="143"/>
        <v>0</v>
      </c>
      <c r="AC286" s="2">
        <f t="shared" si="144"/>
        <v>0</v>
      </c>
      <c r="AD286" s="2">
        <f t="shared" si="145"/>
        <v>0</v>
      </c>
      <c r="AE286" s="2">
        <f t="shared" si="146"/>
        <v>0</v>
      </c>
      <c r="AF286" s="2">
        <f t="shared" si="147"/>
        <v>0</v>
      </c>
      <c r="AG286" s="2">
        <f t="shared" si="150"/>
        <v>0</v>
      </c>
    </row>
    <row r="287" spans="2:33" hidden="1" x14ac:dyDescent="0.25">
      <c r="B287" s="1" t="s">
        <v>6</v>
      </c>
      <c r="C287" s="2"/>
      <c r="D287" s="2"/>
      <c r="E287" s="2"/>
      <c r="F287" s="2"/>
      <c r="G287" s="2"/>
      <c r="H287" s="2"/>
      <c r="I287" s="2"/>
      <c r="J287" s="2"/>
      <c r="K287" s="2">
        <f t="shared" si="148"/>
        <v>0</v>
      </c>
      <c r="M287" s="1" t="s">
        <v>6</v>
      </c>
      <c r="N287" s="2"/>
      <c r="O287" s="2"/>
      <c r="P287" s="2"/>
      <c r="Q287" s="2"/>
      <c r="R287" s="2"/>
      <c r="S287" s="2"/>
      <c r="T287" s="2"/>
      <c r="U287" s="2"/>
      <c r="V287" s="2">
        <f t="shared" si="149"/>
        <v>0</v>
      </c>
      <c r="X287" s="1" t="s">
        <v>6</v>
      </c>
      <c r="Y287" s="2">
        <f t="shared" si="140"/>
        <v>0</v>
      </c>
      <c r="Z287" s="2">
        <f t="shared" si="141"/>
        <v>0</v>
      </c>
      <c r="AA287" s="2">
        <f t="shared" si="142"/>
        <v>0</v>
      </c>
      <c r="AB287" s="2">
        <f t="shared" si="143"/>
        <v>0</v>
      </c>
      <c r="AC287" s="2">
        <f t="shared" si="144"/>
        <v>0</v>
      </c>
      <c r="AD287" s="2">
        <f t="shared" si="145"/>
        <v>0</v>
      </c>
      <c r="AE287" s="2">
        <f t="shared" si="146"/>
        <v>0</v>
      </c>
      <c r="AF287" s="2">
        <f t="shared" si="147"/>
        <v>0</v>
      </c>
      <c r="AG287" s="2">
        <f t="shared" si="150"/>
        <v>0</v>
      </c>
    </row>
    <row r="288" spans="2:33" hidden="1" x14ac:dyDescent="0.25">
      <c r="B288" s="1" t="s">
        <v>90</v>
      </c>
      <c r="C288" s="2"/>
      <c r="D288" s="2"/>
      <c r="E288" s="2"/>
      <c r="F288" s="2"/>
      <c r="G288" s="2"/>
      <c r="H288" s="2"/>
      <c r="I288" s="2"/>
      <c r="J288" s="2"/>
      <c r="K288" s="2">
        <f t="shared" si="148"/>
        <v>0</v>
      </c>
      <c r="M288" s="1" t="s">
        <v>90</v>
      </c>
      <c r="N288" s="2"/>
      <c r="O288" s="2"/>
      <c r="P288" s="2"/>
      <c r="Q288" s="2"/>
      <c r="R288" s="2"/>
      <c r="S288" s="2"/>
      <c r="T288" s="2"/>
      <c r="U288" s="2"/>
      <c r="V288" s="2">
        <f t="shared" si="149"/>
        <v>0</v>
      </c>
      <c r="X288" s="1" t="s">
        <v>90</v>
      </c>
      <c r="Y288" s="2">
        <f t="shared" si="140"/>
        <v>0</v>
      </c>
      <c r="Z288" s="2">
        <f t="shared" si="141"/>
        <v>0</v>
      </c>
      <c r="AA288" s="2">
        <f t="shared" si="142"/>
        <v>0</v>
      </c>
      <c r="AB288" s="2">
        <f t="shared" si="143"/>
        <v>0</v>
      </c>
      <c r="AC288" s="2">
        <f t="shared" si="144"/>
        <v>0</v>
      </c>
      <c r="AD288" s="2">
        <f t="shared" si="145"/>
        <v>0</v>
      </c>
      <c r="AE288" s="2">
        <f t="shared" si="146"/>
        <v>0</v>
      </c>
      <c r="AF288" s="2">
        <f t="shared" si="147"/>
        <v>0</v>
      </c>
      <c r="AG288" s="2">
        <f t="shared" si="150"/>
        <v>0</v>
      </c>
    </row>
    <row r="289" spans="2:33" hidden="1" x14ac:dyDescent="0.25">
      <c r="B289" s="1" t="s">
        <v>342</v>
      </c>
      <c r="C289" s="2"/>
      <c r="D289" s="2"/>
      <c r="E289" s="2"/>
      <c r="F289" s="2"/>
      <c r="G289" s="2"/>
      <c r="H289" s="2"/>
      <c r="I289" s="2"/>
      <c r="J289" s="2"/>
      <c r="K289" s="2">
        <f t="shared" si="148"/>
        <v>0</v>
      </c>
      <c r="M289" s="1" t="s">
        <v>342</v>
      </c>
      <c r="N289" s="2"/>
      <c r="O289" s="2"/>
      <c r="P289" s="2"/>
      <c r="Q289" s="2"/>
      <c r="R289" s="2"/>
      <c r="S289" s="2"/>
      <c r="T289" s="2"/>
      <c r="U289" s="2"/>
      <c r="V289" s="2">
        <f t="shared" si="149"/>
        <v>0</v>
      </c>
      <c r="X289" s="1" t="s">
        <v>50</v>
      </c>
      <c r="Y289" s="2">
        <f t="shared" si="140"/>
        <v>0</v>
      </c>
      <c r="Z289" s="2">
        <f t="shared" si="141"/>
        <v>0</v>
      </c>
      <c r="AA289" s="2">
        <f t="shared" si="142"/>
        <v>0</v>
      </c>
      <c r="AB289" s="2">
        <f t="shared" si="143"/>
        <v>0</v>
      </c>
      <c r="AC289" s="2">
        <f t="shared" si="144"/>
        <v>0</v>
      </c>
      <c r="AD289" s="2">
        <f t="shared" si="145"/>
        <v>0</v>
      </c>
      <c r="AE289" s="2">
        <f t="shared" si="146"/>
        <v>0</v>
      </c>
      <c r="AF289" s="2">
        <f t="shared" si="147"/>
        <v>0</v>
      </c>
      <c r="AG289" s="2">
        <f t="shared" si="150"/>
        <v>0</v>
      </c>
    </row>
    <row r="290" spans="2:33" hidden="1" x14ac:dyDescent="0.25">
      <c r="B290" s="1" t="s">
        <v>89</v>
      </c>
      <c r="C290" s="2"/>
      <c r="D290" s="2"/>
      <c r="E290" s="2"/>
      <c r="F290" s="2"/>
      <c r="G290" s="2"/>
      <c r="H290" s="2"/>
      <c r="I290" s="2"/>
      <c r="J290" s="2"/>
      <c r="K290" s="2">
        <f t="shared" si="148"/>
        <v>0</v>
      </c>
      <c r="M290" s="1" t="s">
        <v>89</v>
      </c>
      <c r="N290" s="2"/>
      <c r="O290" s="2"/>
      <c r="P290" s="2"/>
      <c r="Q290" s="2"/>
      <c r="R290" s="2"/>
      <c r="S290" s="2"/>
      <c r="T290" s="2"/>
      <c r="U290" s="2"/>
      <c r="V290" s="2">
        <f t="shared" si="149"/>
        <v>0</v>
      </c>
      <c r="X290" s="1" t="s">
        <v>89</v>
      </c>
      <c r="Y290" s="2">
        <f t="shared" si="140"/>
        <v>0</v>
      </c>
      <c r="Z290" s="2">
        <f t="shared" si="141"/>
        <v>0</v>
      </c>
      <c r="AA290" s="2">
        <f t="shared" si="142"/>
        <v>0</v>
      </c>
      <c r="AB290" s="2">
        <f t="shared" si="143"/>
        <v>0</v>
      </c>
      <c r="AC290" s="2">
        <f t="shared" si="144"/>
        <v>0</v>
      </c>
      <c r="AD290" s="2">
        <f t="shared" si="145"/>
        <v>0</v>
      </c>
      <c r="AE290" s="2">
        <f t="shared" si="146"/>
        <v>0</v>
      </c>
      <c r="AF290" s="2">
        <f t="shared" si="147"/>
        <v>0</v>
      </c>
      <c r="AG290" s="2">
        <f t="shared" si="150"/>
        <v>0</v>
      </c>
    </row>
    <row r="291" spans="2:33" hidden="1" x14ac:dyDescent="0.25">
      <c r="B291" s="1" t="s">
        <v>5</v>
      </c>
      <c r="C291" s="2"/>
      <c r="D291" s="2"/>
      <c r="E291" s="2"/>
      <c r="F291" s="2"/>
      <c r="G291" s="2"/>
      <c r="H291" s="2"/>
      <c r="I291" s="2"/>
      <c r="J291" s="2"/>
      <c r="K291" s="2">
        <f t="shared" si="148"/>
        <v>0</v>
      </c>
      <c r="M291" s="1" t="s">
        <v>5</v>
      </c>
      <c r="N291" s="2"/>
      <c r="O291" s="2"/>
      <c r="P291" s="2"/>
      <c r="Q291" s="2"/>
      <c r="R291" s="2"/>
      <c r="S291" s="2"/>
      <c r="T291" s="2"/>
      <c r="U291" s="2"/>
      <c r="V291" s="2">
        <f t="shared" si="149"/>
        <v>0</v>
      </c>
      <c r="X291" s="1" t="s">
        <v>5</v>
      </c>
      <c r="Y291" s="2">
        <f t="shared" si="140"/>
        <v>0</v>
      </c>
      <c r="Z291" s="2">
        <f t="shared" si="141"/>
        <v>0</v>
      </c>
      <c r="AA291" s="2">
        <f t="shared" si="142"/>
        <v>0</v>
      </c>
      <c r="AB291" s="2">
        <f t="shared" si="143"/>
        <v>0</v>
      </c>
      <c r="AC291" s="2">
        <f t="shared" si="144"/>
        <v>0</v>
      </c>
      <c r="AD291" s="2">
        <f t="shared" si="145"/>
        <v>0</v>
      </c>
      <c r="AE291" s="2">
        <f t="shared" si="146"/>
        <v>0</v>
      </c>
      <c r="AF291" s="2">
        <f t="shared" si="147"/>
        <v>0</v>
      </c>
      <c r="AG291" s="2">
        <f t="shared" si="150"/>
        <v>0</v>
      </c>
    </row>
    <row r="292" spans="2:33" hidden="1" x14ac:dyDescent="0.25">
      <c r="B292" s="1" t="s">
        <v>84</v>
      </c>
      <c r="C292" s="2"/>
      <c r="D292" s="2"/>
      <c r="E292" s="2"/>
      <c r="F292" s="2"/>
      <c r="G292" s="2"/>
      <c r="H292" s="2"/>
      <c r="I292" s="2"/>
      <c r="J292" s="2"/>
      <c r="K292" s="2">
        <f t="shared" si="148"/>
        <v>0</v>
      </c>
      <c r="M292" s="1" t="s">
        <v>84</v>
      </c>
      <c r="N292" s="2"/>
      <c r="O292" s="2"/>
      <c r="P292" s="2"/>
      <c r="Q292" s="2"/>
      <c r="R292" s="2"/>
      <c r="S292" s="2"/>
      <c r="T292" s="2"/>
      <c r="U292" s="2"/>
      <c r="V292" s="2">
        <f t="shared" si="149"/>
        <v>0</v>
      </c>
      <c r="X292" s="1" t="s">
        <v>84</v>
      </c>
      <c r="Y292" s="2">
        <f t="shared" si="140"/>
        <v>0</v>
      </c>
      <c r="Z292" s="2">
        <f t="shared" si="141"/>
        <v>0</v>
      </c>
      <c r="AA292" s="2">
        <f t="shared" si="142"/>
        <v>0</v>
      </c>
      <c r="AB292" s="2">
        <f t="shared" si="143"/>
        <v>0</v>
      </c>
      <c r="AC292" s="2">
        <f t="shared" si="144"/>
        <v>0</v>
      </c>
      <c r="AD292" s="2">
        <f t="shared" si="145"/>
        <v>0</v>
      </c>
      <c r="AE292" s="2">
        <f t="shared" si="146"/>
        <v>0</v>
      </c>
      <c r="AF292" s="2">
        <f t="shared" si="147"/>
        <v>0</v>
      </c>
      <c r="AG292" s="2">
        <f t="shared" si="150"/>
        <v>0</v>
      </c>
    </row>
    <row r="293" spans="2:33" hidden="1" x14ac:dyDescent="0.25">
      <c r="B293" s="1" t="s">
        <v>4</v>
      </c>
      <c r="C293" s="2"/>
      <c r="D293" s="2"/>
      <c r="E293" s="2"/>
      <c r="F293" s="2"/>
      <c r="G293" s="2"/>
      <c r="H293" s="2"/>
      <c r="I293" s="2"/>
      <c r="J293" s="2"/>
      <c r="K293" s="2">
        <f t="shared" si="148"/>
        <v>0</v>
      </c>
      <c r="M293" s="1" t="s">
        <v>4</v>
      </c>
      <c r="N293" s="2"/>
      <c r="O293" s="2"/>
      <c r="P293" s="2"/>
      <c r="Q293" s="2"/>
      <c r="R293" s="2"/>
      <c r="S293" s="2"/>
      <c r="T293" s="2"/>
      <c r="U293" s="2"/>
      <c r="V293" s="2">
        <f t="shared" si="149"/>
        <v>0</v>
      </c>
      <c r="X293" s="1" t="s">
        <v>4</v>
      </c>
      <c r="Y293" s="2">
        <f t="shared" si="140"/>
        <v>0</v>
      </c>
      <c r="Z293" s="2">
        <f t="shared" si="141"/>
        <v>0</v>
      </c>
      <c r="AA293" s="2">
        <f t="shared" si="142"/>
        <v>0</v>
      </c>
      <c r="AB293" s="2">
        <f t="shared" si="143"/>
        <v>0</v>
      </c>
      <c r="AC293" s="2">
        <f t="shared" si="144"/>
        <v>0</v>
      </c>
      <c r="AD293" s="2">
        <f t="shared" si="145"/>
        <v>0</v>
      </c>
      <c r="AE293" s="2">
        <f t="shared" si="146"/>
        <v>0</v>
      </c>
      <c r="AF293" s="2">
        <f t="shared" si="147"/>
        <v>0</v>
      </c>
      <c r="AG293" s="2">
        <f t="shared" si="150"/>
        <v>0</v>
      </c>
    </row>
    <row r="294" spans="2:33" hidden="1" x14ac:dyDescent="0.25">
      <c r="B294" s="1" t="s">
        <v>51</v>
      </c>
      <c r="C294" s="2"/>
      <c r="D294" s="2"/>
      <c r="E294" s="2"/>
      <c r="F294" s="2"/>
      <c r="G294" s="2"/>
      <c r="H294" s="2"/>
      <c r="I294" s="2"/>
      <c r="J294" s="2"/>
      <c r="K294" s="2">
        <f t="shared" si="148"/>
        <v>0</v>
      </c>
      <c r="M294" s="1" t="s">
        <v>51</v>
      </c>
      <c r="N294" s="2"/>
      <c r="O294" s="2"/>
      <c r="P294" s="2"/>
      <c r="Q294" s="2"/>
      <c r="R294" s="2"/>
      <c r="S294" s="2"/>
      <c r="T294" s="2"/>
      <c r="U294" s="2"/>
      <c r="V294" s="2">
        <f t="shared" si="149"/>
        <v>0</v>
      </c>
      <c r="X294" s="1" t="s">
        <v>51</v>
      </c>
      <c r="Y294" s="2">
        <f t="shared" si="140"/>
        <v>0</v>
      </c>
      <c r="Z294" s="2">
        <f t="shared" si="141"/>
        <v>0</v>
      </c>
      <c r="AA294" s="2">
        <f t="shared" si="142"/>
        <v>0</v>
      </c>
      <c r="AB294" s="2">
        <f t="shared" si="143"/>
        <v>0</v>
      </c>
      <c r="AC294" s="2">
        <f t="shared" si="144"/>
        <v>0</v>
      </c>
      <c r="AD294" s="2">
        <f t="shared" si="145"/>
        <v>0</v>
      </c>
      <c r="AE294" s="2">
        <f t="shared" si="146"/>
        <v>0</v>
      </c>
      <c r="AF294" s="2">
        <f t="shared" si="147"/>
        <v>0</v>
      </c>
      <c r="AG294" s="2">
        <f t="shared" si="150"/>
        <v>0</v>
      </c>
    </row>
    <row r="295" spans="2:33" hidden="1" x14ac:dyDescent="0.25">
      <c r="B295" s="1" t="s">
        <v>87</v>
      </c>
      <c r="C295" s="2"/>
      <c r="D295" s="2"/>
      <c r="E295" s="2"/>
      <c r="F295" s="2"/>
      <c r="G295" s="2"/>
      <c r="H295" s="2"/>
      <c r="I295" s="2"/>
      <c r="J295" s="2"/>
      <c r="K295" s="2">
        <f t="shared" si="148"/>
        <v>0</v>
      </c>
      <c r="M295" s="1" t="s">
        <v>87</v>
      </c>
      <c r="N295" s="2"/>
      <c r="O295" s="2"/>
      <c r="P295" s="2"/>
      <c r="Q295" s="2"/>
      <c r="R295" s="2"/>
      <c r="S295" s="2"/>
      <c r="T295" s="2"/>
      <c r="U295" s="2"/>
      <c r="V295" s="2">
        <f t="shared" si="149"/>
        <v>0</v>
      </c>
      <c r="X295" s="1" t="s">
        <v>87</v>
      </c>
      <c r="Y295" s="2">
        <f t="shared" si="140"/>
        <v>0</v>
      </c>
      <c r="Z295" s="2">
        <f t="shared" si="141"/>
        <v>0</v>
      </c>
      <c r="AA295" s="2">
        <f t="shared" si="142"/>
        <v>0</v>
      </c>
      <c r="AB295" s="2">
        <f t="shared" si="143"/>
        <v>0</v>
      </c>
      <c r="AC295" s="2">
        <f t="shared" si="144"/>
        <v>0</v>
      </c>
      <c r="AD295" s="2">
        <f t="shared" si="145"/>
        <v>0</v>
      </c>
      <c r="AE295" s="2">
        <f t="shared" si="146"/>
        <v>0</v>
      </c>
      <c r="AF295" s="2">
        <f t="shared" si="147"/>
        <v>0</v>
      </c>
      <c r="AG295" s="2">
        <f t="shared" si="150"/>
        <v>0</v>
      </c>
    </row>
    <row r="296" spans="2:33" hidden="1" x14ac:dyDescent="0.25">
      <c r="B296" s="1" t="s">
        <v>85</v>
      </c>
      <c r="C296" s="2"/>
      <c r="D296" s="2"/>
      <c r="E296" s="2"/>
      <c r="F296" s="2"/>
      <c r="G296" s="2"/>
      <c r="H296" s="2"/>
      <c r="I296" s="2"/>
      <c r="J296" s="2"/>
      <c r="K296" s="2">
        <f t="shared" si="148"/>
        <v>0</v>
      </c>
      <c r="M296" s="1" t="s">
        <v>85</v>
      </c>
      <c r="N296" s="2"/>
      <c r="O296" s="2"/>
      <c r="P296" s="2"/>
      <c r="Q296" s="2"/>
      <c r="R296" s="2"/>
      <c r="S296" s="2"/>
      <c r="T296" s="2"/>
      <c r="U296" s="2"/>
      <c r="V296" s="2">
        <f t="shared" si="149"/>
        <v>0</v>
      </c>
      <c r="X296" s="1" t="s">
        <v>85</v>
      </c>
      <c r="Y296" s="2">
        <f t="shared" si="140"/>
        <v>0</v>
      </c>
      <c r="Z296" s="2">
        <f t="shared" si="141"/>
        <v>0</v>
      </c>
      <c r="AA296" s="2">
        <f t="shared" si="142"/>
        <v>0</v>
      </c>
      <c r="AB296" s="2">
        <f t="shared" si="143"/>
        <v>0</v>
      </c>
      <c r="AC296" s="2">
        <f t="shared" si="144"/>
        <v>0</v>
      </c>
      <c r="AD296" s="2">
        <f t="shared" si="145"/>
        <v>0</v>
      </c>
      <c r="AE296" s="2">
        <f t="shared" si="146"/>
        <v>0</v>
      </c>
      <c r="AF296" s="2">
        <f t="shared" si="147"/>
        <v>0</v>
      </c>
      <c r="AG296" s="2">
        <f t="shared" si="150"/>
        <v>0</v>
      </c>
    </row>
    <row r="297" spans="2:33" hidden="1" x14ac:dyDescent="0.25">
      <c r="B297" s="1" t="s">
        <v>2</v>
      </c>
      <c r="C297" s="2"/>
      <c r="D297" s="2"/>
      <c r="E297" s="2"/>
      <c r="F297" s="2"/>
      <c r="G297" s="2"/>
      <c r="H297" s="2"/>
      <c r="I297" s="2"/>
      <c r="J297" s="2"/>
      <c r="K297" s="2">
        <f t="shared" si="148"/>
        <v>0</v>
      </c>
      <c r="M297" s="1" t="s">
        <v>2</v>
      </c>
      <c r="N297" s="2"/>
      <c r="O297" s="2"/>
      <c r="P297" s="2"/>
      <c r="Q297" s="2"/>
      <c r="R297" s="2"/>
      <c r="S297" s="2"/>
      <c r="T297" s="2"/>
      <c r="U297" s="2"/>
      <c r="V297" s="2">
        <f t="shared" si="149"/>
        <v>0</v>
      </c>
      <c r="X297" s="1" t="s">
        <v>2</v>
      </c>
      <c r="Y297" s="2">
        <f t="shared" si="140"/>
        <v>0</v>
      </c>
      <c r="Z297" s="2">
        <f t="shared" si="141"/>
        <v>0</v>
      </c>
      <c r="AA297" s="2">
        <f t="shared" si="142"/>
        <v>0</v>
      </c>
      <c r="AB297" s="2">
        <f t="shared" si="143"/>
        <v>0</v>
      </c>
      <c r="AC297" s="2">
        <f t="shared" si="144"/>
        <v>0</v>
      </c>
      <c r="AD297" s="2">
        <f t="shared" si="145"/>
        <v>0</v>
      </c>
      <c r="AE297" s="2">
        <f t="shared" si="146"/>
        <v>0</v>
      </c>
      <c r="AF297" s="2">
        <f t="shared" si="147"/>
        <v>0</v>
      </c>
      <c r="AG297" s="2">
        <f t="shared" si="150"/>
        <v>0</v>
      </c>
    </row>
    <row r="298" spans="2:33" hidden="1" x14ac:dyDescent="0.25">
      <c r="B298" s="1" t="s">
        <v>86</v>
      </c>
      <c r="C298" s="2"/>
      <c r="D298" s="2"/>
      <c r="E298" s="2"/>
      <c r="F298" s="2"/>
      <c r="G298" s="2"/>
      <c r="H298" s="2"/>
      <c r="I298" s="2"/>
      <c r="J298" s="2"/>
      <c r="K298" s="2">
        <f t="shared" si="148"/>
        <v>0</v>
      </c>
      <c r="M298" s="1" t="s">
        <v>86</v>
      </c>
      <c r="N298" s="2"/>
      <c r="O298" s="2"/>
      <c r="P298" s="2"/>
      <c r="Q298" s="2"/>
      <c r="R298" s="2"/>
      <c r="S298" s="2"/>
      <c r="T298" s="2"/>
      <c r="U298" s="2"/>
      <c r="V298" s="2">
        <f t="shared" si="149"/>
        <v>0</v>
      </c>
      <c r="X298" s="1" t="s">
        <v>86</v>
      </c>
      <c r="Y298" s="2">
        <f t="shared" si="140"/>
        <v>0</v>
      </c>
      <c r="Z298" s="2">
        <f t="shared" si="141"/>
        <v>0</v>
      </c>
      <c r="AA298" s="2">
        <f t="shared" si="142"/>
        <v>0</v>
      </c>
      <c r="AB298" s="2">
        <f t="shared" si="143"/>
        <v>0</v>
      </c>
      <c r="AC298" s="2">
        <f t="shared" si="144"/>
        <v>0</v>
      </c>
      <c r="AD298" s="2">
        <f t="shared" si="145"/>
        <v>0</v>
      </c>
      <c r="AE298" s="2">
        <f t="shared" si="146"/>
        <v>0</v>
      </c>
      <c r="AF298" s="2">
        <f t="shared" si="147"/>
        <v>0</v>
      </c>
      <c r="AG298" s="2">
        <f t="shared" si="150"/>
        <v>0</v>
      </c>
    </row>
    <row r="299" spans="2:33" hidden="1" x14ac:dyDescent="0.25">
      <c r="B299" s="1" t="s">
        <v>29</v>
      </c>
      <c r="C299" s="2"/>
      <c r="D299" s="2"/>
      <c r="E299" s="2"/>
      <c r="F299" s="2"/>
      <c r="G299" s="2"/>
      <c r="H299" s="2"/>
      <c r="I299" s="2"/>
      <c r="J299" s="2"/>
      <c r="K299" s="2">
        <f t="shared" si="148"/>
        <v>0</v>
      </c>
      <c r="M299" s="1" t="s">
        <v>29</v>
      </c>
      <c r="N299" s="2"/>
      <c r="O299" s="2"/>
      <c r="P299" s="2"/>
      <c r="Q299" s="2"/>
      <c r="R299" s="2"/>
      <c r="S299" s="2"/>
      <c r="T299" s="2"/>
      <c r="U299" s="2"/>
      <c r="V299" s="2">
        <f t="shared" si="149"/>
        <v>0</v>
      </c>
      <c r="X299" s="1" t="s">
        <v>29</v>
      </c>
      <c r="Y299" s="2">
        <f t="shared" si="140"/>
        <v>0</v>
      </c>
      <c r="Z299" s="2">
        <f t="shared" si="141"/>
        <v>0</v>
      </c>
      <c r="AA299" s="2">
        <f t="shared" si="142"/>
        <v>0</v>
      </c>
      <c r="AB299" s="2">
        <f t="shared" si="143"/>
        <v>0</v>
      </c>
      <c r="AC299" s="2">
        <f t="shared" si="144"/>
        <v>0</v>
      </c>
      <c r="AD299" s="2">
        <f t="shared" si="145"/>
        <v>0</v>
      </c>
      <c r="AE299" s="2">
        <f t="shared" si="146"/>
        <v>0</v>
      </c>
      <c r="AF299" s="2">
        <f t="shared" si="147"/>
        <v>0</v>
      </c>
      <c r="AG299" s="2">
        <f t="shared" si="150"/>
        <v>0</v>
      </c>
    </row>
    <row r="300" spans="2:33" hidden="1" x14ac:dyDescent="0.25">
      <c r="B300" s="1" t="s">
        <v>88</v>
      </c>
      <c r="C300" s="2"/>
      <c r="D300" s="2"/>
      <c r="E300" s="2"/>
      <c r="F300" s="2"/>
      <c r="G300" s="2"/>
      <c r="H300" s="2"/>
      <c r="I300" s="2"/>
      <c r="J300" s="2"/>
      <c r="K300" s="2">
        <f t="shared" si="148"/>
        <v>0</v>
      </c>
      <c r="M300" s="1" t="s">
        <v>88</v>
      </c>
      <c r="N300" s="2"/>
      <c r="O300" s="2"/>
      <c r="P300" s="2"/>
      <c r="Q300" s="2"/>
      <c r="R300" s="2"/>
      <c r="S300" s="2"/>
      <c r="T300" s="2"/>
      <c r="U300" s="2"/>
      <c r="V300" s="2">
        <f t="shared" si="149"/>
        <v>0</v>
      </c>
      <c r="X300" s="1" t="s">
        <v>52</v>
      </c>
      <c r="Y300" s="2">
        <f t="shared" si="140"/>
        <v>0</v>
      </c>
      <c r="Z300" s="2">
        <f t="shared" si="141"/>
        <v>0</v>
      </c>
      <c r="AA300" s="2">
        <f t="shared" si="142"/>
        <v>0</v>
      </c>
      <c r="AB300" s="2">
        <f t="shared" si="143"/>
        <v>0</v>
      </c>
      <c r="AC300" s="2">
        <f t="shared" si="144"/>
        <v>0</v>
      </c>
      <c r="AD300" s="2">
        <f t="shared" si="145"/>
        <v>0</v>
      </c>
      <c r="AE300" s="2">
        <f t="shared" si="146"/>
        <v>0</v>
      </c>
      <c r="AF300" s="2">
        <f t="shared" si="147"/>
        <v>0</v>
      </c>
      <c r="AG300" s="2">
        <f t="shared" si="150"/>
        <v>0</v>
      </c>
    </row>
    <row r="301" spans="2:33" hidden="1" x14ac:dyDescent="0.25">
      <c r="B301" s="1" t="s">
        <v>341</v>
      </c>
      <c r="C301" s="2"/>
      <c r="D301" s="2"/>
      <c r="E301" s="2"/>
      <c r="F301" s="2"/>
      <c r="G301" s="2"/>
      <c r="H301" s="2"/>
      <c r="I301" s="2"/>
      <c r="J301" s="2"/>
      <c r="K301" s="2">
        <f t="shared" si="148"/>
        <v>0</v>
      </c>
      <c r="M301" s="1" t="s">
        <v>341</v>
      </c>
      <c r="N301" s="2"/>
      <c r="O301" s="2"/>
      <c r="P301" s="2"/>
      <c r="Q301" s="2"/>
      <c r="R301" s="2"/>
      <c r="S301" s="2"/>
      <c r="T301" s="2"/>
      <c r="U301" s="2"/>
      <c r="V301" s="2">
        <f t="shared" si="149"/>
        <v>0</v>
      </c>
      <c r="X301" s="1" t="s">
        <v>88</v>
      </c>
      <c r="Y301" s="2">
        <f t="shared" si="140"/>
        <v>0</v>
      </c>
      <c r="Z301" s="2">
        <f t="shared" si="141"/>
        <v>0</v>
      </c>
      <c r="AA301" s="2">
        <f t="shared" si="142"/>
        <v>0</v>
      </c>
      <c r="AB301" s="2">
        <f t="shared" si="143"/>
        <v>0</v>
      </c>
      <c r="AC301" s="2">
        <f t="shared" si="144"/>
        <v>0</v>
      </c>
      <c r="AD301" s="2">
        <f t="shared" si="145"/>
        <v>0</v>
      </c>
      <c r="AE301" s="2">
        <f t="shared" si="146"/>
        <v>0</v>
      </c>
      <c r="AF301" s="2">
        <f t="shared" si="147"/>
        <v>0</v>
      </c>
      <c r="AG301" s="2">
        <f t="shared" si="150"/>
        <v>0</v>
      </c>
    </row>
    <row r="302" spans="2:33" hidden="1" x14ac:dyDescent="0.25">
      <c r="B302" s="1" t="s">
        <v>340</v>
      </c>
      <c r="C302" s="2"/>
      <c r="D302" s="2"/>
      <c r="E302" s="2"/>
      <c r="F302" s="2"/>
      <c r="G302" s="2"/>
      <c r="H302" s="2"/>
      <c r="I302" s="2"/>
      <c r="J302" s="2"/>
      <c r="K302" s="2">
        <f t="shared" si="148"/>
        <v>0</v>
      </c>
      <c r="M302" s="1" t="s">
        <v>340</v>
      </c>
      <c r="N302" s="2"/>
      <c r="O302" s="2"/>
      <c r="P302" s="2"/>
      <c r="Q302" s="2"/>
      <c r="R302" s="2"/>
      <c r="S302" s="2"/>
      <c r="T302" s="2"/>
      <c r="U302" s="2"/>
      <c r="V302" s="2">
        <f t="shared" si="149"/>
        <v>0</v>
      </c>
      <c r="X302" s="1" t="s">
        <v>1</v>
      </c>
      <c r="Y302" s="2">
        <f t="shared" si="140"/>
        <v>0</v>
      </c>
      <c r="Z302" s="2">
        <f t="shared" si="141"/>
        <v>0</v>
      </c>
      <c r="AA302" s="2">
        <f t="shared" si="142"/>
        <v>0</v>
      </c>
      <c r="AB302" s="2">
        <f t="shared" si="143"/>
        <v>0</v>
      </c>
      <c r="AC302" s="2">
        <f t="shared" si="144"/>
        <v>0</v>
      </c>
      <c r="AD302" s="2">
        <f t="shared" si="145"/>
        <v>0</v>
      </c>
      <c r="AE302" s="2">
        <f t="shared" si="146"/>
        <v>0</v>
      </c>
      <c r="AF302" s="2">
        <f t="shared" si="147"/>
        <v>0</v>
      </c>
      <c r="AG302" s="2">
        <f t="shared" si="150"/>
        <v>0</v>
      </c>
    </row>
    <row r="303" spans="2:33" ht="15.75" hidden="1" thickBot="1" x14ac:dyDescent="0.3">
      <c r="C303" s="69">
        <f>SUM(C283:C302)</f>
        <v>0</v>
      </c>
      <c r="D303" s="69">
        <f t="shared" ref="D303:J303" si="151">SUM(D283:D302)</f>
        <v>0</v>
      </c>
      <c r="E303" s="69">
        <f t="shared" si="151"/>
        <v>0</v>
      </c>
      <c r="F303" s="69">
        <f t="shared" si="151"/>
        <v>0</v>
      </c>
      <c r="G303" s="69">
        <f t="shared" si="151"/>
        <v>0</v>
      </c>
      <c r="H303" s="69">
        <f t="shared" si="151"/>
        <v>0</v>
      </c>
      <c r="I303" s="69">
        <f t="shared" si="151"/>
        <v>0</v>
      </c>
      <c r="J303" s="69">
        <f t="shared" si="151"/>
        <v>0</v>
      </c>
      <c r="K303" s="69">
        <f>SUM(K283:K302)</f>
        <v>0</v>
      </c>
      <c r="N303" s="69">
        <f>SUM(N283:N302)</f>
        <v>0</v>
      </c>
      <c r="O303" s="69">
        <f t="shared" ref="O303:U303" si="152">SUM(O283:O302)</f>
        <v>0</v>
      </c>
      <c r="P303" s="69">
        <f t="shared" si="152"/>
        <v>0</v>
      </c>
      <c r="Q303" s="69">
        <f t="shared" si="152"/>
        <v>0</v>
      </c>
      <c r="R303" s="69">
        <f t="shared" si="152"/>
        <v>0</v>
      </c>
      <c r="S303" s="69">
        <f t="shared" si="152"/>
        <v>0</v>
      </c>
      <c r="T303" s="69">
        <f t="shared" si="152"/>
        <v>0</v>
      </c>
      <c r="U303" s="69">
        <f t="shared" si="152"/>
        <v>0</v>
      </c>
      <c r="V303" s="69">
        <f>SUM(V283:V302)</f>
        <v>0</v>
      </c>
      <c r="Y303" s="69">
        <f>SUM(Y283:Y302)</f>
        <v>0</v>
      </c>
      <c r="Z303" s="69">
        <f t="shared" ref="Z303:AF303" si="153">SUM(Z283:Z302)</f>
        <v>0</v>
      </c>
      <c r="AA303" s="69">
        <f t="shared" si="153"/>
        <v>0</v>
      </c>
      <c r="AB303" s="69">
        <f t="shared" si="153"/>
        <v>0</v>
      </c>
      <c r="AC303" s="69">
        <f t="shared" si="153"/>
        <v>0</v>
      </c>
      <c r="AD303" s="69">
        <f t="shared" si="153"/>
        <v>0</v>
      </c>
      <c r="AE303" s="69">
        <f t="shared" si="153"/>
        <v>0</v>
      </c>
      <c r="AF303" s="69">
        <f t="shared" si="153"/>
        <v>0</v>
      </c>
      <c r="AG303" s="69">
        <f>SUM(AG283:AG302)</f>
        <v>0</v>
      </c>
    </row>
    <row r="304" spans="2:33" hidden="1" x14ac:dyDescent="0.25"/>
    <row r="305" spans="2:33" hidden="1" x14ac:dyDescent="0.25"/>
    <row r="306" spans="2:33" hidden="1" x14ac:dyDescent="0.25">
      <c r="B306" s="71" t="s">
        <v>97</v>
      </c>
      <c r="C306" s="167">
        <f>$C$20</f>
        <v>45199</v>
      </c>
      <c r="D306" s="164"/>
      <c r="E306" s="164"/>
      <c r="F306" s="164"/>
      <c r="G306" s="164"/>
      <c r="H306" s="164"/>
      <c r="I306" s="164"/>
      <c r="J306" s="164"/>
      <c r="K306" s="164"/>
      <c r="M306" s="71" t="s">
        <v>97</v>
      </c>
      <c r="N306" s="178">
        <f>$N$20</f>
        <v>45169</v>
      </c>
      <c r="O306" s="179"/>
      <c r="P306" s="179"/>
      <c r="Q306" s="179"/>
      <c r="R306" s="179"/>
      <c r="S306" s="179"/>
      <c r="T306" s="179"/>
      <c r="U306" s="179"/>
      <c r="V306" s="179"/>
      <c r="X306" s="71" t="s">
        <v>97</v>
      </c>
      <c r="Y306" s="164" t="s">
        <v>98</v>
      </c>
      <c r="Z306" s="164"/>
      <c r="AA306" s="164"/>
      <c r="AB306" s="164"/>
      <c r="AC306" s="164"/>
      <c r="AD306" s="164"/>
      <c r="AE306" s="164"/>
      <c r="AF306" s="164"/>
      <c r="AG306" s="164"/>
    </row>
    <row r="307" spans="2:33" hidden="1" x14ac:dyDescent="0.25">
      <c r="B307" s="71" t="s">
        <v>96</v>
      </c>
      <c r="C307" s="164" t="str">
        <f>'Reimbursement Rates &lt;-INPUT'!M7</f>
        <v>Clinic 12</v>
      </c>
      <c r="D307" s="164"/>
      <c r="E307" s="164"/>
      <c r="F307" s="164"/>
      <c r="G307" s="164"/>
      <c r="H307" s="164"/>
      <c r="I307" s="164"/>
      <c r="J307" s="164"/>
      <c r="K307" s="164"/>
      <c r="M307" s="71" t="s">
        <v>96</v>
      </c>
      <c r="N307" s="164" t="str">
        <f>C307</f>
        <v>Clinic 12</v>
      </c>
      <c r="O307" s="164"/>
      <c r="P307" s="164"/>
      <c r="Q307" s="164"/>
      <c r="R307" s="164"/>
      <c r="S307" s="164"/>
      <c r="T307" s="164"/>
      <c r="U307" s="164"/>
      <c r="V307" s="164"/>
      <c r="X307" s="71" t="s">
        <v>96</v>
      </c>
      <c r="Y307" s="164" t="str">
        <f>C307</f>
        <v>Clinic 12</v>
      </c>
      <c r="Z307" s="164"/>
      <c r="AA307" s="164"/>
      <c r="AB307" s="164"/>
      <c r="AC307" s="164"/>
      <c r="AD307" s="164"/>
      <c r="AE307" s="164"/>
      <c r="AF307" s="164"/>
      <c r="AG307" s="164"/>
    </row>
    <row r="308" spans="2:33" hidden="1" x14ac:dyDescent="0.25">
      <c r="B308" s="4" t="s">
        <v>16</v>
      </c>
      <c r="C308" s="5" t="s">
        <v>15</v>
      </c>
      <c r="D308" s="5" t="s">
        <v>14</v>
      </c>
      <c r="E308" s="5" t="s">
        <v>13</v>
      </c>
      <c r="F308" s="5" t="s">
        <v>12</v>
      </c>
      <c r="G308" s="5" t="s">
        <v>94</v>
      </c>
      <c r="H308" s="5" t="s">
        <v>95</v>
      </c>
      <c r="I308" s="5" t="s">
        <v>38</v>
      </c>
      <c r="J308" s="5" t="s">
        <v>9</v>
      </c>
      <c r="K308" s="5" t="s">
        <v>80</v>
      </c>
      <c r="M308" s="4" t="s">
        <v>16</v>
      </c>
      <c r="N308" s="5" t="s">
        <v>15</v>
      </c>
      <c r="O308" s="5" t="s">
        <v>14</v>
      </c>
      <c r="P308" s="5" t="s">
        <v>13</v>
      </c>
      <c r="Q308" s="5" t="s">
        <v>12</v>
      </c>
      <c r="R308" s="5" t="s">
        <v>94</v>
      </c>
      <c r="S308" s="5" t="s">
        <v>95</v>
      </c>
      <c r="T308" s="5" t="s">
        <v>38</v>
      </c>
      <c r="U308" s="5" t="s">
        <v>9</v>
      </c>
      <c r="V308" s="5" t="s">
        <v>80</v>
      </c>
      <c r="X308" s="4" t="s">
        <v>16</v>
      </c>
      <c r="Y308" s="5" t="s">
        <v>15</v>
      </c>
      <c r="Z308" s="5" t="s">
        <v>14</v>
      </c>
      <c r="AA308" s="5" t="s">
        <v>13</v>
      </c>
      <c r="AB308" s="5" t="s">
        <v>12</v>
      </c>
      <c r="AC308" s="5" t="s">
        <v>94</v>
      </c>
      <c r="AD308" s="5" t="s">
        <v>95</v>
      </c>
      <c r="AE308" s="5" t="s">
        <v>38</v>
      </c>
      <c r="AF308" s="5" t="s">
        <v>9</v>
      </c>
      <c r="AG308" s="5" t="s">
        <v>80</v>
      </c>
    </row>
    <row r="309" spans="2:33" hidden="1" x14ac:dyDescent="0.25">
      <c r="B309" s="1" t="s">
        <v>335</v>
      </c>
      <c r="C309" s="2"/>
      <c r="D309" s="2"/>
      <c r="E309" s="2"/>
      <c r="F309" s="2"/>
      <c r="G309" s="2"/>
      <c r="H309" s="2"/>
      <c r="I309" s="2"/>
      <c r="J309" s="2"/>
      <c r="K309" s="2">
        <f>SUM(C309:J309)</f>
        <v>0</v>
      </c>
      <c r="M309" s="1" t="s">
        <v>335</v>
      </c>
      <c r="N309" s="2"/>
      <c r="O309" s="2"/>
      <c r="P309" s="2"/>
      <c r="Q309" s="2"/>
      <c r="R309" s="2"/>
      <c r="S309" s="2"/>
      <c r="T309" s="2"/>
      <c r="U309" s="2"/>
      <c r="V309" s="2">
        <f>SUM(N309:U309)</f>
        <v>0</v>
      </c>
      <c r="X309" s="1" t="s">
        <v>49</v>
      </c>
      <c r="Y309" s="2">
        <f t="shared" ref="Y309:Y328" si="154">C309-N309</f>
        <v>0</v>
      </c>
      <c r="Z309" s="2">
        <f t="shared" ref="Z309:Z328" si="155">D309-O309</f>
        <v>0</v>
      </c>
      <c r="AA309" s="2">
        <f t="shared" ref="AA309:AA328" si="156">E309-P309</f>
        <v>0</v>
      </c>
      <c r="AB309" s="2">
        <f t="shared" ref="AB309:AB328" si="157">F309-Q309</f>
        <v>0</v>
      </c>
      <c r="AC309" s="2">
        <f t="shared" ref="AC309:AC328" si="158">G309-R309</f>
        <v>0</v>
      </c>
      <c r="AD309" s="2">
        <f t="shared" ref="AD309:AD328" si="159">H309-S309</f>
        <v>0</v>
      </c>
      <c r="AE309" s="2">
        <f t="shared" ref="AE309:AE328" si="160">I309-T309</f>
        <v>0</v>
      </c>
      <c r="AF309" s="2">
        <f t="shared" ref="AF309:AF328" si="161">J309-U309</f>
        <v>0</v>
      </c>
      <c r="AG309" s="2">
        <f>SUM(Y309:AF309)</f>
        <v>0</v>
      </c>
    </row>
    <row r="310" spans="2:33" hidden="1" x14ac:dyDescent="0.25">
      <c r="B310" s="1" t="s">
        <v>8</v>
      </c>
      <c r="C310" s="2"/>
      <c r="D310" s="2"/>
      <c r="E310" s="2"/>
      <c r="F310" s="2"/>
      <c r="G310" s="2"/>
      <c r="H310" s="2"/>
      <c r="I310" s="2"/>
      <c r="J310" s="2"/>
      <c r="K310" s="2">
        <f t="shared" ref="K310:K328" si="162">SUM(C310:J310)</f>
        <v>0</v>
      </c>
      <c r="M310" s="1" t="s">
        <v>8</v>
      </c>
      <c r="N310" s="2"/>
      <c r="O310" s="2"/>
      <c r="P310" s="2"/>
      <c r="Q310" s="2"/>
      <c r="R310" s="2"/>
      <c r="S310" s="2"/>
      <c r="T310" s="2"/>
      <c r="U310" s="2"/>
      <c r="V310" s="2">
        <f t="shared" ref="V310:V328" si="163">SUM(N310:U310)</f>
        <v>0</v>
      </c>
      <c r="X310" s="1" t="s">
        <v>8</v>
      </c>
      <c r="Y310" s="2">
        <f t="shared" si="154"/>
        <v>0</v>
      </c>
      <c r="Z310" s="2">
        <f t="shared" si="155"/>
        <v>0</v>
      </c>
      <c r="AA310" s="2">
        <f t="shared" si="156"/>
        <v>0</v>
      </c>
      <c r="AB310" s="2">
        <f t="shared" si="157"/>
        <v>0</v>
      </c>
      <c r="AC310" s="2">
        <f t="shared" si="158"/>
        <v>0</v>
      </c>
      <c r="AD310" s="2">
        <f t="shared" si="159"/>
        <v>0</v>
      </c>
      <c r="AE310" s="2">
        <f t="shared" si="160"/>
        <v>0</v>
      </c>
      <c r="AF310" s="2">
        <f t="shared" si="161"/>
        <v>0</v>
      </c>
      <c r="AG310" s="2">
        <f t="shared" ref="AG310:AG328" si="164">SUM(Y310:AF310)</f>
        <v>0</v>
      </c>
    </row>
    <row r="311" spans="2:33" hidden="1" x14ac:dyDescent="0.25">
      <c r="B311" s="1" t="s">
        <v>336</v>
      </c>
      <c r="C311" s="2"/>
      <c r="D311" s="2"/>
      <c r="E311" s="2"/>
      <c r="F311" s="2"/>
      <c r="G311" s="2"/>
      <c r="H311" s="2"/>
      <c r="I311" s="2"/>
      <c r="J311" s="2"/>
      <c r="K311" s="2">
        <f t="shared" si="162"/>
        <v>0</v>
      </c>
      <c r="M311" s="1" t="s">
        <v>336</v>
      </c>
      <c r="N311" s="2"/>
      <c r="O311" s="2"/>
      <c r="P311" s="2"/>
      <c r="Q311" s="2"/>
      <c r="R311" s="2"/>
      <c r="S311" s="2"/>
      <c r="T311" s="2"/>
      <c r="U311" s="2"/>
      <c r="V311" s="2">
        <f t="shared" si="163"/>
        <v>0</v>
      </c>
      <c r="X311" s="1" t="s">
        <v>7</v>
      </c>
      <c r="Y311" s="2">
        <f t="shared" si="154"/>
        <v>0</v>
      </c>
      <c r="Z311" s="2">
        <f t="shared" si="155"/>
        <v>0</v>
      </c>
      <c r="AA311" s="2">
        <f t="shared" si="156"/>
        <v>0</v>
      </c>
      <c r="AB311" s="2">
        <f t="shared" si="157"/>
        <v>0</v>
      </c>
      <c r="AC311" s="2">
        <f t="shared" si="158"/>
        <v>0</v>
      </c>
      <c r="AD311" s="2">
        <f t="shared" si="159"/>
        <v>0</v>
      </c>
      <c r="AE311" s="2">
        <f t="shared" si="160"/>
        <v>0</v>
      </c>
      <c r="AF311" s="2">
        <f t="shared" si="161"/>
        <v>0</v>
      </c>
      <c r="AG311" s="2">
        <f t="shared" si="164"/>
        <v>0</v>
      </c>
    </row>
    <row r="312" spans="2:33" hidden="1" x14ac:dyDescent="0.25">
      <c r="B312" s="1" t="s">
        <v>42</v>
      </c>
      <c r="C312" s="2"/>
      <c r="D312" s="2"/>
      <c r="E312" s="2"/>
      <c r="F312" s="2"/>
      <c r="G312" s="2"/>
      <c r="H312" s="2"/>
      <c r="I312" s="2"/>
      <c r="J312" s="2"/>
      <c r="K312" s="2">
        <f t="shared" si="162"/>
        <v>0</v>
      </c>
      <c r="M312" s="1" t="s">
        <v>42</v>
      </c>
      <c r="N312" s="2"/>
      <c r="O312" s="2"/>
      <c r="P312" s="2"/>
      <c r="Q312" s="2"/>
      <c r="R312" s="2"/>
      <c r="S312" s="2"/>
      <c r="T312" s="2"/>
      <c r="U312" s="2"/>
      <c r="V312" s="2">
        <f t="shared" si="163"/>
        <v>0</v>
      </c>
      <c r="X312" s="1" t="s">
        <v>42</v>
      </c>
      <c r="Y312" s="2">
        <f t="shared" si="154"/>
        <v>0</v>
      </c>
      <c r="Z312" s="2">
        <f t="shared" si="155"/>
        <v>0</v>
      </c>
      <c r="AA312" s="2">
        <f t="shared" si="156"/>
        <v>0</v>
      </c>
      <c r="AB312" s="2">
        <f t="shared" si="157"/>
        <v>0</v>
      </c>
      <c r="AC312" s="2">
        <f t="shared" si="158"/>
        <v>0</v>
      </c>
      <c r="AD312" s="2">
        <f t="shared" si="159"/>
        <v>0</v>
      </c>
      <c r="AE312" s="2">
        <f t="shared" si="160"/>
        <v>0</v>
      </c>
      <c r="AF312" s="2">
        <f t="shared" si="161"/>
        <v>0</v>
      </c>
      <c r="AG312" s="2">
        <f t="shared" si="164"/>
        <v>0</v>
      </c>
    </row>
    <row r="313" spans="2:33" hidden="1" x14ac:dyDescent="0.25">
      <c r="B313" s="1" t="s">
        <v>6</v>
      </c>
      <c r="C313" s="2"/>
      <c r="D313" s="2"/>
      <c r="E313" s="2"/>
      <c r="F313" s="2"/>
      <c r="G313" s="2"/>
      <c r="H313" s="2"/>
      <c r="I313" s="2"/>
      <c r="J313" s="2"/>
      <c r="K313" s="2">
        <f t="shared" si="162"/>
        <v>0</v>
      </c>
      <c r="M313" s="1" t="s">
        <v>6</v>
      </c>
      <c r="N313" s="2"/>
      <c r="O313" s="2"/>
      <c r="P313" s="2"/>
      <c r="Q313" s="2"/>
      <c r="R313" s="2"/>
      <c r="S313" s="2"/>
      <c r="T313" s="2"/>
      <c r="U313" s="2"/>
      <c r="V313" s="2">
        <f t="shared" si="163"/>
        <v>0</v>
      </c>
      <c r="X313" s="1" t="s">
        <v>6</v>
      </c>
      <c r="Y313" s="2">
        <f t="shared" si="154"/>
        <v>0</v>
      </c>
      <c r="Z313" s="2">
        <f t="shared" si="155"/>
        <v>0</v>
      </c>
      <c r="AA313" s="2">
        <f t="shared" si="156"/>
        <v>0</v>
      </c>
      <c r="AB313" s="2">
        <f t="shared" si="157"/>
        <v>0</v>
      </c>
      <c r="AC313" s="2">
        <f t="shared" si="158"/>
        <v>0</v>
      </c>
      <c r="AD313" s="2">
        <f t="shared" si="159"/>
        <v>0</v>
      </c>
      <c r="AE313" s="2">
        <f t="shared" si="160"/>
        <v>0</v>
      </c>
      <c r="AF313" s="2">
        <f t="shared" si="161"/>
        <v>0</v>
      </c>
      <c r="AG313" s="2">
        <f t="shared" si="164"/>
        <v>0</v>
      </c>
    </row>
    <row r="314" spans="2:33" hidden="1" x14ac:dyDescent="0.25">
      <c r="B314" s="1" t="s">
        <v>90</v>
      </c>
      <c r="C314" s="2"/>
      <c r="D314" s="2"/>
      <c r="E314" s="2"/>
      <c r="F314" s="2"/>
      <c r="G314" s="2"/>
      <c r="H314" s="2"/>
      <c r="I314" s="2"/>
      <c r="J314" s="2"/>
      <c r="K314" s="2">
        <f t="shared" si="162"/>
        <v>0</v>
      </c>
      <c r="M314" s="1" t="s">
        <v>90</v>
      </c>
      <c r="N314" s="2"/>
      <c r="O314" s="2"/>
      <c r="P314" s="2"/>
      <c r="Q314" s="2"/>
      <c r="R314" s="2"/>
      <c r="S314" s="2"/>
      <c r="T314" s="2"/>
      <c r="U314" s="2"/>
      <c r="V314" s="2">
        <f t="shared" si="163"/>
        <v>0</v>
      </c>
      <c r="X314" s="1" t="s">
        <v>90</v>
      </c>
      <c r="Y314" s="2">
        <f t="shared" si="154"/>
        <v>0</v>
      </c>
      <c r="Z314" s="2">
        <f t="shared" si="155"/>
        <v>0</v>
      </c>
      <c r="AA314" s="2">
        <f t="shared" si="156"/>
        <v>0</v>
      </c>
      <c r="AB314" s="2">
        <f t="shared" si="157"/>
        <v>0</v>
      </c>
      <c r="AC314" s="2">
        <f t="shared" si="158"/>
        <v>0</v>
      </c>
      <c r="AD314" s="2">
        <f t="shared" si="159"/>
        <v>0</v>
      </c>
      <c r="AE314" s="2">
        <f t="shared" si="160"/>
        <v>0</v>
      </c>
      <c r="AF314" s="2">
        <f t="shared" si="161"/>
        <v>0</v>
      </c>
      <c r="AG314" s="2">
        <f t="shared" si="164"/>
        <v>0</v>
      </c>
    </row>
    <row r="315" spans="2:33" hidden="1" x14ac:dyDescent="0.25">
      <c r="B315" s="1" t="s">
        <v>342</v>
      </c>
      <c r="C315" s="2"/>
      <c r="D315" s="2"/>
      <c r="E315" s="2"/>
      <c r="F315" s="2"/>
      <c r="G315" s="2"/>
      <c r="H315" s="2"/>
      <c r="I315" s="2"/>
      <c r="J315" s="2"/>
      <c r="K315" s="2">
        <f t="shared" si="162"/>
        <v>0</v>
      </c>
      <c r="M315" s="1" t="s">
        <v>342</v>
      </c>
      <c r="N315" s="2"/>
      <c r="O315" s="2"/>
      <c r="P315" s="2"/>
      <c r="Q315" s="2"/>
      <c r="R315" s="2"/>
      <c r="S315" s="2"/>
      <c r="T315" s="2"/>
      <c r="U315" s="2"/>
      <c r="V315" s="2">
        <f t="shared" si="163"/>
        <v>0</v>
      </c>
      <c r="X315" s="1" t="s">
        <v>50</v>
      </c>
      <c r="Y315" s="2">
        <f t="shared" si="154"/>
        <v>0</v>
      </c>
      <c r="Z315" s="2">
        <f t="shared" si="155"/>
        <v>0</v>
      </c>
      <c r="AA315" s="2">
        <f t="shared" si="156"/>
        <v>0</v>
      </c>
      <c r="AB315" s="2">
        <f t="shared" si="157"/>
        <v>0</v>
      </c>
      <c r="AC315" s="2">
        <f t="shared" si="158"/>
        <v>0</v>
      </c>
      <c r="AD315" s="2">
        <f t="shared" si="159"/>
        <v>0</v>
      </c>
      <c r="AE315" s="2">
        <f t="shared" si="160"/>
        <v>0</v>
      </c>
      <c r="AF315" s="2">
        <f t="shared" si="161"/>
        <v>0</v>
      </c>
      <c r="AG315" s="2">
        <f t="shared" si="164"/>
        <v>0</v>
      </c>
    </row>
    <row r="316" spans="2:33" hidden="1" x14ac:dyDescent="0.25">
      <c r="B316" s="1" t="s">
        <v>89</v>
      </c>
      <c r="C316" s="2"/>
      <c r="D316" s="2"/>
      <c r="E316" s="2"/>
      <c r="F316" s="2"/>
      <c r="G316" s="2"/>
      <c r="H316" s="2"/>
      <c r="I316" s="2"/>
      <c r="J316" s="2"/>
      <c r="K316" s="2">
        <f t="shared" si="162"/>
        <v>0</v>
      </c>
      <c r="M316" s="1" t="s">
        <v>89</v>
      </c>
      <c r="N316" s="2"/>
      <c r="O316" s="2"/>
      <c r="P316" s="2"/>
      <c r="Q316" s="2"/>
      <c r="R316" s="2"/>
      <c r="S316" s="2"/>
      <c r="T316" s="2"/>
      <c r="U316" s="2"/>
      <c r="V316" s="2">
        <f t="shared" si="163"/>
        <v>0</v>
      </c>
      <c r="X316" s="1" t="s">
        <v>89</v>
      </c>
      <c r="Y316" s="2">
        <f t="shared" si="154"/>
        <v>0</v>
      </c>
      <c r="Z316" s="2">
        <f t="shared" si="155"/>
        <v>0</v>
      </c>
      <c r="AA316" s="2">
        <f t="shared" si="156"/>
        <v>0</v>
      </c>
      <c r="AB316" s="2">
        <f t="shared" si="157"/>
        <v>0</v>
      </c>
      <c r="AC316" s="2">
        <f t="shared" si="158"/>
        <v>0</v>
      </c>
      <c r="AD316" s="2">
        <f t="shared" si="159"/>
        <v>0</v>
      </c>
      <c r="AE316" s="2">
        <f t="shared" si="160"/>
        <v>0</v>
      </c>
      <c r="AF316" s="2">
        <f t="shared" si="161"/>
        <v>0</v>
      </c>
      <c r="AG316" s="2">
        <f t="shared" si="164"/>
        <v>0</v>
      </c>
    </row>
    <row r="317" spans="2:33" hidden="1" x14ac:dyDescent="0.25">
      <c r="B317" s="1" t="s">
        <v>5</v>
      </c>
      <c r="C317" s="2"/>
      <c r="D317" s="2"/>
      <c r="E317" s="2"/>
      <c r="F317" s="2"/>
      <c r="G317" s="2"/>
      <c r="H317" s="2"/>
      <c r="I317" s="2"/>
      <c r="J317" s="2"/>
      <c r="K317" s="2">
        <f t="shared" si="162"/>
        <v>0</v>
      </c>
      <c r="M317" s="1" t="s">
        <v>5</v>
      </c>
      <c r="N317" s="2"/>
      <c r="O317" s="2"/>
      <c r="P317" s="2"/>
      <c r="Q317" s="2"/>
      <c r="R317" s="2"/>
      <c r="S317" s="2"/>
      <c r="T317" s="2"/>
      <c r="U317" s="2"/>
      <c r="V317" s="2">
        <f t="shared" si="163"/>
        <v>0</v>
      </c>
      <c r="X317" s="1" t="s">
        <v>5</v>
      </c>
      <c r="Y317" s="2">
        <f t="shared" si="154"/>
        <v>0</v>
      </c>
      <c r="Z317" s="2">
        <f t="shared" si="155"/>
        <v>0</v>
      </c>
      <c r="AA317" s="2">
        <f t="shared" si="156"/>
        <v>0</v>
      </c>
      <c r="AB317" s="2">
        <f t="shared" si="157"/>
        <v>0</v>
      </c>
      <c r="AC317" s="2">
        <f t="shared" si="158"/>
        <v>0</v>
      </c>
      <c r="AD317" s="2">
        <f t="shared" si="159"/>
        <v>0</v>
      </c>
      <c r="AE317" s="2">
        <f t="shared" si="160"/>
        <v>0</v>
      </c>
      <c r="AF317" s="2">
        <f t="shared" si="161"/>
        <v>0</v>
      </c>
      <c r="AG317" s="2">
        <f t="shared" si="164"/>
        <v>0</v>
      </c>
    </row>
    <row r="318" spans="2:33" hidden="1" x14ac:dyDescent="0.25">
      <c r="B318" s="1" t="s">
        <v>84</v>
      </c>
      <c r="C318" s="2"/>
      <c r="D318" s="2"/>
      <c r="E318" s="2"/>
      <c r="F318" s="2"/>
      <c r="G318" s="2"/>
      <c r="H318" s="2"/>
      <c r="I318" s="2"/>
      <c r="J318" s="2"/>
      <c r="K318" s="2">
        <f t="shared" si="162"/>
        <v>0</v>
      </c>
      <c r="M318" s="1" t="s">
        <v>84</v>
      </c>
      <c r="N318" s="2"/>
      <c r="O318" s="2"/>
      <c r="P318" s="2"/>
      <c r="Q318" s="2"/>
      <c r="R318" s="2"/>
      <c r="S318" s="2"/>
      <c r="T318" s="2"/>
      <c r="U318" s="2"/>
      <c r="V318" s="2">
        <f t="shared" si="163"/>
        <v>0</v>
      </c>
      <c r="X318" s="1" t="s">
        <v>84</v>
      </c>
      <c r="Y318" s="2">
        <f t="shared" si="154"/>
        <v>0</v>
      </c>
      <c r="Z318" s="2">
        <f t="shared" si="155"/>
        <v>0</v>
      </c>
      <c r="AA318" s="2">
        <f t="shared" si="156"/>
        <v>0</v>
      </c>
      <c r="AB318" s="2">
        <f t="shared" si="157"/>
        <v>0</v>
      </c>
      <c r="AC318" s="2">
        <f t="shared" si="158"/>
        <v>0</v>
      </c>
      <c r="AD318" s="2">
        <f t="shared" si="159"/>
        <v>0</v>
      </c>
      <c r="AE318" s="2">
        <f t="shared" si="160"/>
        <v>0</v>
      </c>
      <c r="AF318" s="2">
        <f t="shared" si="161"/>
        <v>0</v>
      </c>
      <c r="AG318" s="2">
        <f t="shared" si="164"/>
        <v>0</v>
      </c>
    </row>
    <row r="319" spans="2:33" hidden="1" x14ac:dyDescent="0.25">
      <c r="B319" s="1" t="s">
        <v>4</v>
      </c>
      <c r="C319" s="2"/>
      <c r="D319" s="2"/>
      <c r="E319" s="2"/>
      <c r="F319" s="2"/>
      <c r="G319" s="2"/>
      <c r="H319" s="2"/>
      <c r="I319" s="2"/>
      <c r="J319" s="2"/>
      <c r="K319" s="2">
        <f t="shared" si="162"/>
        <v>0</v>
      </c>
      <c r="M319" s="1" t="s">
        <v>4</v>
      </c>
      <c r="N319" s="2"/>
      <c r="O319" s="2"/>
      <c r="P319" s="2"/>
      <c r="Q319" s="2"/>
      <c r="R319" s="2"/>
      <c r="S319" s="2"/>
      <c r="T319" s="2"/>
      <c r="U319" s="2"/>
      <c r="V319" s="2">
        <f t="shared" si="163"/>
        <v>0</v>
      </c>
      <c r="X319" s="1" t="s">
        <v>4</v>
      </c>
      <c r="Y319" s="2">
        <f t="shared" si="154"/>
        <v>0</v>
      </c>
      <c r="Z319" s="2">
        <f t="shared" si="155"/>
        <v>0</v>
      </c>
      <c r="AA319" s="2">
        <f t="shared" si="156"/>
        <v>0</v>
      </c>
      <c r="AB319" s="2">
        <f t="shared" si="157"/>
        <v>0</v>
      </c>
      <c r="AC319" s="2">
        <f t="shared" si="158"/>
        <v>0</v>
      </c>
      <c r="AD319" s="2">
        <f t="shared" si="159"/>
        <v>0</v>
      </c>
      <c r="AE319" s="2">
        <f t="shared" si="160"/>
        <v>0</v>
      </c>
      <c r="AF319" s="2">
        <f t="shared" si="161"/>
        <v>0</v>
      </c>
      <c r="AG319" s="2">
        <f t="shared" si="164"/>
        <v>0</v>
      </c>
    </row>
    <row r="320" spans="2:33" hidden="1" x14ac:dyDescent="0.25">
      <c r="B320" s="1" t="s">
        <v>51</v>
      </c>
      <c r="C320" s="2"/>
      <c r="D320" s="2"/>
      <c r="E320" s="2"/>
      <c r="F320" s="2"/>
      <c r="G320" s="2"/>
      <c r="H320" s="2"/>
      <c r="I320" s="2"/>
      <c r="J320" s="2"/>
      <c r="K320" s="2">
        <f t="shared" si="162"/>
        <v>0</v>
      </c>
      <c r="M320" s="1" t="s">
        <v>51</v>
      </c>
      <c r="N320" s="2"/>
      <c r="O320" s="2"/>
      <c r="P320" s="2"/>
      <c r="Q320" s="2"/>
      <c r="R320" s="2"/>
      <c r="S320" s="2"/>
      <c r="T320" s="2"/>
      <c r="U320" s="2"/>
      <c r="V320" s="2">
        <f t="shared" si="163"/>
        <v>0</v>
      </c>
      <c r="X320" s="1" t="s">
        <v>51</v>
      </c>
      <c r="Y320" s="2">
        <f t="shared" si="154"/>
        <v>0</v>
      </c>
      <c r="Z320" s="2">
        <f t="shared" si="155"/>
        <v>0</v>
      </c>
      <c r="AA320" s="2">
        <f t="shared" si="156"/>
        <v>0</v>
      </c>
      <c r="AB320" s="2">
        <f t="shared" si="157"/>
        <v>0</v>
      </c>
      <c r="AC320" s="2">
        <f t="shared" si="158"/>
        <v>0</v>
      </c>
      <c r="AD320" s="2">
        <f t="shared" si="159"/>
        <v>0</v>
      </c>
      <c r="AE320" s="2">
        <f t="shared" si="160"/>
        <v>0</v>
      </c>
      <c r="AF320" s="2">
        <f t="shared" si="161"/>
        <v>0</v>
      </c>
      <c r="AG320" s="2">
        <f t="shared" si="164"/>
        <v>0</v>
      </c>
    </row>
    <row r="321" spans="2:33" hidden="1" x14ac:dyDescent="0.25">
      <c r="B321" s="1" t="s">
        <v>87</v>
      </c>
      <c r="C321" s="2"/>
      <c r="D321" s="2"/>
      <c r="E321" s="2"/>
      <c r="F321" s="2"/>
      <c r="G321" s="2"/>
      <c r="H321" s="2"/>
      <c r="I321" s="2"/>
      <c r="J321" s="2"/>
      <c r="K321" s="2">
        <f t="shared" si="162"/>
        <v>0</v>
      </c>
      <c r="M321" s="1" t="s">
        <v>87</v>
      </c>
      <c r="N321" s="2"/>
      <c r="O321" s="2"/>
      <c r="P321" s="2"/>
      <c r="Q321" s="2"/>
      <c r="R321" s="2"/>
      <c r="S321" s="2"/>
      <c r="T321" s="2"/>
      <c r="U321" s="2"/>
      <c r="V321" s="2">
        <f t="shared" si="163"/>
        <v>0</v>
      </c>
      <c r="X321" s="1" t="s">
        <v>87</v>
      </c>
      <c r="Y321" s="2">
        <f t="shared" si="154"/>
        <v>0</v>
      </c>
      <c r="Z321" s="2">
        <f t="shared" si="155"/>
        <v>0</v>
      </c>
      <c r="AA321" s="2">
        <f t="shared" si="156"/>
        <v>0</v>
      </c>
      <c r="AB321" s="2">
        <f t="shared" si="157"/>
        <v>0</v>
      </c>
      <c r="AC321" s="2">
        <f t="shared" si="158"/>
        <v>0</v>
      </c>
      <c r="AD321" s="2">
        <f t="shared" si="159"/>
        <v>0</v>
      </c>
      <c r="AE321" s="2">
        <f t="shared" si="160"/>
        <v>0</v>
      </c>
      <c r="AF321" s="2">
        <f t="shared" si="161"/>
        <v>0</v>
      </c>
      <c r="AG321" s="2">
        <f t="shared" si="164"/>
        <v>0</v>
      </c>
    </row>
    <row r="322" spans="2:33" hidden="1" x14ac:dyDescent="0.25">
      <c r="B322" s="1" t="s">
        <v>85</v>
      </c>
      <c r="C322" s="2"/>
      <c r="D322" s="2"/>
      <c r="E322" s="2"/>
      <c r="F322" s="2"/>
      <c r="G322" s="2"/>
      <c r="H322" s="2"/>
      <c r="I322" s="2"/>
      <c r="J322" s="2"/>
      <c r="K322" s="2">
        <f t="shared" si="162"/>
        <v>0</v>
      </c>
      <c r="M322" s="1" t="s">
        <v>85</v>
      </c>
      <c r="N322" s="2"/>
      <c r="O322" s="2"/>
      <c r="P322" s="2"/>
      <c r="Q322" s="2"/>
      <c r="R322" s="2"/>
      <c r="S322" s="2"/>
      <c r="T322" s="2"/>
      <c r="U322" s="2"/>
      <c r="V322" s="2">
        <f t="shared" si="163"/>
        <v>0</v>
      </c>
      <c r="X322" s="1" t="s">
        <v>85</v>
      </c>
      <c r="Y322" s="2">
        <f t="shared" si="154"/>
        <v>0</v>
      </c>
      <c r="Z322" s="2">
        <f t="shared" si="155"/>
        <v>0</v>
      </c>
      <c r="AA322" s="2">
        <f t="shared" si="156"/>
        <v>0</v>
      </c>
      <c r="AB322" s="2">
        <f t="shared" si="157"/>
        <v>0</v>
      </c>
      <c r="AC322" s="2">
        <f t="shared" si="158"/>
        <v>0</v>
      </c>
      <c r="AD322" s="2">
        <f t="shared" si="159"/>
        <v>0</v>
      </c>
      <c r="AE322" s="2">
        <f t="shared" si="160"/>
        <v>0</v>
      </c>
      <c r="AF322" s="2">
        <f t="shared" si="161"/>
        <v>0</v>
      </c>
      <c r="AG322" s="2">
        <f t="shared" si="164"/>
        <v>0</v>
      </c>
    </row>
    <row r="323" spans="2:33" hidden="1" x14ac:dyDescent="0.25">
      <c r="B323" s="1" t="s">
        <v>2</v>
      </c>
      <c r="C323" s="2"/>
      <c r="D323" s="2"/>
      <c r="E323" s="2"/>
      <c r="F323" s="2"/>
      <c r="G323" s="2"/>
      <c r="H323" s="2"/>
      <c r="I323" s="2"/>
      <c r="J323" s="2"/>
      <c r="K323" s="2">
        <f t="shared" si="162"/>
        <v>0</v>
      </c>
      <c r="M323" s="1" t="s">
        <v>2</v>
      </c>
      <c r="N323" s="2"/>
      <c r="O323" s="2"/>
      <c r="P323" s="2"/>
      <c r="Q323" s="2"/>
      <c r="R323" s="2"/>
      <c r="S323" s="2"/>
      <c r="T323" s="2"/>
      <c r="U323" s="2"/>
      <c r="V323" s="2">
        <f t="shared" si="163"/>
        <v>0</v>
      </c>
      <c r="X323" s="1" t="s">
        <v>2</v>
      </c>
      <c r="Y323" s="2">
        <f t="shared" si="154"/>
        <v>0</v>
      </c>
      <c r="Z323" s="2">
        <f t="shared" si="155"/>
        <v>0</v>
      </c>
      <c r="AA323" s="2">
        <f t="shared" si="156"/>
        <v>0</v>
      </c>
      <c r="AB323" s="2">
        <f t="shared" si="157"/>
        <v>0</v>
      </c>
      <c r="AC323" s="2">
        <f t="shared" si="158"/>
        <v>0</v>
      </c>
      <c r="AD323" s="2">
        <f t="shared" si="159"/>
        <v>0</v>
      </c>
      <c r="AE323" s="2">
        <f t="shared" si="160"/>
        <v>0</v>
      </c>
      <c r="AF323" s="2">
        <f t="shared" si="161"/>
        <v>0</v>
      </c>
      <c r="AG323" s="2">
        <f t="shared" si="164"/>
        <v>0</v>
      </c>
    </row>
    <row r="324" spans="2:33" hidden="1" x14ac:dyDescent="0.25">
      <c r="B324" s="1" t="s">
        <v>86</v>
      </c>
      <c r="C324" s="2"/>
      <c r="D324" s="2"/>
      <c r="E324" s="2"/>
      <c r="F324" s="2"/>
      <c r="G324" s="2"/>
      <c r="H324" s="2"/>
      <c r="I324" s="2"/>
      <c r="J324" s="2"/>
      <c r="K324" s="2">
        <f t="shared" si="162"/>
        <v>0</v>
      </c>
      <c r="M324" s="1" t="s">
        <v>86</v>
      </c>
      <c r="N324" s="2"/>
      <c r="O324" s="2"/>
      <c r="P324" s="2"/>
      <c r="Q324" s="2"/>
      <c r="R324" s="2"/>
      <c r="S324" s="2"/>
      <c r="T324" s="2"/>
      <c r="U324" s="2"/>
      <c r="V324" s="2">
        <f t="shared" si="163"/>
        <v>0</v>
      </c>
      <c r="X324" s="1" t="s">
        <v>86</v>
      </c>
      <c r="Y324" s="2">
        <f t="shared" si="154"/>
        <v>0</v>
      </c>
      <c r="Z324" s="2">
        <f t="shared" si="155"/>
        <v>0</v>
      </c>
      <c r="AA324" s="2">
        <f t="shared" si="156"/>
        <v>0</v>
      </c>
      <c r="AB324" s="2">
        <f t="shared" si="157"/>
        <v>0</v>
      </c>
      <c r="AC324" s="2">
        <f t="shared" si="158"/>
        <v>0</v>
      </c>
      <c r="AD324" s="2">
        <f t="shared" si="159"/>
        <v>0</v>
      </c>
      <c r="AE324" s="2">
        <f t="shared" si="160"/>
        <v>0</v>
      </c>
      <c r="AF324" s="2">
        <f t="shared" si="161"/>
        <v>0</v>
      </c>
      <c r="AG324" s="2">
        <f t="shared" si="164"/>
        <v>0</v>
      </c>
    </row>
    <row r="325" spans="2:33" hidden="1" x14ac:dyDescent="0.25">
      <c r="B325" s="1" t="s">
        <v>29</v>
      </c>
      <c r="C325" s="2"/>
      <c r="D325" s="2"/>
      <c r="E325" s="2"/>
      <c r="F325" s="2"/>
      <c r="G325" s="2"/>
      <c r="H325" s="2"/>
      <c r="I325" s="2"/>
      <c r="J325" s="2"/>
      <c r="K325" s="2">
        <f t="shared" si="162"/>
        <v>0</v>
      </c>
      <c r="M325" s="1" t="s">
        <v>29</v>
      </c>
      <c r="N325" s="2"/>
      <c r="O325" s="2"/>
      <c r="P325" s="2"/>
      <c r="Q325" s="2"/>
      <c r="R325" s="2"/>
      <c r="S325" s="2"/>
      <c r="T325" s="2"/>
      <c r="U325" s="2"/>
      <c r="V325" s="2">
        <f t="shared" si="163"/>
        <v>0</v>
      </c>
      <c r="X325" s="1" t="s">
        <v>29</v>
      </c>
      <c r="Y325" s="2">
        <f t="shared" si="154"/>
        <v>0</v>
      </c>
      <c r="Z325" s="2">
        <f t="shared" si="155"/>
        <v>0</v>
      </c>
      <c r="AA325" s="2">
        <f t="shared" si="156"/>
        <v>0</v>
      </c>
      <c r="AB325" s="2">
        <f t="shared" si="157"/>
        <v>0</v>
      </c>
      <c r="AC325" s="2">
        <f t="shared" si="158"/>
        <v>0</v>
      </c>
      <c r="AD325" s="2">
        <f t="shared" si="159"/>
        <v>0</v>
      </c>
      <c r="AE325" s="2">
        <f t="shared" si="160"/>
        <v>0</v>
      </c>
      <c r="AF325" s="2">
        <f t="shared" si="161"/>
        <v>0</v>
      </c>
      <c r="AG325" s="2">
        <f t="shared" si="164"/>
        <v>0</v>
      </c>
    </row>
    <row r="326" spans="2:33" hidden="1" x14ac:dyDescent="0.25">
      <c r="B326" s="1" t="s">
        <v>88</v>
      </c>
      <c r="C326" s="2"/>
      <c r="D326" s="2"/>
      <c r="E326" s="2"/>
      <c r="F326" s="2"/>
      <c r="G326" s="2"/>
      <c r="H326" s="2"/>
      <c r="I326" s="2"/>
      <c r="J326" s="2"/>
      <c r="K326" s="2">
        <f t="shared" si="162"/>
        <v>0</v>
      </c>
      <c r="M326" s="1" t="s">
        <v>88</v>
      </c>
      <c r="N326" s="2"/>
      <c r="O326" s="2"/>
      <c r="P326" s="2"/>
      <c r="Q326" s="2"/>
      <c r="R326" s="2"/>
      <c r="S326" s="2"/>
      <c r="T326" s="2"/>
      <c r="U326" s="2"/>
      <c r="V326" s="2">
        <f t="shared" si="163"/>
        <v>0</v>
      </c>
      <c r="X326" s="1" t="s">
        <v>52</v>
      </c>
      <c r="Y326" s="2">
        <f t="shared" si="154"/>
        <v>0</v>
      </c>
      <c r="Z326" s="2">
        <f t="shared" si="155"/>
        <v>0</v>
      </c>
      <c r="AA326" s="2">
        <f t="shared" si="156"/>
        <v>0</v>
      </c>
      <c r="AB326" s="2">
        <f t="shared" si="157"/>
        <v>0</v>
      </c>
      <c r="AC326" s="2">
        <f t="shared" si="158"/>
        <v>0</v>
      </c>
      <c r="AD326" s="2">
        <f t="shared" si="159"/>
        <v>0</v>
      </c>
      <c r="AE326" s="2">
        <f t="shared" si="160"/>
        <v>0</v>
      </c>
      <c r="AF326" s="2">
        <f t="shared" si="161"/>
        <v>0</v>
      </c>
      <c r="AG326" s="2">
        <f t="shared" si="164"/>
        <v>0</v>
      </c>
    </row>
    <row r="327" spans="2:33" hidden="1" x14ac:dyDescent="0.25">
      <c r="B327" s="1" t="s">
        <v>341</v>
      </c>
      <c r="C327" s="2"/>
      <c r="D327" s="2"/>
      <c r="E327" s="2"/>
      <c r="F327" s="2"/>
      <c r="G327" s="2"/>
      <c r="H327" s="2"/>
      <c r="I327" s="2"/>
      <c r="J327" s="2"/>
      <c r="K327" s="2">
        <f t="shared" si="162"/>
        <v>0</v>
      </c>
      <c r="M327" s="1" t="s">
        <v>341</v>
      </c>
      <c r="N327" s="2"/>
      <c r="O327" s="2"/>
      <c r="P327" s="2"/>
      <c r="Q327" s="2"/>
      <c r="R327" s="2"/>
      <c r="S327" s="2"/>
      <c r="T327" s="2"/>
      <c r="U327" s="2"/>
      <c r="V327" s="2">
        <f t="shared" si="163"/>
        <v>0</v>
      </c>
      <c r="X327" s="1" t="s">
        <v>88</v>
      </c>
      <c r="Y327" s="2">
        <f t="shared" si="154"/>
        <v>0</v>
      </c>
      <c r="Z327" s="2">
        <f t="shared" si="155"/>
        <v>0</v>
      </c>
      <c r="AA327" s="2">
        <f t="shared" si="156"/>
        <v>0</v>
      </c>
      <c r="AB327" s="2">
        <f t="shared" si="157"/>
        <v>0</v>
      </c>
      <c r="AC327" s="2">
        <f t="shared" si="158"/>
        <v>0</v>
      </c>
      <c r="AD327" s="2">
        <f t="shared" si="159"/>
        <v>0</v>
      </c>
      <c r="AE327" s="2">
        <f t="shared" si="160"/>
        <v>0</v>
      </c>
      <c r="AF327" s="2">
        <f t="shared" si="161"/>
        <v>0</v>
      </c>
      <c r="AG327" s="2">
        <f t="shared" si="164"/>
        <v>0</v>
      </c>
    </row>
    <row r="328" spans="2:33" hidden="1" x14ac:dyDescent="0.25">
      <c r="B328" s="1" t="s">
        <v>340</v>
      </c>
      <c r="C328" s="2"/>
      <c r="D328" s="2"/>
      <c r="E328" s="2"/>
      <c r="F328" s="2"/>
      <c r="G328" s="2"/>
      <c r="H328" s="2"/>
      <c r="I328" s="2"/>
      <c r="J328" s="2"/>
      <c r="K328" s="2">
        <f t="shared" si="162"/>
        <v>0</v>
      </c>
      <c r="M328" s="1" t="s">
        <v>340</v>
      </c>
      <c r="N328" s="2"/>
      <c r="O328" s="2"/>
      <c r="P328" s="2"/>
      <c r="Q328" s="2"/>
      <c r="R328" s="2"/>
      <c r="S328" s="2"/>
      <c r="T328" s="2"/>
      <c r="U328" s="2"/>
      <c r="V328" s="2">
        <f t="shared" si="163"/>
        <v>0</v>
      </c>
      <c r="X328" s="1" t="s">
        <v>1</v>
      </c>
      <c r="Y328" s="2">
        <f t="shared" si="154"/>
        <v>0</v>
      </c>
      <c r="Z328" s="2">
        <f t="shared" si="155"/>
        <v>0</v>
      </c>
      <c r="AA328" s="2">
        <f t="shared" si="156"/>
        <v>0</v>
      </c>
      <c r="AB328" s="2">
        <f t="shared" si="157"/>
        <v>0</v>
      </c>
      <c r="AC328" s="2">
        <f t="shared" si="158"/>
        <v>0</v>
      </c>
      <c r="AD328" s="2">
        <f t="shared" si="159"/>
        <v>0</v>
      </c>
      <c r="AE328" s="2">
        <f t="shared" si="160"/>
        <v>0</v>
      </c>
      <c r="AF328" s="2">
        <f t="shared" si="161"/>
        <v>0</v>
      </c>
      <c r="AG328" s="2">
        <f t="shared" si="164"/>
        <v>0</v>
      </c>
    </row>
    <row r="329" spans="2:33" ht="15.75" hidden="1" thickBot="1" x14ac:dyDescent="0.3">
      <c r="C329" s="69">
        <f>SUM(C309:C328)</f>
        <v>0</v>
      </c>
      <c r="D329" s="69">
        <f t="shared" ref="D329:J329" si="165">SUM(D309:D328)</f>
        <v>0</v>
      </c>
      <c r="E329" s="69">
        <f t="shared" si="165"/>
        <v>0</v>
      </c>
      <c r="F329" s="69">
        <f t="shared" si="165"/>
        <v>0</v>
      </c>
      <c r="G329" s="69">
        <f t="shared" si="165"/>
        <v>0</v>
      </c>
      <c r="H329" s="69">
        <f t="shared" si="165"/>
        <v>0</v>
      </c>
      <c r="I329" s="69">
        <f t="shared" si="165"/>
        <v>0</v>
      </c>
      <c r="J329" s="69">
        <f t="shared" si="165"/>
        <v>0</v>
      </c>
      <c r="K329" s="69">
        <f>SUM(K309:K328)</f>
        <v>0</v>
      </c>
      <c r="N329" s="69">
        <f>SUM(N309:N328)</f>
        <v>0</v>
      </c>
      <c r="O329" s="69">
        <f t="shared" ref="O329:U329" si="166">SUM(O309:O328)</f>
        <v>0</v>
      </c>
      <c r="P329" s="69">
        <f t="shared" si="166"/>
        <v>0</v>
      </c>
      <c r="Q329" s="69">
        <f t="shared" si="166"/>
        <v>0</v>
      </c>
      <c r="R329" s="69">
        <f t="shared" si="166"/>
        <v>0</v>
      </c>
      <c r="S329" s="69">
        <f t="shared" si="166"/>
        <v>0</v>
      </c>
      <c r="T329" s="69">
        <f t="shared" si="166"/>
        <v>0</v>
      </c>
      <c r="U329" s="69">
        <f t="shared" si="166"/>
        <v>0</v>
      </c>
      <c r="V329" s="69">
        <f>SUM(V309:V328)</f>
        <v>0</v>
      </c>
      <c r="Y329" s="69">
        <f>SUM(Y309:Y328)</f>
        <v>0</v>
      </c>
      <c r="Z329" s="69">
        <f t="shared" ref="Z329:AF329" si="167">SUM(Z309:Z328)</f>
        <v>0</v>
      </c>
      <c r="AA329" s="69">
        <f t="shared" si="167"/>
        <v>0</v>
      </c>
      <c r="AB329" s="69">
        <f t="shared" si="167"/>
        <v>0</v>
      </c>
      <c r="AC329" s="69">
        <f t="shared" si="167"/>
        <v>0</v>
      </c>
      <c r="AD329" s="69">
        <f t="shared" si="167"/>
        <v>0</v>
      </c>
      <c r="AE329" s="69">
        <f t="shared" si="167"/>
        <v>0</v>
      </c>
      <c r="AF329" s="69">
        <f t="shared" si="167"/>
        <v>0</v>
      </c>
      <c r="AG329" s="69">
        <f>SUM(AG309:AG328)</f>
        <v>0</v>
      </c>
    </row>
    <row r="330" spans="2:33" hidden="1" x14ac:dyDescent="0.25"/>
    <row r="331" spans="2:33" hidden="1" x14ac:dyDescent="0.25"/>
    <row r="332" spans="2:33" hidden="1" x14ac:dyDescent="0.25">
      <c r="B332" s="71" t="s">
        <v>97</v>
      </c>
      <c r="C332" s="167">
        <f>$C$20</f>
        <v>45199</v>
      </c>
      <c r="D332" s="164"/>
      <c r="E332" s="164"/>
      <c r="F332" s="164"/>
      <c r="G332" s="164"/>
      <c r="H332" s="164"/>
      <c r="I332" s="164"/>
      <c r="J332" s="164"/>
      <c r="K332" s="164"/>
      <c r="M332" s="71" t="s">
        <v>97</v>
      </c>
      <c r="N332" s="178">
        <f>$N$20</f>
        <v>45169</v>
      </c>
      <c r="O332" s="179"/>
      <c r="P332" s="179"/>
      <c r="Q332" s="179"/>
      <c r="R332" s="179"/>
      <c r="S332" s="179"/>
      <c r="T332" s="179"/>
      <c r="U332" s="179"/>
      <c r="V332" s="179"/>
      <c r="X332" s="71" t="s">
        <v>97</v>
      </c>
      <c r="Y332" s="164" t="s">
        <v>98</v>
      </c>
      <c r="Z332" s="164"/>
      <c r="AA332" s="164"/>
      <c r="AB332" s="164"/>
      <c r="AC332" s="164"/>
      <c r="AD332" s="164"/>
      <c r="AE332" s="164"/>
      <c r="AF332" s="164"/>
      <c r="AG332" s="164"/>
    </row>
    <row r="333" spans="2:33" hidden="1" x14ac:dyDescent="0.25">
      <c r="B333" s="71" t="s">
        <v>96</v>
      </c>
      <c r="C333" s="164" t="str">
        <f>'Reimbursement Rates &lt;-INPUT'!N7</f>
        <v>Clinic 13</v>
      </c>
      <c r="D333" s="164"/>
      <c r="E333" s="164"/>
      <c r="F333" s="164"/>
      <c r="G333" s="164"/>
      <c r="H333" s="164"/>
      <c r="I333" s="164"/>
      <c r="J333" s="164"/>
      <c r="K333" s="164"/>
      <c r="M333" s="71" t="s">
        <v>96</v>
      </c>
      <c r="N333" s="164" t="str">
        <f>C333</f>
        <v>Clinic 13</v>
      </c>
      <c r="O333" s="164"/>
      <c r="P333" s="164"/>
      <c r="Q333" s="164"/>
      <c r="R333" s="164"/>
      <c r="S333" s="164"/>
      <c r="T333" s="164"/>
      <c r="U333" s="164"/>
      <c r="V333" s="164"/>
      <c r="X333" s="71" t="s">
        <v>96</v>
      </c>
      <c r="Y333" s="164" t="str">
        <f>C333</f>
        <v>Clinic 13</v>
      </c>
      <c r="Z333" s="164"/>
      <c r="AA333" s="164"/>
      <c r="AB333" s="164"/>
      <c r="AC333" s="164"/>
      <c r="AD333" s="164"/>
      <c r="AE333" s="164"/>
      <c r="AF333" s="164"/>
      <c r="AG333" s="164"/>
    </row>
    <row r="334" spans="2:33" hidden="1" x14ac:dyDescent="0.25">
      <c r="B334" s="4" t="s">
        <v>16</v>
      </c>
      <c r="C334" s="5" t="s">
        <v>15</v>
      </c>
      <c r="D334" s="5" t="s">
        <v>14</v>
      </c>
      <c r="E334" s="5" t="s">
        <v>13</v>
      </c>
      <c r="F334" s="5" t="s">
        <v>12</v>
      </c>
      <c r="G334" s="5" t="s">
        <v>94</v>
      </c>
      <c r="H334" s="5" t="s">
        <v>95</v>
      </c>
      <c r="I334" s="5" t="s">
        <v>38</v>
      </c>
      <c r="J334" s="5" t="s">
        <v>9</v>
      </c>
      <c r="K334" s="5" t="s">
        <v>80</v>
      </c>
      <c r="M334" s="4" t="s">
        <v>16</v>
      </c>
      <c r="N334" s="5" t="s">
        <v>15</v>
      </c>
      <c r="O334" s="5" t="s">
        <v>14</v>
      </c>
      <c r="P334" s="5" t="s">
        <v>13</v>
      </c>
      <c r="Q334" s="5" t="s">
        <v>12</v>
      </c>
      <c r="R334" s="5" t="s">
        <v>94</v>
      </c>
      <c r="S334" s="5" t="s">
        <v>95</v>
      </c>
      <c r="T334" s="5" t="s">
        <v>38</v>
      </c>
      <c r="U334" s="5" t="s">
        <v>9</v>
      </c>
      <c r="V334" s="5" t="s">
        <v>80</v>
      </c>
      <c r="X334" s="4" t="s">
        <v>16</v>
      </c>
      <c r="Y334" s="5" t="s">
        <v>15</v>
      </c>
      <c r="Z334" s="5" t="s">
        <v>14</v>
      </c>
      <c r="AA334" s="5" t="s">
        <v>13</v>
      </c>
      <c r="AB334" s="5" t="s">
        <v>12</v>
      </c>
      <c r="AC334" s="5" t="s">
        <v>94</v>
      </c>
      <c r="AD334" s="5" t="s">
        <v>95</v>
      </c>
      <c r="AE334" s="5" t="s">
        <v>38</v>
      </c>
      <c r="AF334" s="5" t="s">
        <v>9</v>
      </c>
      <c r="AG334" s="5" t="s">
        <v>80</v>
      </c>
    </row>
    <row r="335" spans="2:33" hidden="1" x14ac:dyDescent="0.25">
      <c r="B335" s="1" t="s">
        <v>335</v>
      </c>
      <c r="C335" s="2"/>
      <c r="D335" s="2"/>
      <c r="E335" s="2"/>
      <c r="F335" s="2"/>
      <c r="G335" s="2"/>
      <c r="H335" s="2"/>
      <c r="I335" s="2"/>
      <c r="J335" s="2"/>
      <c r="K335" s="2">
        <f>SUM(C335:J335)</f>
        <v>0</v>
      </c>
      <c r="M335" s="1" t="s">
        <v>335</v>
      </c>
      <c r="N335" s="2"/>
      <c r="O335" s="2"/>
      <c r="P335" s="2"/>
      <c r="Q335" s="2"/>
      <c r="R335" s="2"/>
      <c r="S335" s="2"/>
      <c r="T335" s="2"/>
      <c r="U335" s="2"/>
      <c r="V335" s="2">
        <f>SUM(N335:U335)</f>
        <v>0</v>
      </c>
      <c r="X335" s="1" t="s">
        <v>49</v>
      </c>
      <c r="Y335" s="2">
        <f t="shared" ref="Y335:Y354" si="168">C335-N335</f>
        <v>0</v>
      </c>
      <c r="Z335" s="2">
        <f t="shared" ref="Z335:Z354" si="169">D335-O335</f>
        <v>0</v>
      </c>
      <c r="AA335" s="2">
        <f t="shared" ref="AA335:AA354" si="170">E335-P335</f>
        <v>0</v>
      </c>
      <c r="AB335" s="2">
        <f t="shared" ref="AB335:AB354" si="171">F335-Q335</f>
        <v>0</v>
      </c>
      <c r="AC335" s="2">
        <f t="shared" ref="AC335:AC354" si="172">G335-R335</f>
        <v>0</v>
      </c>
      <c r="AD335" s="2">
        <f t="shared" ref="AD335:AD354" si="173">H335-S335</f>
        <v>0</v>
      </c>
      <c r="AE335" s="2">
        <f t="shared" ref="AE335:AE354" si="174">I335-T335</f>
        <v>0</v>
      </c>
      <c r="AF335" s="2">
        <f t="shared" ref="AF335:AF354" si="175">J335-U335</f>
        <v>0</v>
      </c>
      <c r="AG335" s="2">
        <f>SUM(Y335:AF335)</f>
        <v>0</v>
      </c>
    </row>
    <row r="336" spans="2:33" hidden="1" x14ac:dyDescent="0.25">
      <c r="B336" s="1" t="s">
        <v>8</v>
      </c>
      <c r="C336" s="2"/>
      <c r="D336" s="2"/>
      <c r="E336" s="2"/>
      <c r="F336" s="2"/>
      <c r="G336" s="2"/>
      <c r="H336" s="2"/>
      <c r="I336" s="2"/>
      <c r="J336" s="2"/>
      <c r="K336" s="2">
        <f t="shared" ref="K336:K354" si="176">SUM(C336:J336)</f>
        <v>0</v>
      </c>
      <c r="M336" s="1" t="s">
        <v>8</v>
      </c>
      <c r="N336" s="2"/>
      <c r="O336" s="2"/>
      <c r="P336" s="2"/>
      <c r="Q336" s="2"/>
      <c r="R336" s="2"/>
      <c r="S336" s="2"/>
      <c r="T336" s="2"/>
      <c r="U336" s="2"/>
      <c r="V336" s="2">
        <f t="shared" ref="V336:V354" si="177">SUM(N336:U336)</f>
        <v>0</v>
      </c>
      <c r="X336" s="1" t="s">
        <v>8</v>
      </c>
      <c r="Y336" s="2">
        <f t="shared" si="168"/>
        <v>0</v>
      </c>
      <c r="Z336" s="2">
        <f t="shared" si="169"/>
        <v>0</v>
      </c>
      <c r="AA336" s="2">
        <f t="shared" si="170"/>
        <v>0</v>
      </c>
      <c r="AB336" s="2">
        <f t="shared" si="171"/>
        <v>0</v>
      </c>
      <c r="AC336" s="2">
        <f t="shared" si="172"/>
        <v>0</v>
      </c>
      <c r="AD336" s="2">
        <f t="shared" si="173"/>
        <v>0</v>
      </c>
      <c r="AE336" s="2">
        <f t="shared" si="174"/>
        <v>0</v>
      </c>
      <c r="AF336" s="2">
        <f t="shared" si="175"/>
        <v>0</v>
      </c>
      <c r="AG336" s="2">
        <f t="shared" ref="AG336:AG354" si="178">SUM(Y336:AF336)</f>
        <v>0</v>
      </c>
    </row>
    <row r="337" spans="2:33" hidden="1" x14ac:dyDescent="0.25">
      <c r="B337" s="1" t="s">
        <v>336</v>
      </c>
      <c r="C337" s="2"/>
      <c r="D337" s="2"/>
      <c r="E337" s="2"/>
      <c r="F337" s="2"/>
      <c r="G337" s="2"/>
      <c r="H337" s="2"/>
      <c r="I337" s="2"/>
      <c r="J337" s="2"/>
      <c r="K337" s="2">
        <f t="shared" si="176"/>
        <v>0</v>
      </c>
      <c r="M337" s="1" t="s">
        <v>336</v>
      </c>
      <c r="N337" s="2"/>
      <c r="O337" s="2"/>
      <c r="P337" s="2"/>
      <c r="Q337" s="2"/>
      <c r="R337" s="2"/>
      <c r="S337" s="2"/>
      <c r="T337" s="2"/>
      <c r="U337" s="2"/>
      <c r="V337" s="2">
        <f t="shared" si="177"/>
        <v>0</v>
      </c>
      <c r="X337" s="1" t="s">
        <v>7</v>
      </c>
      <c r="Y337" s="2">
        <f t="shared" si="168"/>
        <v>0</v>
      </c>
      <c r="Z337" s="2">
        <f t="shared" si="169"/>
        <v>0</v>
      </c>
      <c r="AA337" s="2">
        <f t="shared" si="170"/>
        <v>0</v>
      </c>
      <c r="AB337" s="2">
        <f t="shared" si="171"/>
        <v>0</v>
      </c>
      <c r="AC337" s="2">
        <f t="shared" si="172"/>
        <v>0</v>
      </c>
      <c r="AD337" s="2">
        <f t="shared" si="173"/>
        <v>0</v>
      </c>
      <c r="AE337" s="2">
        <f t="shared" si="174"/>
        <v>0</v>
      </c>
      <c r="AF337" s="2">
        <f t="shared" si="175"/>
        <v>0</v>
      </c>
      <c r="AG337" s="2">
        <f t="shared" si="178"/>
        <v>0</v>
      </c>
    </row>
    <row r="338" spans="2:33" hidden="1" x14ac:dyDescent="0.25">
      <c r="B338" s="1" t="s">
        <v>42</v>
      </c>
      <c r="C338" s="2"/>
      <c r="D338" s="2"/>
      <c r="E338" s="2"/>
      <c r="F338" s="2"/>
      <c r="G338" s="2"/>
      <c r="H338" s="2"/>
      <c r="I338" s="2"/>
      <c r="J338" s="2"/>
      <c r="K338" s="2">
        <f t="shared" si="176"/>
        <v>0</v>
      </c>
      <c r="M338" s="1" t="s">
        <v>42</v>
      </c>
      <c r="N338" s="2"/>
      <c r="O338" s="2"/>
      <c r="P338" s="2"/>
      <c r="Q338" s="2"/>
      <c r="R338" s="2"/>
      <c r="S338" s="2"/>
      <c r="T338" s="2"/>
      <c r="U338" s="2"/>
      <c r="V338" s="2">
        <f t="shared" si="177"/>
        <v>0</v>
      </c>
      <c r="X338" s="1" t="s">
        <v>42</v>
      </c>
      <c r="Y338" s="2">
        <f t="shared" si="168"/>
        <v>0</v>
      </c>
      <c r="Z338" s="2">
        <f t="shared" si="169"/>
        <v>0</v>
      </c>
      <c r="AA338" s="2">
        <f t="shared" si="170"/>
        <v>0</v>
      </c>
      <c r="AB338" s="2">
        <f t="shared" si="171"/>
        <v>0</v>
      </c>
      <c r="AC338" s="2">
        <f t="shared" si="172"/>
        <v>0</v>
      </c>
      <c r="AD338" s="2">
        <f t="shared" si="173"/>
        <v>0</v>
      </c>
      <c r="AE338" s="2">
        <f t="shared" si="174"/>
        <v>0</v>
      </c>
      <c r="AF338" s="2">
        <f t="shared" si="175"/>
        <v>0</v>
      </c>
      <c r="AG338" s="2">
        <f t="shared" si="178"/>
        <v>0</v>
      </c>
    </row>
    <row r="339" spans="2:33" hidden="1" x14ac:dyDescent="0.25">
      <c r="B339" s="1" t="s">
        <v>6</v>
      </c>
      <c r="C339" s="2"/>
      <c r="D339" s="2"/>
      <c r="E339" s="2"/>
      <c r="F339" s="2"/>
      <c r="G339" s="2"/>
      <c r="H339" s="2"/>
      <c r="I339" s="2"/>
      <c r="J339" s="2"/>
      <c r="K339" s="2">
        <f t="shared" si="176"/>
        <v>0</v>
      </c>
      <c r="M339" s="1" t="s">
        <v>6</v>
      </c>
      <c r="N339" s="2"/>
      <c r="O339" s="2"/>
      <c r="P339" s="2"/>
      <c r="Q339" s="2"/>
      <c r="R339" s="2"/>
      <c r="S339" s="2"/>
      <c r="T339" s="2"/>
      <c r="U339" s="2"/>
      <c r="V339" s="2">
        <f t="shared" si="177"/>
        <v>0</v>
      </c>
      <c r="X339" s="1" t="s">
        <v>6</v>
      </c>
      <c r="Y339" s="2">
        <f t="shared" si="168"/>
        <v>0</v>
      </c>
      <c r="Z339" s="2">
        <f t="shared" si="169"/>
        <v>0</v>
      </c>
      <c r="AA339" s="2">
        <f t="shared" si="170"/>
        <v>0</v>
      </c>
      <c r="AB339" s="2">
        <f t="shared" si="171"/>
        <v>0</v>
      </c>
      <c r="AC339" s="2">
        <f t="shared" si="172"/>
        <v>0</v>
      </c>
      <c r="AD339" s="2">
        <f t="shared" si="173"/>
        <v>0</v>
      </c>
      <c r="AE339" s="2">
        <f t="shared" si="174"/>
        <v>0</v>
      </c>
      <c r="AF339" s="2">
        <f t="shared" si="175"/>
        <v>0</v>
      </c>
      <c r="AG339" s="2">
        <f t="shared" si="178"/>
        <v>0</v>
      </c>
    </row>
    <row r="340" spans="2:33" hidden="1" x14ac:dyDescent="0.25">
      <c r="B340" s="1" t="s">
        <v>90</v>
      </c>
      <c r="C340" s="2"/>
      <c r="D340" s="2"/>
      <c r="E340" s="2"/>
      <c r="F340" s="2"/>
      <c r="G340" s="2"/>
      <c r="H340" s="2"/>
      <c r="I340" s="2"/>
      <c r="J340" s="2"/>
      <c r="K340" s="2">
        <f t="shared" si="176"/>
        <v>0</v>
      </c>
      <c r="M340" s="1" t="s">
        <v>90</v>
      </c>
      <c r="N340" s="2"/>
      <c r="O340" s="2"/>
      <c r="P340" s="2"/>
      <c r="Q340" s="2"/>
      <c r="R340" s="2"/>
      <c r="S340" s="2"/>
      <c r="T340" s="2"/>
      <c r="U340" s="2"/>
      <c r="V340" s="2">
        <f t="shared" si="177"/>
        <v>0</v>
      </c>
      <c r="X340" s="1" t="s">
        <v>90</v>
      </c>
      <c r="Y340" s="2">
        <f t="shared" si="168"/>
        <v>0</v>
      </c>
      <c r="Z340" s="2">
        <f t="shared" si="169"/>
        <v>0</v>
      </c>
      <c r="AA340" s="2">
        <f t="shared" si="170"/>
        <v>0</v>
      </c>
      <c r="AB340" s="2">
        <f t="shared" si="171"/>
        <v>0</v>
      </c>
      <c r="AC340" s="2">
        <f t="shared" si="172"/>
        <v>0</v>
      </c>
      <c r="AD340" s="2">
        <f t="shared" si="173"/>
        <v>0</v>
      </c>
      <c r="AE340" s="2">
        <f t="shared" si="174"/>
        <v>0</v>
      </c>
      <c r="AF340" s="2">
        <f t="shared" si="175"/>
        <v>0</v>
      </c>
      <c r="AG340" s="2">
        <f t="shared" si="178"/>
        <v>0</v>
      </c>
    </row>
    <row r="341" spans="2:33" hidden="1" x14ac:dyDescent="0.25">
      <c r="B341" s="1" t="s">
        <v>342</v>
      </c>
      <c r="C341" s="2"/>
      <c r="D341" s="2"/>
      <c r="E341" s="2"/>
      <c r="F341" s="2"/>
      <c r="G341" s="2"/>
      <c r="H341" s="2"/>
      <c r="I341" s="2"/>
      <c r="J341" s="2"/>
      <c r="K341" s="2">
        <f t="shared" si="176"/>
        <v>0</v>
      </c>
      <c r="M341" s="1" t="s">
        <v>342</v>
      </c>
      <c r="N341" s="2"/>
      <c r="O341" s="2"/>
      <c r="P341" s="2"/>
      <c r="Q341" s="2"/>
      <c r="R341" s="2"/>
      <c r="S341" s="2"/>
      <c r="T341" s="2"/>
      <c r="U341" s="2"/>
      <c r="V341" s="2">
        <f t="shared" si="177"/>
        <v>0</v>
      </c>
      <c r="X341" s="1" t="s">
        <v>50</v>
      </c>
      <c r="Y341" s="2">
        <f t="shared" si="168"/>
        <v>0</v>
      </c>
      <c r="Z341" s="2">
        <f t="shared" si="169"/>
        <v>0</v>
      </c>
      <c r="AA341" s="2">
        <f t="shared" si="170"/>
        <v>0</v>
      </c>
      <c r="AB341" s="2">
        <f t="shared" si="171"/>
        <v>0</v>
      </c>
      <c r="AC341" s="2">
        <f t="shared" si="172"/>
        <v>0</v>
      </c>
      <c r="AD341" s="2">
        <f t="shared" si="173"/>
        <v>0</v>
      </c>
      <c r="AE341" s="2">
        <f t="shared" si="174"/>
        <v>0</v>
      </c>
      <c r="AF341" s="2">
        <f t="shared" si="175"/>
        <v>0</v>
      </c>
      <c r="AG341" s="2">
        <f t="shared" si="178"/>
        <v>0</v>
      </c>
    </row>
    <row r="342" spans="2:33" hidden="1" x14ac:dyDescent="0.25">
      <c r="B342" s="1" t="s">
        <v>89</v>
      </c>
      <c r="C342" s="2"/>
      <c r="D342" s="2"/>
      <c r="E342" s="2"/>
      <c r="F342" s="2"/>
      <c r="G342" s="2"/>
      <c r="H342" s="2"/>
      <c r="I342" s="2"/>
      <c r="J342" s="2"/>
      <c r="K342" s="2">
        <f t="shared" si="176"/>
        <v>0</v>
      </c>
      <c r="M342" s="1" t="s">
        <v>89</v>
      </c>
      <c r="N342" s="2"/>
      <c r="O342" s="2"/>
      <c r="P342" s="2"/>
      <c r="Q342" s="2"/>
      <c r="R342" s="2"/>
      <c r="S342" s="2"/>
      <c r="T342" s="2"/>
      <c r="U342" s="2"/>
      <c r="V342" s="2">
        <f t="shared" si="177"/>
        <v>0</v>
      </c>
      <c r="X342" s="1" t="s">
        <v>89</v>
      </c>
      <c r="Y342" s="2">
        <f t="shared" si="168"/>
        <v>0</v>
      </c>
      <c r="Z342" s="2">
        <f t="shared" si="169"/>
        <v>0</v>
      </c>
      <c r="AA342" s="2">
        <f t="shared" si="170"/>
        <v>0</v>
      </c>
      <c r="AB342" s="2">
        <f t="shared" si="171"/>
        <v>0</v>
      </c>
      <c r="AC342" s="2">
        <f t="shared" si="172"/>
        <v>0</v>
      </c>
      <c r="AD342" s="2">
        <f t="shared" si="173"/>
        <v>0</v>
      </c>
      <c r="AE342" s="2">
        <f t="shared" si="174"/>
        <v>0</v>
      </c>
      <c r="AF342" s="2">
        <f t="shared" si="175"/>
        <v>0</v>
      </c>
      <c r="AG342" s="2">
        <f t="shared" si="178"/>
        <v>0</v>
      </c>
    </row>
    <row r="343" spans="2:33" hidden="1" x14ac:dyDescent="0.25">
      <c r="B343" s="1" t="s">
        <v>5</v>
      </c>
      <c r="C343" s="2"/>
      <c r="D343" s="2"/>
      <c r="E343" s="2"/>
      <c r="F343" s="2"/>
      <c r="G343" s="2"/>
      <c r="H343" s="2"/>
      <c r="I343" s="2"/>
      <c r="J343" s="2"/>
      <c r="K343" s="2">
        <f t="shared" si="176"/>
        <v>0</v>
      </c>
      <c r="M343" s="1" t="s">
        <v>5</v>
      </c>
      <c r="N343" s="2"/>
      <c r="O343" s="2"/>
      <c r="P343" s="2"/>
      <c r="Q343" s="2"/>
      <c r="R343" s="2"/>
      <c r="S343" s="2"/>
      <c r="T343" s="2"/>
      <c r="U343" s="2"/>
      <c r="V343" s="2">
        <f t="shared" si="177"/>
        <v>0</v>
      </c>
      <c r="X343" s="1" t="s">
        <v>5</v>
      </c>
      <c r="Y343" s="2">
        <f t="shared" si="168"/>
        <v>0</v>
      </c>
      <c r="Z343" s="2">
        <f t="shared" si="169"/>
        <v>0</v>
      </c>
      <c r="AA343" s="2">
        <f t="shared" si="170"/>
        <v>0</v>
      </c>
      <c r="AB343" s="2">
        <f t="shared" si="171"/>
        <v>0</v>
      </c>
      <c r="AC343" s="2">
        <f t="shared" si="172"/>
        <v>0</v>
      </c>
      <c r="AD343" s="2">
        <f t="shared" si="173"/>
        <v>0</v>
      </c>
      <c r="AE343" s="2">
        <f t="shared" si="174"/>
        <v>0</v>
      </c>
      <c r="AF343" s="2">
        <f t="shared" si="175"/>
        <v>0</v>
      </c>
      <c r="AG343" s="2">
        <f t="shared" si="178"/>
        <v>0</v>
      </c>
    </row>
    <row r="344" spans="2:33" hidden="1" x14ac:dyDescent="0.25">
      <c r="B344" s="1" t="s">
        <v>84</v>
      </c>
      <c r="C344" s="2"/>
      <c r="D344" s="2"/>
      <c r="E344" s="2"/>
      <c r="F344" s="2"/>
      <c r="G344" s="2"/>
      <c r="H344" s="2"/>
      <c r="I344" s="2"/>
      <c r="J344" s="2"/>
      <c r="K344" s="2">
        <f t="shared" si="176"/>
        <v>0</v>
      </c>
      <c r="M344" s="1" t="s">
        <v>84</v>
      </c>
      <c r="N344" s="2"/>
      <c r="O344" s="2"/>
      <c r="P344" s="2"/>
      <c r="Q344" s="2"/>
      <c r="R344" s="2"/>
      <c r="S344" s="2"/>
      <c r="T344" s="2"/>
      <c r="U344" s="2"/>
      <c r="V344" s="2">
        <f t="shared" si="177"/>
        <v>0</v>
      </c>
      <c r="X344" s="1" t="s">
        <v>84</v>
      </c>
      <c r="Y344" s="2">
        <f t="shared" si="168"/>
        <v>0</v>
      </c>
      <c r="Z344" s="2">
        <f t="shared" si="169"/>
        <v>0</v>
      </c>
      <c r="AA344" s="2">
        <f t="shared" si="170"/>
        <v>0</v>
      </c>
      <c r="AB344" s="2">
        <f t="shared" si="171"/>
        <v>0</v>
      </c>
      <c r="AC344" s="2">
        <f t="shared" si="172"/>
        <v>0</v>
      </c>
      <c r="AD344" s="2">
        <f t="shared" si="173"/>
        <v>0</v>
      </c>
      <c r="AE344" s="2">
        <f t="shared" si="174"/>
        <v>0</v>
      </c>
      <c r="AF344" s="2">
        <f t="shared" si="175"/>
        <v>0</v>
      </c>
      <c r="AG344" s="2">
        <f t="shared" si="178"/>
        <v>0</v>
      </c>
    </row>
    <row r="345" spans="2:33" hidden="1" x14ac:dyDescent="0.25">
      <c r="B345" s="1" t="s">
        <v>4</v>
      </c>
      <c r="C345" s="2"/>
      <c r="D345" s="2"/>
      <c r="E345" s="2"/>
      <c r="F345" s="2"/>
      <c r="G345" s="2"/>
      <c r="H345" s="2"/>
      <c r="I345" s="2"/>
      <c r="J345" s="2"/>
      <c r="K345" s="2">
        <f t="shared" si="176"/>
        <v>0</v>
      </c>
      <c r="M345" s="1" t="s">
        <v>4</v>
      </c>
      <c r="N345" s="2"/>
      <c r="O345" s="2"/>
      <c r="P345" s="2"/>
      <c r="Q345" s="2"/>
      <c r="R345" s="2"/>
      <c r="S345" s="2"/>
      <c r="T345" s="2"/>
      <c r="U345" s="2"/>
      <c r="V345" s="2">
        <f t="shared" si="177"/>
        <v>0</v>
      </c>
      <c r="X345" s="1" t="s">
        <v>4</v>
      </c>
      <c r="Y345" s="2">
        <f t="shared" si="168"/>
        <v>0</v>
      </c>
      <c r="Z345" s="2">
        <f t="shared" si="169"/>
        <v>0</v>
      </c>
      <c r="AA345" s="2">
        <f t="shared" si="170"/>
        <v>0</v>
      </c>
      <c r="AB345" s="2">
        <f t="shared" si="171"/>
        <v>0</v>
      </c>
      <c r="AC345" s="2">
        <f t="shared" si="172"/>
        <v>0</v>
      </c>
      <c r="AD345" s="2">
        <f t="shared" si="173"/>
        <v>0</v>
      </c>
      <c r="AE345" s="2">
        <f t="shared" si="174"/>
        <v>0</v>
      </c>
      <c r="AF345" s="2">
        <f t="shared" si="175"/>
        <v>0</v>
      </c>
      <c r="AG345" s="2">
        <f t="shared" si="178"/>
        <v>0</v>
      </c>
    </row>
    <row r="346" spans="2:33" hidden="1" x14ac:dyDescent="0.25">
      <c r="B346" s="1" t="s">
        <v>51</v>
      </c>
      <c r="C346" s="2"/>
      <c r="D346" s="2"/>
      <c r="E346" s="2"/>
      <c r="F346" s="2"/>
      <c r="G346" s="2"/>
      <c r="H346" s="2"/>
      <c r="I346" s="2"/>
      <c r="J346" s="2"/>
      <c r="K346" s="2">
        <f t="shared" si="176"/>
        <v>0</v>
      </c>
      <c r="M346" s="1" t="s">
        <v>51</v>
      </c>
      <c r="N346" s="2"/>
      <c r="O346" s="2"/>
      <c r="P346" s="2"/>
      <c r="Q346" s="2"/>
      <c r="R346" s="2"/>
      <c r="S346" s="2"/>
      <c r="T346" s="2"/>
      <c r="U346" s="2"/>
      <c r="V346" s="2">
        <f t="shared" si="177"/>
        <v>0</v>
      </c>
      <c r="X346" s="1" t="s">
        <v>51</v>
      </c>
      <c r="Y346" s="2">
        <f t="shared" si="168"/>
        <v>0</v>
      </c>
      <c r="Z346" s="2">
        <f t="shared" si="169"/>
        <v>0</v>
      </c>
      <c r="AA346" s="2">
        <f t="shared" si="170"/>
        <v>0</v>
      </c>
      <c r="AB346" s="2">
        <f t="shared" si="171"/>
        <v>0</v>
      </c>
      <c r="AC346" s="2">
        <f t="shared" si="172"/>
        <v>0</v>
      </c>
      <c r="AD346" s="2">
        <f t="shared" si="173"/>
        <v>0</v>
      </c>
      <c r="AE346" s="2">
        <f t="shared" si="174"/>
        <v>0</v>
      </c>
      <c r="AF346" s="2">
        <f t="shared" si="175"/>
        <v>0</v>
      </c>
      <c r="AG346" s="2">
        <f t="shared" si="178"/>
        <v>0</v>
      </c>
    </row>
    <row r="347" spans="2:33" hidden="1" x14ac:dyDescent="0.25">
      <c r="B347" s="1" t="s">
        <v>87</v>
      </c>
      <c r="C347" s="2"/>
      <c r="D347" s="2"/>
      <c r="E347" s="2"/>
      <c r="F347" s="2"/>
      <c r="G347" s="2"/>
      <c r="H347" s="2"/>
      <c r="I347" s="2"/>
      <c r="J347" s="2"/>
      <c r="K347" s="2">
        <f t="shared" si="176"/>
        <v>0</v>
      </c>
      <c r="M347" s="1" t="s">
        <v>87</v>
      </c>
      <c r="N347" s="2"/>
      <c r="O347" s="2"/>
      <c r="P347" s="2"/>
      <c r="Q347" s="2"/>
      <c r="R347" s="2"/>
      <c r="S347" s="2"/>
      <c r="T347" s="2"/>
      <c r="U347" s="2"/>
      <c r="V347" s="2">
        <f t="shared" si="177"/>
        <v>0</v>
      </c>
      <c r="X347" s="1" t="s">
        <v>87</v>
      </c>
      <c r="Y347" s="2">
        <f t="shared" si="168"/>
        <v>0</v>
      </c>
      <c r="Z347" s="2">
        <f t="shared" si="169"/>
        <v>0</v>
      </c>
      <c r="AA347" s="2">
        <f t="shared" si="170"/>
        <v>0</v>
      </c>
      <c r="AB347" s="2">
        <f t="shared" si="171"/>
        <v>0</v>
      </c>
      <c r="AC347" s="2">
        <f t="shared" si="172"/>
        <v>0</v>
      </c>
      <c r="AD347" s="2">
        <f t="shared" si="173"/>
        <v>0</v>
      </c>
      <c r="AE347" s="2">
        <f t="shared" si="174"/>
        <v>0</v>
      </c>
      <c r="AF347" s="2">
        <f t="shared" si="175"/>
        <v>0</v>
      </c>
      <c r="AG347" s="2">
        <f t="shared" si="178"/>
        <v>0</v>
      </c>
    </row>
    <row r="348" spans="2:33" hidden="1" x14ac:dyDescent="0.25">
      <c r="B348" s="1" t="s">
        <v>85</v>
      </c>
      <c r="C348" s="2"/>
      <c r="D348" s="2"/>
      <c r="E348" s="2"/>
      <c r="F348" s="2"/>
      <c r="G348" s="2"/>
      <c r="H348" s="2"/>
      <c r="I348" s="2"/>
      <c r="J348" s="2"/>
      <c r="K348" s="2">
        <f t="shared" si="176"/>
        <v>0</v>
      </c>
      <c r="M348" s="1" t="s">
        <v>85</v>
      </c>
      <c r="N348" s="2"/>
      <c r="O348" s="2"/>
      <c r="P348" s="2"/>
      <c r="Q348" s="2"/>
      <c r="R348" s="2"/>
      <c r="S348" s="2"/>
      <c r="T348" s="2"/>
      <c r="U348" s="2"/>
      <c r="V348" s="2">
        <f t="shared" si="177"/>
        <v>0</v>
      </c>
      <c r="X348" s="1" t="s">
        <v>85</v>
      </c>
      <c r="Y348" s="2">
        <f t="shared" si="168"/>
        <v>0</v>
      </c>
      <c r="Z348" s="2">
        <f t="shared" si="169"/>
        <v>0</v>
      </c>
      <c r="AA348" s="2">
        <f t="shared" si="170"/>
        <v>0</v>
      </c>
      <c r="AB348" s="2">
        <f t="shared" si="171"/>
        <v>0</v>
      </c>
      <c r="AC348" s="2">
        <f t="shared" si="172"/>
        <v>0</v>
      </c>
      <c r="AD348" s="2">
        <f t="shared" si="173"/>
        <v>0</v>
      </c>
      <c r="AE348" s="2">
        <f t="shared" si="174"/>
        <v>0</v>
      </c>
      <c r="AF348" s="2">
        <f t="shared" si="175"/>
        <v>0</v>
      </c>
      <c r="AG348" s="2">
        <f t="shared" si="178"/>
        <v>0</v>
      </c>
    </row>
    <row r="349" spans="2:33" hidden="1" x14ac:dyDescent="0.25">
      <c r="B349" s="1" t="s">
        <v>2</v>
      </c>
      <c r="C349" s="2"/>
      <c r="D349" s="2"/>
      <c r="E349" s="2"/>
      <c r="F349" s="2"/>
      <c r="G349" s="2"/>
      <c r="H349" s="2"/>
      <c r="I349" s="2"/>
      <c r="J349" s="2"/>
      <c r="K349" s="2">
        <f t="shared" si="176"/>
        <v>0</v>
      </c>
      <c r="M349" s="1" t="s">
        <v>2</v>
      </c>
      <c r="N349" s="2"/>
      <c r="O349" s="2"/>
      <c r="P349" s="2"/>
      <c r="Q349" s="2"/>
      <c r="R349" s="2"/>
      <c r="S349" s="2"/>
      <c r="T349" s="2"/>
      <c r="U349" s="2"/>
      <c r="V349" s="2">
        <f t="shared" si="177"/>
        <v>0</v>
      </c>
      <c r="X349" s="1" t="s">
        <v>2</v>
      </c>
      <c r="Y349" s="2">
        <f t="shared" si="168"/>
        <v>0</v>
      </c>
      <c r="Z349" s="2">
        <f t="shared" si="169"/>
        <v>0</v>
      </c>
      <c r="AA349" s="2">
        <f t="shared" si="170"/>
        <v>0</v>
      </c>
      <c r="AB349" s="2">
        <f t="shared" si="171"/>
        <v>0</v>
      </c>
      <c r="AC349" s="2">
        <f t="shared" si="172"/>
        <v>0</v>
      </c>
      <c r="AD349" s="2">
        <f t="shared" si="173"/>
        <v>0</v>
      </c>
      <c r="AE349" s="2">
        <f t="shared" si="174"/>
        <v>0</v>
      </c>
      <c r="AF349" s="2">
        <f t="shared" si="175"/>
        <v>0</v>
      </c>
      <c r="AG349" s="2">
        <f t="shared" si="178"/>
        <v>0</v>
      </c>
    </row>
    <row r="350" spans="2:33" hidden="1" x14ac:dyDescent="0.25">
      <c r="B350" s="1" t="s">
        <v>86</v>
      </c>
      <c r="C350" s="2"/>
      <c r="D350" s="2"/>
      <c r="E350" s="2"/>
      <c r="F350" s="2"/>
      <c r="G350" s="2"/>
      <c r="H350" s="2"/>
      <c r="I350" s="2"/>
      <c r="J350" s="2"/>
      <c r="K350" s="2">
        <f t="shared" si="176"/>
        <v>0</v>
      </c>
      <c r="M350" s="1" t="s">
        <v>86</v>
      </c>
      <c r="N350" s="2"/>
      <c r="O350" s="2"/>
      <c r="P350" s="2"/>
      <c r="Q350" s="2"/>
      <c r="R350" s="2"/>
      <c r="S350" s="2"/>
      <c r="T350" s="2"/>
      <c r="U350" s="2"/>
      <c r="V350" s="2">
        <f t="shared" si="177"/>
        <v>0</v>
      </c>
      <c r="X350" s="1" t="s">
        <v>86</v>
      </c>
      <c r="Y350" s="2">
        <f t="shared" si="168"/>
        <v>0</v>
      </c>
      <c r="Z350" s="2">
        <f t="shared" si="169"/>
        <v>0</v>
      </c>
      <c r="AA350" s="2">
        <f t="shared" si="170"/>
        <v>0</v>
      </c>
      <c r="AB350" s="2">
        <f t="shared" si="171"/>
        <v>0</v>
      </c>
      <c r="AC350" s="2">
        <f t="shared" si="172"/>
        <v>0</v>
      </c>
      <c r="AD350" s="2">
        <f t="shared" si="173"/>
        <v>0</v>
      </c>
      <c r="AE350" s="2">
        <f t="shared" si="174"/>
        <v>0</v>
      </c>
      <c r="AF350" s="2">
        <f t="shared" si="175"/>
        <v>0</v>
      </c>
      <c r="AG350" s="2">
        <f t="shared" si="178"/>
        <v>0</v>
      </c>
    </row>
    <row r="351" spans="2:33" hidden="1" x14ac:dyDescent="0.25">
      <c r="B351" s="1" t="s">
        <v>29</v>
      </c>
      <c r="C351" s="2"/>
      <c r="D351" s="2"/>
      <c r="E351" s="2"/>
      <c r="F351" s="2"/>
      <c r="G351" s="2"/>
      <c r="H351" s="2"/>
      <c r="I351" s="2"/>
      <c r="J351" s="2"/>
      <c r="K351" s="2">
        <f t="shared" si="176"/>
        <v>0</v>
      </c>
      <c r="M351" s="1" t="s">
        <v>29</v>
      </c>
      <c r="N351" s="2"/>
      <c r="O351" s="2"/>
      <c r="P351" s="2"/>
      <c r="Q351" s="2"/>
      <c r="R351" s="2"/>
      <c r="S351" s="2"/>
      <c r="T351" s="2"/>
      <c r="U351" s="2"/>
      <c r="V351" s="2">
        <f t="shared" si="177"/>
        <v>0</v>
      </c>
      <c r="X351" s="1" t="s">
        <v>29</v>
      </c>
      <c r="Y351" s="2">
        <f t="shared" si="168"/>
        <v>0</v>
      </c>
      <c r="Z351" s="2">
        <f t="shared" si="169"/>
        <v>0</v>
      </c>
      <c r="AA351" s="2">
        <f t="shared" si="170"/>
        <v>0</v>
      </c>
      <c r="AB351" s="2">
        <f t="shared" si="171"/>
        <v>0</v>
      </c>
      <c r="AC351" s="2">
        <f t="shared" si="172"/>
        <v>0</v>
      </c>
      <c r="AD351" s="2">
        <f t="shared" si="173"/>
        <v>0</v>
      </c>
      <c r="AE351" s="2">
        <f t="shared" si="174"/>
        <v>0</v>
      </c>
      <c r="AF351" s="2">
        <f t="shared" si="175"/>
        <v>0</v>
      </c>
      <c r="AG351" s="2">
        <f t="shared" si="178"/>
        <v>0</v>
      </c>
    </row>
    <row r="352" spans="2:33" hidden="1" x14ac:dyDescent="0.25">
      <c r="B352" s="1" t="s">
        <v>88</v>
      </c>
      <c r="C352" s="2"/>
      <c r="D352" s="2"/>
      <c r="E352" s="2"/>
      <c r="F352" s="2"/>
      <c r="G352" s="2"/>
      <c r="H352" s="2"/>
      <c r="I352" s="2"/>
      <c r="J352" s="2"/>
      <c r="K352" s="2">
        <f t="shared" si="176"/>
        <v>0</v>
      </c>
      <c r="M352" s="1" t="s">
        <v>88</v>
      </c>
      <c r="N352" s="2"/>
      <c r="O352" s="2"/>
      <c r="P352" s="2"/>
      <c r="Q352" s="2"/>
      <c r="R352" s="2"/>
      <c r="S352" s="2"/>
      <c r="T352" s="2"/>
      <c r="U352" s="2"/>
      <c r="V352" s="2">
        <f t="shared" si="177"/>
        <v>0</v>
      </c>
      <c r="X352" s="1" t="s">
        <v>52</v>
      </c>
      <c r="Y352" s="2">
        <f t="shared" si="168"/>
        <v>0</v>
      </c>
      <c r="Z352" s="2">
        <f t="shared" si="169"/>
        <v>0</v>
      </c>
      <c r="AA352" s="2">
        <f t="shared" si="170"/>
        <v>0</v>
      </c>
      <c r="AB352" s="2">
        <f t="shared" si="171"/>
        <v>0</v>
      </c>
      <c r="AC352" s="2">
        <f t="shared" si="172"/>
        <v>0</v>
      </c>
      <c r="AD352" s="2">
        <f t="shared" si="173"/>
        <v>0</v>
      </c>
      <c r="AE352" s="2">
        <f t="shared" si="174"/>
        <v>0</v>
      </c>
      <c r="AF352" s="2">
        <f t="shared" si="175"/>
        <v>0</v>
      </c>
      <c r="AG352" s="2">
        <f t="shared" si="178"/>
        <v>0</v>
      </c>
    </row>
    <row r="353" spans="2:33" hidden="1" x14ac:dyDescent="0.25">
      <c r="B353" s="1" t="s">
        <v>341</v>
      </c>
      <c r="C353" s="2"/>
      <c r="D353" s="2"/>
      <c r="E353" s="2"/>
      <c r="F353" s="2"/>
      <c r="G353" s="2"/>
      <c r="H353" s="2"/>
      <c r="I353" s="2"/>
      <c r="J353" s="2"/>
      <c r="K353" s="2">
        <f t="shared" si="176"/>
        <v>0</v>
      </c>
      <c r="M353" s="1" t="s">
        <v>341</v>
      </c>
      <c r="N353" s="2"/>
      <c r="O353" s="2"/>
      <c r="P353" s="2"/>
      <c r="Q353" s="2"/>
      <c r="R353" s="2"/>
      <c r="S353" s="2"/>
      <c r="T353" s="2"/>
      <c r="U353" s="2"/>
      <c r="V353" s="2">
        <f t="shared" si="177"/>
        <v>0</v>
      </c>
      <c r="X353" s="1" t="s">
        <v>88</v>
      </c>
      <c r="Y353" s="2">
        <f t="shared" si="168"/>
        <v>0</v>
      </c>
      <c r="Z353" s="2">
        <f t="shared" si="169"/>
        <v>0</v>
      </c>
      <c r="AA353" s="2">
        <f t="shared" si="170"/>
        <v>0</v>
      </c>
      <c r="AB353" s="2">
        <f t="shared" si="171"/>
        <v>0</v>
      </c>
      <c r="AC353" s="2">
        <f t="shared" si="172"/>
        <v>0</v>
      </c>
      <c r="AD353" s="2">
        <f t="shared" si="173"/>
        <v>0</v>
      </c>
      <c r="AE353" s="2">
        <f t="shared" si="174"/>
        <v>0</v>
      </c>
      <c r="AF353" s="2">
        <f t="shared" si="175"/>
        <v>0</v>
      </c>
      <c r="AG353" s="2">
        <f t="shared" si="178"/>
        <v>0</v>
      </c>
    </row>
    <row r="354" spans="2:33" hidden="1" x14ac:dyDescent="0.25">
      <c r="B354" s="1" t="s">
        <v>340</v>
      </c>
      <c r="C354" s="2"/>
      <c r="D354" s="2"/>
      <c r="E354" s="2"/>
      <c r="F354" s="2"/>
      <c r="G354" s="2"/>
      <c r="H354" s="2"/>
      <c r="I354" s="2"/>
      <c r="J354" s="2"/>
      <c r="K354" s="2">
        <f t="shared" si="176"/>
        <v>0</v>
      </c>
      <c r="M354" s="1" t="s">
        <v>340</v>
      </c>
      <c r="N354" s="2"/>
      <c r="O354" s="2"/>
      <c r="P354" s="2"/>
      <c r="Q354" s="2"/>
      <c r="R354" s="2"/>
      <c r="S354" s="2"/>
      <c r="T354" s="2"/>
      <c r="U354" s="2"/>
      <c r="V354" s="2">
        <f t="shared" si="177"/>
        <v>0</v>
      </c>
      <c r="X354" s="1" t="s">
        <v>1</v>
      </c>
      <c r="Y354" s="2">
        <f t="shared" si="168"/>
        <v>0</v>
      </c>
      <c r="Z354" s="2">
        <f t="shared" si="169"/>
        <v>0</v>
      </c>
      <c r="AA354" s="2">
        <f t="shared" si="170"/>
        <v>0</v>
      </c>
      <c r="AB354" s="2">
        <f t="shared" si="171"/>
        <v>0</v>
      </c>
      <c r="AC354" s="2">
        <f t="shared" si="172"/>
        <v>0</v>
      </c>
      <c r="AD354" s="2">
        <f t="shared" si="173"/>
        <v>0</v>
      </c>
      <c r="AE354" s="2">
        <f t="shared" si="174"/>
        <v>0</v>
      </c>
      <c r="AF354" s="2">
        <f t="shared" si="175"/>
        <v>0</v>
      </c>
      <c r="AG354" s="2">
        <f t="shared" si="178"/>
        <v>0</v>
      </c>
    </row>
    <row r="355" spans="2:33" ht="15.75" hidden="1" thickBot="1" x14ac:dyDescent="0.3">
      <c r="C355" s="69">
        <f>SUM(C335:C354)</f>
        <v>0</v>
      </c>
      <c r="D355" s="69">
        <f t="shared" ref="D355:J355" si="179">SUM(D335:D354)</f>
        <v>0</v>
      </c>
      <c r="E355" s="69">
        <f t="shared" si="179"/>
        <v>0</v>
      </c>
      <c r="F355" s="69">
        <f t="shared" si="179"/>
        <v>0</v>
      </c>
      <c r="G355" s="69">
        <f t="shared" si="179"/>
        <v>0</v>
      </c>
      <c r="H355" s="69">
        <f t="shared" si="179"/>
        <v>0</v>
      </c>
      <c r="I355" s="69">
        <f t="shared" si="179"/>
        <v>0</v>
      </c>
      <c r="J355" s="69">
        <f t="shared" si="179"/>
        <v>0</v>
      </c>
      <c r="K355" s="69">
        <f>SUM(K335:K354)</f>
        <v>0</v>
      </c>
      <c r="N355" s="69">
        <f>SUM(N335:N354)</f>
        <v>0</v>
      </c>
      <c r="O355" s="69">
        <f t="shared" ref="O355:U355" si="180">SUM(O335:O354)</f>
        <v>0</v>
      </c>
      <c r="P355" s="69">
        <f t="shared" si="180"/>
        <v>0</v>
      </c>
      <c r="Q355" s="69">
        <f t="shared" si="180"/>
        <v>0</v>
      </c>
      <c r="R355" s="69">
        <f t="shared" si="180"/>
        <v>0</v>
      </c>
      <c r="S355" s="69">
        <f t="shared" si="180"/>
        <v>0</v>
      </c>
      <c r="T355" s="69">
        <f t="shared" si="180"/>
        <v>0</v>
      </c>
      <c r="U355" s="69">
        <f t="shared" si="180"/>
        <v>0</v>
      </c>
      <c r="V355" s="69">
        <f>SUM(V335:V354)</f>
        <v>0</v>
      </c>
      <c r="Y355" s="69">
        <f>SUM(Y335:Y354)</f>
        <v>0</v>
      </c>
      <c r="Z355" s="69">
        <f t="shared" ref="Z355:AF355" si="181">SUM(Z335:Z354)</f>
        <v>0</v>
      </c>
      <c r="AA355" s="69">
        <f t="shared" si="181"/>
        <v>0</v>
      </c>
      <c r="AB355" s="69">
        <f t="shared" si="181"/>
        <v>0</v>
      </c>
      <c r="AC355" s="69">
        <f t="shared" si="181"/>
        <v>0</v>
      </c>
      <c r="AD355" s="69">
        <f t="shared" si="181"/>
        <v>0</v>
      </c>
      <c r="AE355" s="69">
        <f t="shared" si="181"/>
        <v>0</v>
      </c>
      <c r="AF355" s="69">
        <f t="shared" si="181"/>
        <v>0</v>
      </c>
      <c r="AG355" s="69">
        <f>SUM(AG335:AG354)</f>
        <v>0</v>
      </c>
    </row>
    <row r="356" spans="2:33" hidden="1" x14ac:dyDescent="0.25"/>
    <row r="357" spans="2:33" hidden="1" x14ac:dyDescent="0.25"/>
    <row r="358" spans="2:33" hidden="1" x14ac:dyDescent="0.25">
      <c r="B358" s="71" t="s">
        <v>97</v>
      </c>
      <c r="C358" s="167">
        <f>$C$20</f>
        <v>45199</v>
      </c>
      <c r="D358" s="164"/>
      <c r="E358" s="164"/>
      <c r="F358" s="164"/>
      <c r="G358" s="164"/>
      <c r="H358" s="164"/>
      <c r="I358" s="164"/>
      <c r="J358" s="164"/>
      <c r="K358" s="164"/>
      <c r="M358" s="71" t="s">
        <v>97</v>
      </c>
      <c r="N358" s="178">
        <f>$N$20</f>
        <v>45169</v>
      </c>
      <c r="O358" s="179"/>
      <c r="P358" s="179"/>
      <c r="Q358" s="179"/>
      <c r="R358" s="179"/>
      <c r="S358" s="179"/>
      <c r="T358" s="179"/>
      <c r="U358" s="179"/>
      <c r="V358" s="179"/>
      <c r="X358" s="71" t="s">
        <v>97</v>
      </c>
      <c r="Y358" s="164" t="s">
        <v>98</v>
      </c>
      <c r="Z358" s="164"/>
      <c r="AA358" s="164"/>
      <c r="AB358" s="164"/>
      <c r="AC358" s="164"/>
      <c r="AD358" s="164"/>
      <c r="AE358" s="164"/>
      <c r="AF358" s="164"/>
      <c r="AG358" s="164"/>
    </row>
    <row r="359" spans="2:33" hidden="1" x14ac:dyDescent="0.25">
      <c r="B359" s="71" t="s">
        <v>96</v>
      </c>
      <c r="C359" s="164" t="str">
        <f>'Reimbursement Rates &lt;-INPUT'!O7</f>
        <v>Clinic 14</v>
      </c>
      <c r="D359" s="164"/>
      <c r="E359" s="164"/>
      <c r="F359" s="164"/>
      <c r="G359" s="164"/>
      <c r="H359" s="164"/>
      <c r="I359" s="164"/>
      <c r="J359" s="164"/>
      <c r="K359" s="164"/>
      <c r="M359" s="71" t="s">
        <v>96</v>
      </c>
      <c r="N359" s="164" t="str">
        <f>C359</f>
        <v>Clinic 14</v>
      </c>
      <c r="O359" s="164"/>
      <c r="P359" s="164"/>
      <c r="Q359" s="164"/>
      <c r="R359" s="164"/>
      <c r="S359" s="164"/>
      <c r="T359" s="164"/>
      <c r="U359" s="164"/>
      <c r="V359" s="164"/>
      <c r="X359" s="71" t="s">
        <v>96</v>
      </c>
      <c r="Y359" s="164" t="str">
        <f>C359</f>
        <v>Clinic 14</v>
      </c>
      <c r="Z359" s="164"/>
      <c r="AA359" s="164"/>
      <c r="AB359" s="164"/>
      <c r="AC359" s="164"/>
      <c r="AD359" s="164"/>
      <c r="AE359" s="164"/>
      <c r="AF359" s="164"/>
      <c r="AG359" s="164"/>
    </row>
    <row r="360" spans="2:33" hidden="1" x14ac:dyDescent="0.25">
      <c r="B360" s="4" t="s">
        <v>16</v>
      </c>
      <c r="C360" s="5" t="s">
        <v>15</v>
      </c>
      <c r="D360" s="5" t="s">
        <v>14</v>
      </c>
      <c r="E360" s="5" t="s">
        <v>13</v>
      </c>
      <c r="F360" s="5" t="s">
        <v>12</v>
      </c>
      <c r="G360" s="5" t="s">
        <v>94</v>
      </c>
      <c r="H360" s="5" t="s">
        <v>95</v>
      </c>
      <c r="I360" s="5" t="s">
        <v>38</v>
      </c>
      <c r="J360" s="5" t="s">
        <v>9</v>
      </c>
      <c r="K360" s="5" t="s">
        <v>80</v>
      </c>
      <c r="M360" s="4" t="s">
        <v>16</v>
      </c>
      <c r="N360" s="5" t="s">
        <v>15</v>
      </c>
      <c r="O360" s="5" t="s">
        <v>14</v>
      </c>
      <c r="P360" s="5" t="s">
        <v>13</v>
      </c>
      <c r="Q360" s="5" t="s">
        <v>12</v>
      </c>
      <c r="R360" s="5" t="s">
        <v>94</v>
      </c>
      <c r="S360" s="5" t="s">
        <v>95</v>
      </c>
      <c r="T360" s="5" t="s">
        <v>38</v>
      </c>
      <c r="U360" s="5" t="s">
        <v>9</v>
      </c>
      <c r="V360" s="5" t="s">
        <v>80</v>
      </c>
      <c r="X360" s="4" t="s">
        <v>16</v>
      </c>
      <c r="Y360" s="5" t="s">
        <v>15</v>
      </c>
      <c r="Z360" s="5" t="s">
        <v>14</v>
      </c>
      <c r="AA360" s="5" t="s">
        <v>13</v>
      </c>
      <c r="AB360" s="5" t="s">
        <v>12</v>
      </c>
      <c r="AC360" s="5" t="s">
        <v>94</v>
      </c>
      <c r="AD360" s="5" t="s">
        <v>95</v>
      </c>
      <c r="AE360" s="5" t="s">
        <v>38</v>
      </c>
      <c r="AF360" s="5" t="s">
        <v>9</v>
      </c>
      <c r="AG360" s="5" t="s">
        <v>80</v>
      </c>
    </row>
    <row r="361" spans="2:33" hidden="1" x14ac:dyDescent="0.25">
      <c r="B361" s="1" t="s">
        <v>335</v>
      </c>
      <c r="C361" s="2"/>
      <c r="D361" s="2"/>
      <c r="E361" s="2"/>
      <c r="F361" s="2"/>
      <c r="G361" s="2"/>
      <c r="H361" s="2"/>
      <c r="I361" s="2"/>
      <c r="J361" s="2"/>
      <c r="K361" s="2">
        <f>SUM(C361:J361)</f>
        <v>0</v>
      </c>
      <c r="M361" s="1" t="s">
        <v>335</v>
      </c>
      <c r="N361" s="2"/>
      <c r="O361" s="2"/>
      <c r="P361" s="2"/>
      <c r="Q361" s="2"/>
      <c r="R361" s="2"/>
      <c r="S361" s="2"/>
      <c r="T361" s="2"/>
      <c r="U361" s="2"/>
      <c r="V361" s="2">
        <f>SUM(N361:U361)</f>
        <v>0</v>
      </c>
      <c r="X361" s="1" t="s">
        <v>49</v>
      </c>
      <c r="Y361" s="2">
        <f t="shared" ref="Y361:Y380" si="182">C361-N361</f>
        <v>0</v>
      </c>
      <c r="Z361" s="2">
        <f t="shared" ref="Z361:Z380" si="183">D361-O361</f>
        <v>0</v>
      </c>
      <c r="AA361" s="2">
        <f t="shared" ref="AA361:AA380" si="184">E361-P361</f>
        <v>0</v>
      </c>
      <c r="AB361" s="2">
        <f t="shared" ref="AB361:AB380" si="185">F361-Q361</f>
        <v>0</v>
      </c>
      <c r="AC361" s="2">
        <f t="shared" ref="AC361:AC380" si="186">G361-R361</f>
        <v>0</v>
      </c>
      <c r="AD361" s="2">
        <f t="shared" ref="AD361:AD380" si="187">H361-S361</f>
        <v>0</v>
      </c>
      <c r="AE361" s="2">
        <f t="shared" ref="AE361:AE380" si="188">I361-T361</f>
        <v>0</v>
      </c>
      <c r="AF361" s="2">
        <f t="shared" ref="AF361:AF380" si="189">J361-U361</f>
        <v>0</v>
      </c>
      <c r="AG361" s="2">
        <f>SUM(Y361:AF361)</f>
        <v>0</v>
      </c>
    </row>
    <row r="362" spans="2:33" hidden="1" x14ac:dyDescent="0.25">
      <c r="B362" s="1" t="s">
        <v>8</v>
      </c>
      <c r="C362" s="2"/>
      <c r="D362" s="2"/>
      <c r="E362" s="2"/>
      <c r="F362" s="2"/>
      <c r="G362" s="2"/>
      <c r="H362" s="2"/>
      <c r="I362" s="2"/>
      <c r="J362" s="2"/>
      <c r="K362" s="2">
        <f t="shared" ref="K362:K380" si="190">SUM(C362:J362)</f>
        <v>0</v>
      </c>
      <c r="M362" s="1" t="s">
        <v>8</v>
      </c>
      <c r="N362" s="2"/>
      <c r="O362" s="2"/>
      <c r="P362" s="2"/>
      <c r="Q362" s="2"/>
      <c r="R362" s="2"/>
      <c r="S362" s="2"/>
      <c r="T362" s="2"/>
      <c r="U362" s="2"/>
      <c r="V362" s="2">
        <f t="shared" ref="V362:V380" si="191">SUM(N362:U362)</f>
        <v>0</v>
      </c>
      <c r="X362" s="1" t="s">
        <v>8</v>
      </c>
      <c r="Y362" s="2">
        <f t="shared" si="182"/>
        <v>0</v>
      </c>
      <c r="Z362" s="2">
        <f t="shared" si="183"/>
        <v>0</v>
      </c>
      <c r="AA362" s="2">
        <f t="shared" si="184"/>
        <v>0</v>
      </c>
      <c r="AB362" s="2">
        <f t="shared" si="185"/>
        <v>0</v>
      </c>
      <c r="AC362" s="2">
        <f t="shared" si="186"/>
        <v>0</v>
      </c>
      <c r="AD362" s="2">
        <f t="shared" si="187"/>
        <v>0</v>
      </c>
      <c r="AE362" s="2">
        <f t="shared" si="188"/>
        <v>0</v>
      </c>
      <c r="AF362" s="2">
        <f t="shared" si="189"/>
        <v>0</v>
      </c>
      <c r="AG362" s="2">
        <f t="shared" ref="AG362:AG380" si="192">SUM(Y362:AF362)</f>
        <v>0</v>
      </c>
    </row>
    <row r="363" spans="2:33" hidden="1" x14ac:dyDescent="0.25">
      <c r="B363" s="1" t="s">
        <v>336</v>
      </c>
      <c r="C363" s="2"/>
      <c r="D363" s="2"/>
      <c r="E363" s="2"/>
      <c r="F363" s="2"/>
      <c r="G363" s="2"/>
      <c r="H363" s="2"/>
      <c r="I363" s="2"/>
      <c r="J363" s="2"/>
      <c r="K363" s="2">
        <f t="shared" si="190"/>
        <v>0</v>
      </c>
      <c r="M363" s="1" t="s">
        <v>336</v>
      </c>
      <c r="N363" s="2"/>
      <c r="O363" s="2"/>
      <c r="P363" s="2"/>
      <c r="Q363" s="2"/>
      <c r="R363" s="2"/>
      <c r="S363" s="2"/>
      <c r="T363" s="2"/>
      <c r="U363" s="2"/>
      <c r="V363" s="2">
        <f t="shared" si="191"/>
        <v>0</v>
      </c>
      <c r="X363" s="1" t="s">
        <v>7</v>
      </c>
      <c r="Y363" s="2">
        <f t="shared" si="182"/>
        <v>0</v>
      </c>
      <c r="Z363" s="2">
        <f t="shared" si="183"/>
        <v>0</v>
      </c>
      <c r="AA363" s="2">
        <f t="shared" si="184"/>
        <v>0</v>
      </c>
      <c r="AB363" s="2">
        <f t="shared" si="185"/>
        <v>0</v>
      </c>
      <c r="AC363" s="2">
        <f t="shared" si="186"/>
        <v>0</v>
      </c>
      <c r="AD363" s="2">
        <f t="shared" si="187"/>
        <v>0</v>
      </c>
      <c r="AE363" s="2">
        <f t="shared" si="188"/>
        <v>0</v>
      </c>
      <c r="AF363" s="2">
        <f t="shared" si="189"/>
        <v>0</v>
      </c>
      <c r="AG363" s="2">
        <f t="shared" si="192"/>
        <v>0</v>
      </c>
    </row>
    <row r="364" spans="2:33" hidden="1" x14ac:dyDescent="0.25">
      <c r="B364" s="1" t="s">
        <v>42</v>
      </c>
      <c r="C364" s="2"/>
      <c r="D364" s="2"/>
      <c r="E364" s="2"/>
      <c r="F364" s="2"/>
      <c r="G364" s="2"/>
      <c r="H364" s="2"/>
      <c r="I364" s="2"/>
      <c r="J364" s="2"/>
      <c r="K364" s="2">
        <f t="shared" si="190"/>
        <v>0</v>
      </c>
      <c r="M364" s="1" t="s">
        <v>42</v>
      </c>
      <c r="N364" s="2"/>
      <c r="O364" s="2"/>
      <c r="P364" s="2"/>
      <c r="Q364" s="2"/>
      <c r="R364" s="2"/>
      <c r="S364" s="2"/>
      <c r="T364" s="2"/>
      <c r="U364" s="2"/>
      <c r="V364" s="2">
        <f t="shared" si="191"/>
        <v>0</v>
      </c>
      <c r="X364" s="1" t="s">
        <v>42</v>
      </c>
      <c r="Y364" s="2">
        <f t="shared" si="182"/>
        <v>0</v>
      </c>
      <c r="Z364" s="2">
        <f t="shared" si="183"/>
        <v>0</v>
      </c>
      <c r="AA364" s="2">
        <f t="shared" si="184"/>
        <v>0</v>
      </c>
      <c r="AB364" s="2">
        <f t="shared" si="185"/>
        <v>0</v>
      </c>
      <c r="AC364" s="2">
        <f t="shared" si="186"/>
        <v>0</v>
      </c>
      <c r="AD364" s="2">
        <f t="shared" si="187"/>
        <v>0</v>
      </c>
      <c r="AE364" s="2">
        <f t="shared" si="188"/>
        <v>0</v>
      </c>
      <c r="AF364" s="2">
        <f t="shared" si="189"/>
        <v>0</v>
      </c>
      <c r="AG364" s="2">
        <f t="shared" si="192"/>
        <v>0</v>
      </c>
    </row>
    <row r="365" spans="2:33" hidden="1" x14ac:dyDescent="0.25">
      <c r="B365" s="1" t="s">
        <v>6</v>
      </c>
      <c r="C365" s="2"/>
      <c r="D365" s="2"/>
      <c r="E365" s="2"/>
      <c r="F365" s="2"/>
      <c r="G365" s="2"/>
      <c r="H365" s="2"/>
      <c r="I365" s="2"/>
      <c r="J365" s="2"/>
      <c r="K365" s="2">
        <f t="shared" si="190"/>
        <v>0</v>
      </c>
      <c r="M365" s="1" t="s">
        <v>6</v>
      </c>
      <c r="N365" s="2"/>
      <c r="O365" s="2"/>
      <c r="P365" s="2"/>
      <c r="Q365" s="2"/>
      <c r="R365" s="2"/>
      <c r="S365" s="2"/>
      <c r="T365" s="2"/>
      <c r="U365" s="2"/>
      <c r="V365" s="2">
        <f t="shared" si="191"/>
        <v>0</v>
      </c>
      <c r="X365" s="1" t="s">
        <v>6</v>
      </c>
      <c r="Y365" s="2">
        <f t="shared" si="182"/>
        <v>0</v>
      </c>
      <c r="Z365" s="2">
        <f t="shared" si="183"/>
        <v>0</v>
      </c>
      <c r="AA365" s="2">
        <f t="shared" si="184"/>
        <v>0</v>
      </c>
      <c r="AB365" s="2">
        <f t="shared" si="185"/>
        <v>0</v>
      </c>
      <c r="AC365" s="2">
        <f t="shared" si="186"/>
        <v>0</v>
      </c>
      <c r="AD365" s="2">
        <f t="shared" si="187"/>
        <v>0</v>
      </c>
      <c r="AE365" s="2">
        <f t="shared" si="188"/>
        <v>0</v>
      </c>
      <c r="AF365" s="2">
        <f t="shared" si="189"/>
        <v>0</v>
      </c>
      <c r="AG365" s="2">
        <f t="shared" si="192"/>
        <v>0</v>
      </c>
    </row>
    <row r="366" spans="2:33" hidden="1" x14ac:dyDescent="0.25">
      <c r="B366" s="1" t="s">
        <v>90</v>
      </c>
      <c r="C366" s="2"/>
      <c r="D366" s="2"/>
      <c r="E366" s="2"/>
      <c r="F366" s="2"/>
      <c r="G366" s="2"/>
      <c r="H366" s="2"/>
      <c r="I366" s="2"/>
      <c r="J366" s="2"/>
      <c r="K366" s="2">
        <f t="shared" si="190"/>
        <v>0</v>
      </c>
      <c r="M366" s="1" t="s">
        <v>90</v>
      </c>
      <c r="N366" s="2"/>
      <c r="O366" s="2"/>
      <c r="P366" s="2"/>
      <c r="Q366" s="2"/>
      <c r="R366" s="2"/>
      <c r="S366" s="2"/>
      <c r="T366" s="2"/>
      <c r="U366" s="2"/>
      <c r="V366" s="2">
        <f t="shared" si="191"/>
        <v>0</v>
      </c>
      <c r="X366" s="1" t="s">
        <v>90</v>
      </c>
      <c r="Y366" s="2">
        <f t="shared" si="182"/>
        <v>0</v>
      </c>
      <c r="Z366" s="2">
        <f t="shared" si="183"/>
        <v>0</v>
      </c>
      <c r="AA366" s="2">
        <f t="shared" si="184"/>
        <v>0</v>
      </c>
      <c r="AB366" s="2">
        <f t="shared" si="185"/>
        <v>0</v>
      </c>
      <c r="AC366" s="2">
        <f t="shared" si="186"/>
        <v>0</v>
      </c>
      <c r="AD366" s="2">
        <f t="shared" si="187"/>
        <v>0</v>
      </c>
      <c r="AE366" s="2">
        <f t="shared" si="188"/>
        <v>0</v>
      </c>
      <c r="AF366" s="2">
        <f t="shared" si="189"/>
        <v>0</v>
      </c>
      <c r="AG366" s="2">
        <f t="shared" si="192"/>
        <v>0</v>
      </c>
    </row>
    <row r="367" spans="2:33" hidden="1" x14ac:dyDescent="0.25">
      <c r="B367" s="1" t="s">
        <v>342</v>
      </c>
      <c r="C367" s="2"/>
      <c r="D367" s="2"/>
      <c r="E367" s="2"/>
      <c r="F367" s="2"/>
      <c r="G367" s="2"/>
      <c r="H367" s="2"/>
      <c r="I367" s="2"/>
      <c r="J367" s="2"/>
      <c r="K367" s="2">
        <f t="shared" si="190"/>
        <v>0</v>
      </c>
      <c r="M367" s="1" t="s">
        <v>342</v>
      </c>
      <c r="N367" s="2"/>
      <c r="O367" s="2"/>
      <c r="P367" s="2"/>
      <c r="Q367" s="2"/>
      <c r="R367" s="2"/>
      <c r="S367" s="2"/>
      <c r="T367" s="2"/>
      <c r="U367" s="2"/>
      <c r="V367" s="2">
        <f t="shared" si="191"/>
        <v>0</v>
      </c>
      <c r="X367" s="1" t="s">
        <v>50</v>
      </c>
      <c r="Y367" s="2">
        <f t="shared" si="182"/>
        <v>0</v>
      </c>
      <c r="Z367" s="2">
        <f t="shared" si="183"/>
        <v>0</v>
      </c>
      <c r="AA367" s="2">
        <f t="shared" si="184"/>
        <v>0</v>
      </c>
      <c r="AB367" s="2">
        <f t="shared" si="185"/>
        <v>0</v>
      </c>
      <c r="AC367" s="2">
        <f t="shared" si="186"/>
        <v>0</v>
      </c>
      <c r="AD367" s="2">
        <f t="shared" si="187"/>
        <v>0</v>
      </c>
      <c r="AE367" s="2">
        <f t="shared" si="188"/>
        <v>0</v>
      </c>
      <c r="AF367" s="2">
        <f t="shared" si="189"/>
        <v>0</v>
      </c>
      <c r="AG367" s="2">
        <f t="shared" si="192"/>
        <v>0</v>
      </c>
    </row>
    <row r="368" spans="2:33" hidden="1" x14ac:dyDescent="0.25">
      <c r="B368" s="1" t="s">
        <v>89</v>
      </c>
      <c r="C368" s="2"/>
      <c r="D368" s="2"/>
      <c r="E368" s="2"/>
      <c r="F368" s="2"/>
      <c r="G368" s="2"/>
      <c r="H368" s="2"/>
      <c r="I368" s="2"/>
      <c r="J368" s="2"/>
      <c r="K368" s="2">
        <f t="shared" si="190"/>
        <v>0</v>
      </c>
      <c r="M368" s="1" t="s">
        <v>89</v>
      </c>
      <c r="N368" s="2"/>
      <c r="O368" s="2"/>
      <c r="P368" s="2"/>
      <c r="Q368" s="2"/>
      <c r="R368" s="2"/>
      <c r="S368" s="2"/>
      <c r="T368" s="2"/>
      <c r="U368" s="2"/>
      <c r="V368" s="2">
        <f t="shared" si="191"/>
        <v>0</v>
      </c>
      <c r="X368" s="1" t="s">
        <v>89</v>
      </c>
      <c r="Y368" s="2">
        <f t="shared" si="182"/>
        <v>0</v>
      </c>
      <c r="Z368" s="2">
        <f t="shared" si="183"/>
        <v>0</v>
      </c>
      <c r="AA368" s="2">
        <f t="shared" si="184"/>
        <v>0</v>
      </c>
      <c r="AB368" s="2">
        <f t="shared" si="185"/>
        <v>0</v>
      </c>
      <c r="AC368" s="2">
        <f t="shared" si="186"/>
        <v>0</v>
      </c>
      <c r="AD368" s="2">
        <f t="shared" si="187"/>
        <v>0</v>
      </c>
      <c r="AE368" s="2">
        <f t="shared" si="188"/>
        <v>0</v>
      </c>
      <c r="AF368" s="2">
        <f t="shared" si="189"/>
        <v>0</v>
      </c>
      <c r="AG368" s="2">
        <f t="shared" si="192"/>
        <v>0</v>
      </c>
    </row>
    <row r="369" spans="2:33" hidden="1" x14ac:dyDescent="0.25">
      <c r="B369" s="1" t="s">
        <v>5</v>
      </c>
      <c r="C369" s="2"/>
      <c r="D369" s="2"/>
      <c r="E369" s="2"/>
      <c r="F369" s="2"/>
      <c r="G369" s="2"/>
      <c r="H369" s="2"/>
      <c r="I369" s="2"/>
      <c r="J369" s="2"/>
      <c r="K369" s="2">
        <f t="shared" si="190"/>
        <v>0</v>
      </c>
      <c r="M369" s="1" t="s">
        <v>5</v>
      </c>
      <c r="N369" s="2"/>
      <c r="O369" s="2"/>
      <c r="P369" s="2"/>
      <c r="Q369" s="2"/>
      <c r="R369" s="2"/>
      <c r="S369" s="2"/>
      <c r="T369" s="2"/>
      <c r="U369" s="2"/>
      <c r="V369" s="2">
        <f t="shared" si="191"/>
        <v>0</v>
      </c>
      <c r="X369" s="1" t="s">
        <v>5</v>
      </c>
      <c r="Y369" s="2">
        <f t="shared" si="182"/>
        <v>0</v>
      </c>
      <c r="Z369" s="2">
        <f t="shared" si="183"/>
        <v>0</v>
      </c>
      <c r="AA369" s="2">
        <f t="shared" si="184"/>
        <v>0</v>
      </c>
      <c r="AB369" s="2">
        <f t="shared" si="185"/>
        <v>0</v>
      </c>
      <c r="AC369" s="2">
        <f t="shared" si="186"/>
        <v>0</v>
      </c>
      <c r="AD369" s="2">
        <f t="shared" si="187"/>
        <v>0</v>
      </c>
      <c r="AE369" s="2">
        <f t="shared" si="188"/>
        <v>0</v>
      </c>
      <c r="AF369" s="2">
        <f t="shared" si="189"/>
        <v>0</v>
      </c>
      <c r="AG369" s="2">
        <f t="shared" si="192"/>
        <v>0</v>
      </c>
    </row>
    <row r="370" spans="2:33" hidden="1" x14ac:dyDescent="0.25">
      <c r="B370" s="1" t="s">
        <v>84</v>
      </c>
      <c r="C370" s="2"/>
      <c r="D370" s="2"/>
      <c r="E370" s="2"/>
      <c r="F370" s="2"/>
      <c r="G370" s="2"/>
      <c r="H370" s="2"/>
      <c r="I370" s="2"/>
      <c r="J370" s="2"/>
      <c r="K370" s="2">
        <f t="shared" si="190"/>
        <v>0</v>
      </c>
      <c r="M370" s="1" t="s">
        <v>84</v>
      </c>
      <c r="N370" s="2"/>
      <c r="O370" s="2"/>
      <c r="P370" s="2"/>
      <c r="Q370" s="2"/>
      <c r="R370" s="2"/>
      <c r="S370" s="2"/>
      <c r="T370" s="2"/>
      <c r="U370" s="2"/>
      <c r="V370" s="2">
        <f t="shared" si="191"/>
        <v>0</v>
      </c>
      <c r="X370" s="1" t="s">
        <v>84</v>
      </c>
      <c r="Y370" s="2">
        <f t="shared" si="182"/>
        <v>0</v>
      </c>
      <c r="Z370" s="2">
        <f t="shared" si="183"/>
        <v>0</v>
      </c>
      <c r="AA370" s="2">
        <f t="shared" si="184"/>
        <v>0</v>
      </c>
      <c r="AB370" s="2">
        <f t="shared" si="185"/>
        <v>0</v>
      </c>
      <c r="AC370" s="2">
        <f t="shared" si="186"/>
        <v>0</v>
      </c>
      <c r="AD370" s="2">
        <f t="shared" si="187"/>
        <v>0</v>
      </c>
      <c r="AE370" s="2">
        <f t="shared" si="188"/>
        <v>0</v>
      </c>
      <c r="AF370" s="2">
        <f t="shared" si="189"/>
        <v>0</v>
      </c>
      <c r="AG370" s="2">
        <f t="shared" si="192"/>
        <v>0</v>
      </c>
    </row>
    <row r="371" spans="2:33" hidden="1" x14ac:dyDescent="0.25">
      <c r="B371" s="1" t="s">
        <v>4</v>
      </c>
      <c r="C371" s="2"/>
      <c r="D371" s="2"/>
      <c r="E371" s="2"/>
      <c r="F371" s="2"/>
      <c r="G371" s="2"/>
      <c r="H371" s="2"/>
      <c r="I371" s="2"/>
      <c r="J371" s="2"/>
      <c r="K371" s="2">
        <f t="shared" si="190"/>
        <v>0</v>
      </c>
      <c r="M371" s="1" t="s">
        <v>4</v>
      </c>
      <c r="N371" s="2"/>
      <c r="O371" s="2"/>
      <c r="P371" s="2"/>
      <c r="Q371" s="2"/>
      <c r="R371" s="2"/>
      <c r="S371" s="2"/>
      <c r="T371" s="2"/>
      <c r="U371" s="2"/>
      <c r="V371" s="2">
        <f t="shared" si="191"/>
        <v>0</v>
      </c>
      <c r="X371" s="1" t="s">
        <v>4</v>
      </c>
      <c r="Y371" s="2">
        <f t="shared" si="182"/>
        <v>0</v>
      </c>
      <c r="Z371" s="2">
        <f t="shared" si="183"/>
        <v>0</v>
      </c>
      <c r="AA371" s="2">
        <f t="shared" si="184"/>
        <v>0</v>
      </c>
      <c r="AB371" s="2">
        <f t="shared" si="185"/>
        <v>0</v>
      </c>
      <c r="AC371" s="2">
        <f t="shared" si="186"/>
        <v>0</v>
      </c>
      <c r="AD371" s="2">
        <f t="shared" si="187"/>
        <v>0</v>
      </c>
      <c r="AE371" s="2">
        <f t="shared" si="188"/>
        <v>0</v>
      </c>
      <c r="AF371" s="2">
        <f t="shared" si="189"/>
        <v>0</v>
      </c>
      <c r="AG371" s="2">
        <f t="shared" si="192"/>
        <v>0</v>
      </c>
    </row>
    <row r="372" spans="2:33" hidden="1" x14ac:dyDescent="0.25">
      <c r="B372" s="1" t="s">
        <v>51</v>
      </c>
      <c r="C372" s="2"/>
      <c r="D372" s="2"/>
      <c r="E372" s="2"/>
      <c r="F372" s="2"/>
      <c r="G372" s="2"/>
      <c r="H372" s="2"/>
      <c r="I372" s="2"/>
      <c r="J372" s="2"/>
      <c r="K372" s="2">
        <f t="shared" si="190"/>
        <v>0</v>
      </c>
      <c r="M372" s="1" t="s">
        <v>51</v>
      </c>
      <c r="N372" s="2"/>
      <c r="O372" s="2"/>
      <c r="P372" s="2"/>
      <c r="Q372" s="2"/>
      <c r="R372" s="2"/>
      <c r="S372" s="2"/>
      <c r="T372" s="2"/>
      <c r="U372" s="2"/>
      <c r="V372" s="2">
        <f t="shared" si="191"/>
        <v>0</v>
      </c>
      <c r="X372" s="1" t="s">
        <v>51</v>
      </c>
      <c r="Y372" s="2">
        <f t="shared" si="182"/>
        <v>0</v>
      </c>
      <c r="Z372" s="2">
        <f t="shared" si="183"/>
        <v>0</v>
      </c>
      <c r="AA372" s="2">
        <f t="shared" si="184"/>
        <v>0</v>
      </c>
      <c r="AB372" s="2">
        <f t="shared" si="185"/>
        <v>0</v>
      </c>
      <c r="AC372" s="2">
        <f t="shared" si="186"/>
        <v>0</v>
      </c>
      <c r="AD372" s="2">
        <f t="shared" si="187"/>
        <v>0</v>
      </c>
      <c r="AE372" s="2">
        <f t="shared" si="188"/>
        <v>0</v>
      </c>
      <c r="AF372" s="2">
        <f t="shared" si="189"/>
        <v>0</v>
      </c>
      <c r="AG372" s="2">
        <f t="shared" si="192"/>
        <v>0</v>
      </c>
    </row>
    <row r="373" spans="2:33" hidden="1" x14ac:dyDescent="0.25">
      <c r="B373" s="1" t="s">
        <v>87</v>
      </c>
      <c r="C373" s="2"/>
      <c r="D373" s="2"/>
      <c r="E373" s="2"/>
      <c r="F373" s="2"/>
      <c r="G373" s="2"/>
      <c r="H373" s="2"/>
      <c r="I373" s="2"/>
      <c r="J373" s="2"/>
      <c r="K373" s="2">
        <f t="shared" si="190"/>
        <v>0</v>
      </c>
      <c r="M373" s="1" t="s">
        <v>87</v>
      </c>
      <c r="N373" s="2"/>
      <c r="O373" s="2"/>
      <c r="P373" s="2"/>
      <c r="Q373" s="2"/>
      <c r="R373" s="2"/>
      <c r="S373" s="2"/>
      <c r="T373" s="2"/>
      <c r="U373" s="2"/>
      <c r="V373" s="2">
        <f t="shared" si="191"/>
        <v>0</v>
      </c>
      <c r="X373" s="1" t="s">
        <v>87</v>
      </c>
      <c r="Y373" s="2">
        <f t="shared" si="182"/>
        <v>0</v>
      </c>
      <c r="Z373" s="2">
        <f t="shared" si="183"/>
        <v>0</v>
      </c>
      <c r="AA373" s="2">
        <f t="shared" si="184"/>
        <v>0</v>
      </c>
      <c r="AB373" s="2">
        <f t="shared" si="185"/>
        <v>0</v>
      </c>
      <c r="AC373" s="2">
        <f t="shared" si="186"/>
        <v>0</v>
      </c>
      <c r="AD373" s="2">
        <f t="shared" si="187"/>
        <v>0</v>
      </c>
      <c r="AE373" s="2">
        <f t="shared" si="188"/>
        <v>0</v>
      </c>
      <c r="AF373" s="2">
        <f t="shared" si="189"/>
        <v>0</v>
      </c>
      <c r="AG373" s="2">
        <f t="shared" si="192"/>
        <v>0</v>
      </c>
    </row>
    <row r="374" spans="2:33" hidden="1" x14ac:dyDescent="0.25">
      <c r="B374" s="1" t="s">
        <v>85</v>
      </c>
      <c r="C374" s="2"/>
      <c r="D374" s="2"/>
      <c r="E374" s="2"/>
      <c r="F374" s="2"/>
      <c r="G374" s="2"/>
      <c r="H374" s="2"/>
      <c r="I374" s="2"/>
      <c r="J374" s="2"/>
      <c r="K374" s="2">
        <f t="shared" si="190"/>
        <v>0</v>
      </c>
      <c r="M374" s="1" t="s">
        <v>85</v>
      </c>
      <c r="N374" s="2"/>
      <c r="O374" s="2"/>
      <c r="P374" s="2"/>
      <c r="Q374" s="2"/>
      <c r="R374" s="2"/>
      <c r="S374" s="2"/>
      <c r="T374" s="2"/>
      <c r="U374" s="2"/>
      <c r="V374" s="2">
        <f t="shared" si="191"/>
        <v>0</v>
      </c>
      <c r="X374" s="1" t="s">
        <v>85</v>
      </c>
      <c r="Y374" s="2">
        <f t="shared" si="182"/>
        <v>0</v>
      </c>
      <c r="Z374" s="2">
        <f t="shared" si="183"/>
        <v>0</v>
      </c>
      <c r="AA374" s="2">
        <f t="shared" si="184"/>
        <v>0</v>
      </c>
      <c r="AB374" s="2">
        <f t="shared" si="185"/>
        <v>0</v>
      </c>
      <c r="AC374" s="2">
        <f t="shared" si="186"/>
        <v>0</v>
      </c>
      <c r="AD374" s="2">
        <f t="shared" si="187"/>
        <v>0</v>
      </c>
      <c r="AE374" s="2">
        <f t="shared" si="188"/>
        <v>0</v>
      </c>
      <c r="AF374" s="2">
        <f t="shared" si="189"/>
        <v>0</v>
      </c>
      <c r="AG374" s="2">
        <f t="shared" si="192"/>
        <v>0</v>
      </c>
    </row>
    <row r="375" spans="2:33" hidden="1" x14ac:dyDescent="0.25">
      <c r="B375" s="1" t="s">
        <v>2</v>
      </c>
      <c r="C375" s="2"/>
      <c r="D375" s="2"/>
      <c r="E375" s="2"/>
      <c r="F375" s="2"/>
      <c r="G375" s="2"/>
      <c r="H375" s="2"/>
      <c r="I375" s="2"/>
      <c r="J375" s="2"/>
      <c r="K375" s="2">
        <f t="shared" si="190"/>
        <v>0</v>
      </c>
      <c r="M375" s="1" t="s">
        <v>2</v>
      </c>
      <c r="N375" s="2"/>
      <c r="O375" s="2"/>
      <c r="P375" s="2"/>
      <c r="Q375" s="2"/>
      <c r="R375" s="2"/>
      <c r="S375" s="2"/>
      <c r="T375" s="2"/>
      <c r="U375" s="2"/>
      <c r="V375" s="2">
        <f t="shared" si="191"/>
        <v>0</v>
      </c>
      <c r="X375" s="1" t="s">
        <v>2</v>
      </c>
      <c r="Y375" s="2">
        <f t="shared" si="182"/>
        <v>0</v>
      </c>
      <c r="Z375" s="2">
        <f t="shared" si="183"/>
        <v>0</v>
      </c>
      <c r="AA375" s="2">
        <f t="shared" si="184"/>
        <v>0</v>
      </c>
      <c r="AB375" s="2">
        <f t="shared" si="185"/>
        <v>0</v>
      </c>
      <c r="AC375" s="2">
        <f t="shared" si="186"/>
        <v>0</v>
      </c>
      <c r="AD375" s="2">
        <f t="shared" si="187"/>
        <v>0</v>
      </c>
      <c r="AE375" s="2">
        <f t="shared" si="188"/>
        <v>0</v>
      </c>
      <c r="AF375" s="2">
        <f t="shared" si="189"/>
        <v>0</v>
      </c>
      <c r="AG375" s="2">
        <f t="shared" si="192"/>
        <v>0</v>
      </c>
    </row>
    <row r="376" spans="2:33" hidden="1" x14ac:dyDescent="0.25">
      <c r="B376" s="1" t="s">
        <v>86</v>
      </c>
      <c r="C376" s="2"/>
      <c r="D376" s="2"/>
      <c r="E376" s="2"/>
      <c r="F376" s="2"/>
      <c r="G376" s="2"/>
      <c r="H376" s="2"/>
      <c r="I376" s="2"/>
      <c r="J376" s="2"/>
      <c r="K376" s="2">
        <f t="shared" si="190"/>
        <v>0</v>
      </c>
      <c r="M376" s="1" t="s">
        <v>86</v>
      </c>
      <c r="N376" s="2"/>
      <c r="O376" s="2"/>
      <c r="P376" s="2"/>
      <c r="Q376" s="2"/>
      <c r="R376" s="2"/>
      <c r="S376" s="2"/>
      <c r="T376" s="2"/>
      <c r="U376" s="2"/>
      <c r="V376" s="2">
        <f t="shared" si="191"/>
        <v>0</v>
      </c>
      <c r="X376" s="1" t="s">
        <v>86</v>
      </c>
      <c r="Y376" s="2">
        <f t="shared" si="182"/>
        <v>0</v>
      </c>
      <c r="Z376" s="2">
        <f t="shared" si="183"/>
        <v>0</v>
      </c>
      <c r="AA376" s="2">
        <f t="shared" si="184"/>
        <v>0</v>
      </c>
      <c r="AB376" s="2">
        <f t="shared" si="185"/>
        <v>0</v>
      </c>
      <c r="AC376" s="2">
        <f t="shared" si="186"/>
        <v>0</v>
      </c>
      <c r="AD376" s="2">
        <f t="shared" si="187"/>
        <v>0</v>
      </c>
      <c r="AE376" s="2">
        <f t="shared" si="188"/>
        <v>0</v>
      </c>
      <c r="AF376" s="2">
        <f t="shared" si="189"/>
        <v>0</v>
      </c>
      <c r="AG376" s="2">
        <f t="shared" si="192"/>
        <v>0</v>
      </c>
    </row>
    <row r="377" spans="2:33" hidden="1" x14ac:dyDescent="0.25">
      <c r="B377" s="1" t="s">
        <v>29</v>
      </c>
      <c r="C377" s="2"/>
      <c r="D377" s="2"/>
      <c r="E377" s="2"/>
      <c r="F377" s="2"/>
      <c r="G377" s="2"/>
      <c r="H377" s="2"/>
      <c r="I377" s="2"/>
      <c r="J377" s="2"/>
      <c r="K377" s="2">
        <f t="shared" si="190"/>
        <v>0</v>
      </c>
      <c r="M377" s="1" t="s">
        <v>29</v>
      </c>
      <c r="N377" s="2"/>
      <c r="O377" s="2"/>
      <c r="P377" s="2"/>
      <c r="Q377" s="2"/>
      <c r="R377" s="2"/>
      <c r="S377" s="2"/>
      <c r="T377" s="2"/>
      <c r="U377" s="2"/>
      <c r="V377" s="2">
        <f t="shared" si="191"/>
        <v>0</v>
      </c>
      <c r="X377" s="1" t="s">
        <v>29</v>
      </c>
      <c r="Y377" s="2">
        <f t="shared" si="182"/>
        <v>0</v>
      </c>
      <c r="Z377" s="2">
        <f t="shared" si="183"/>
        <v>0</v>
      </c>
      <c r="AA377" s="2">
        <f t="shared" si="184"/>
        <v>0</v>
      </c>
      <c r="AB377" s="2">
        <f t="shared" si="185"/>
        <v>0</v>
      </c>
      <c r="AC377" s="2">
        <f t="shared" si="186"/>
        <v>0</v>
      </c>
      <c r="AD377" s="2">
        <f t="shared" si="187"/>
        <v>0</v>
      </c>
      <c r="AE377" s="2">
        <f t="shared" si="188"/>
        <v>0</v>
      </c>
      <c r="AF377" s="2">
        <f t="shared" si="189"/>
        <v>0</v>
      </c>
      <c r="AG377" s="2">
        <f t="shared" si="192"/>
        <v>0</v>
      </c>
    </row>
    <row r="378" spans="2:33" hidden="1" x14ac:dyDescent="0.25">
      <c r="B378" s="1" t="s">
        <v>88</v>
      </c>
      <c r="C378" s="2"/>
      <c r="D378" s="2"/>
      <c r="E378" s="2"/>
      <c r="F378" s="2"/>
      <c r="G378" s="2"/>
      <c r="H378" s="2"/>
      <c r="I378" s="2"/>
      <c r="J378" s="2"/>
      <c r="K378" s="2">
        <f t="shared" si="190"/>
        <v>0</v>
      </c>
      <c r="M378" s="1" t="s">
        <v>88</v>
      </c>
      <c r="N378" s="2"/>
      <c r="O378" s="2"/>
      <c r="P378" s="2"/>
      <c r="Q378" s="2"/>
      <c r="R378" s="2"/>
      <c r="S378" s="2"/>
      <c r="T378" s="2"/>
      <c r="U378" s="2"/>
      <c r="V378" s="2">
        <f t="shared" si="191"/>
        <v>0</v>
      </c>
      <c r="X378" s="1" t="s">
        <v>52</v>
      </c>
      <c r="Y378" s="2">
        <f t="shared" si="182"/>
        <v>0</v>
      </c>
      <c r="Z378" s="2">
        <f t="shared" si="183"/>
        <v>0</v>
      </c>
      <c r="AA378" s="2">
        <f t="shared" si="184"/>
        <v>0</v>
      </c>
      <c r="AB378" s="2">
        <f t="shared" si="185"/>
        <v>0</v>
      </c>
      <c r="AC378" s="2">
        <f t="shared" si="186"/>
        <v>0</v>
      </c>
      <c r="AD378" s="2">
        <f t="shared" si="187"/>
        <v>0</v>
      </c>
      <c r="AE378" s="2">
        <f t="shared" si="188"/>
        <v>0</v>
      </c>
      <c r="AF378" s="2">
        <f t="shared" si="189"/>
        <v>0</v>
      </c>
      <c r="AG378" s="2">
        <f t="shared" si="192"/>
        <v>0</v>
      </c>
    </row>
    <row r="379" spans="2:33" hidden="1" x14ac:dyDescent="0.25">
      <c r="B379" s="1" t="s">
        <v>341</v>
      </c>
      <c r="C379" s="2"/>
      <c r="D379" s="2"/>
      <c r="E379" s="2"/>
      <c r="F379" s="2"/>
      <c r="G379" s="2"/>
      <c r="H379" s="2"/>
      <c r="I379" s="2"/>
      <c r="J379" s="2"/>
      <c r="K379" s="2">
        <f t="shared" si="190"/>
        <v>0</v>
      </c>
      <c r="M379" s="1" t="s">
        <v>341</v>
      </c>
      <c r="N379" s="2"/>
      <c r="O379" s="2"/>
      <c r="P379" s="2"/>
      <c r="Q379" s="2"/>
      <c r="R379" s="2"/>
      <c r="S379" s="2"/>
      <c r="T379" s="2"/>
      <c r="U379" s="2"/>
      <c r="V379" s="2">
        <f t="shared" si="191"/>
        <v>0</v>
      </c>
      <c r="X379" s="1" t="s">
        <v>88</v>
      </c>
      <c r="Y379" s="2">
        <f t="shared" si="182"/>
        <v>0</v>
      </c>
      <c r="Z379" s="2">
        <f t="shared" si="183"/>
        <v>0</v>
      </c>
      <c r="AA379" s="2">
        <f t="shared" si="184"/>
        <v>0</v>
      </c>
      <c r="AB379" s="2">
        <f t="shared" si="185"/>
        <v>0</v>
      </c>
      <c r="AC379" s="2">
        <f t="shared" si="186"/>
        <v>0</v>
      </c>
      <c r="AD379" s="2">
        <f t="shared" si="187"/>
        <v>0</v>
      </c>
      <c r="AE379" s="2">
        <f t="shared" si="188"/>
        <v>0</v>
      </c>
      <c r="AF379" s="2">
        <f t="shared" si="189"/>
        <v>0</v>
      </c>
      <c r="AG379" s="2">
        <f t="shared" si="192"/>
        <v>0</v>
      </c>
    </row>
    <row r="380" spans="2:33" hidden="1" x14ac:dyDescent="0.25">
      <c r="B380" s="1" t="s">
        <v>340</v>
      </c>
      <c r="C380" s="2"/>
      <c r="D380" s="2"/>
      <c r="E380" s="2"/>
      <c r="F380" s="2"/>
      <c r="G380" s="2"/>
      <c r="H380" s="2"/>
      <c r="I380" s="2"/>
      <c r="J380" s="2"/>
      <c r="K380" s="2">
        <f t="shared" si="190"/>
        <v>0</v>
      </c>
      <c r="M380" s="1" t="s">
        <v>340</v>
      </c>
      <c r="N380" s="2"/>
      <c r="O380" s="2"/>
      <c r="P380" s="2"/>
      <c r="Q380" s="2"/>
      <c r="R380" s="2"/>
      <c r="S380" s="2"/>
      <c r="T380" s="2"/>
      <c r="U380" s="2"/>
      <c r="V380" s="2">
        <f t="shared" si="191"/>
        <v>0</v>
      </c>
      <c r="X380" s="1" t="s">
        <v>1</v>
      </c>
      <c r="Y380" s="2">
        <f t="shared" si="182"/>
        <v>0</v>
      </c>
      <c r="Z380" s="2">
        <f t="shared" si="183"/>
        <v>0</v>
      </c>
      <c r="AA380" s="2">
        <f t="shared" si="184"/>
        <v>0</v>
      </c>
      <c r="AB380" s="2">
        <f t="shared" si="185"/>
        <v>0</v>
      </c>
      <c r="AC380" s="2">
        <f t="shared" si="186"/>
        <v>0</v>
      </c>
      <c r="AD380" s="2">
        <f t="shared" si="187"/>
        <v>0</v>
      </c>
      <c r="AE380" s="2">
        <f t="shared" si="188"/>
        <v>0</v>
      </c>
      <c r="AF380" s="2">
        <f t="shared" si="189"/>
        <v>0</v>
      </c>
      <c r="AG380" s="2">
        <f t="shared" si="192"/>
        <v>0</v>
      </c>
    </row>
    <row r="381" spans="2:33" ht="15.75" hidden="1" thickBot="1" x14ac:dyDescent="0.3">
      <c r="C381" s="69">
        <f>SUM(C361:C380)</f>
        <v>0</v>
      </c>
      <c r="D381" s="69">
        <f t="shared" ref="D381:J381" si="193">SUM(D361:D380)</f>
        <v>0</v>
      </c>
      <c r="E381" s="69">
        <f t="shared" si="193"/>
        <v>0</v>
      </c>
      <c r="F381" s="69">
        <f t="shared" si="193"/>
        <v>0</v>
      </c>
      <c r="G381" s="69">
        <f t="shared" si="193"/>
        <v>0</v>
      </c>
      <c r="H381" s="69">
        <f t="shared" si="193"/>
        <v>0</v>
      </c>
      <c r="I381" s="69">
        <f t="shared" si="193"/>
        <v>0</v>
      </c>
      <c r="J381" s="69">
        <f t="shared" si="193"/>
        <v>0</v>
      </c>
      <c r="K381" s="69">
        <f>SUM(K361:K380)</f>
        <v>0</v>
      </c>
      <c r="N381" s="69">
        <f>SUM(N361:N380)</f>
        <v>0</v>
      </c>
      <c r="O381" s="69">
        <f t="shared" ref="O381:U381" si="194">SUM(O361:O380)</f>
        <v>0</v>
      </c>
      <c r="P381" s="69">
        <f t="shared" si="194"/>
        <v>0</v>
      </c>
      <c r="Q381" s="69">
        <f t="shared" si="194"/>
        <v>0</v>
      </c>
      <c r="R381" s="69">
        <f t="shared" si="194"/>
        <v>0</v>
      </c>
      <c r="S381" s="69">
        <f t="shared" si="194"/>
        <v>0</v>
      </c>
      <c r="T381" s="69">
        <f t="shared" si="194"/>
        <v>0</v>
      </c>
      <c r="U381" s="69">
        <f t="shared" si="194"/>
        <v>0</v>
      </c>
      <c r="V381" s="69">
        <f>SUM(V361:V380)</f>
        <v>0</v>
      </c>
      <c r="Y381" s="69">
        <f>SUM(Y361:Y380)</f>
        <v>0</v>
      </c>
      <c r="Z381" s="69">
        <f t="shared" ref="Z381:AF381" si="195">SUM(Z361:Z380)</f>
        <v>0</v>
      </c>
      <c r="AA381" s="69">
        <f t="shared" si="195"/>
        <v>0</v>
      </c>
      <c r="AB381" s="69">
        <f t="shared" si="195"/>
        <v>0</v>
      </c>
      <c r="AC381" s="69">
        <f t="shared" si="195"/>
        <v>0</v>
      </c>
      <c r="AD381" s="69">
        <f t="shared" si="195"/>
        <v>0</v>
      </c>
      <c r="AE381" s="69">
        <f t="shared" si="195"/>
        <v>0</v>
      </c>
      <c r="AF381" s="69">
        <f t="shared" si="195"/>
        <v>0</v>
      </c>
      <c r="AG381" s="69">
        <f>SUM(AG361:AG380)</f>
        <v>0</v>
      </c>
    </row>
    <row r="382" spans="2:33" hidden="1" x14ac:dyDescent="0.25"/>
    <row r="383" spans="2:33" hidden="1" x14ac:dyDescent="0.25"/>
    <row r="384" spans="2:33" hidden="1" x14ac:dyDescent="0.25">
      <c r="B384" s="71" t="s">
        <v>97</v>
      </c>
      <c r="C384" s="167">
        <f>$C$20</f>
        <v>45199</v>
      </c>
      <c r="D384" s="164"/>
      <c r="E384" s="164"/>
      <c r="F384" s="164"/>
      <c r="G384" s="164"/>
      <c r="H384" s="164"/>
      <c r="I384" s="164"/>
      <c r="J384" s="164"/>
      <c r="K384" s="164"/>
      <c r="M384" s="71" t="s">
        <v>97</v>
      </c>
      <c r="N384" s="178">
        <f>$N$20</f>
        <v>45169</v>
      </c>
      <c r="O384" s="179"/>
      <c r="P384" s="179"/>
      <c r="Q384" s="179"/>
      <c r="R384" s="179"/>
      <c r="S384" s="179"/>
      <c r="T384" s="179"/>
      <c r="U384" s="179"/>
      <c r="V384" s="179"/>
      <c r="X384" s="71" t="s">
        <v>97</v>
      </c>
      <c r="Y384" s="164" t="s">
        <v>98</v>
      </c>
      <c r="Z384" s="164"/>
      <c r="AA384" s="164"/>
      <c r="AB384" s="164"/>
      <c r="AC384" s="164"/>
      <c r="AD384" s="164"/>
      <c r="AE384" s="164"/>
      <c r="AF384" s="164"/>
      <c r="AG384" s="164"/>
    </row>
    <row r="385" spans="2:33" hidden="1" x14ac:dyDescent="0.25">
      <c r="B385" s="71" t="s">
        <v>96</v>
      </c>
      <c r="C385" s="164" t="str">
        <f>'Reimbursement Rates &lt;-INPUT'!P7</f>
        <v>Clinic 15</v>
      </c>
      <c r="D385" s="164"/>
      <c r="E385" s="164"/>
      <c r="F385" s="164"/>
      <c r="G385" s="164"/>
      <c r="H385" s="164"/>
      <c r="I385" s="164"/>
      <c r="J385" s="164"/>
      <c r="K385" s="164"/>
      <c r="M385" s="71" t="s">
        <v>96</v>
      </c>
      <c r="N385" s="164" t="str">
        <f>C385</f>
        <v>Clinic 15</v>
      </c>
      <c r="O385" s="164"/>
      <c r="P385" s="164"/>
      <c r="Q385" s="164"/>
      <c r="R385" s="164"/>
      <c r="S385" s="164"/>
      <c r="T385" s="164"/>
      <c r="U385" s="164"/>
      <c r="V385" s="164"/>
      <c r="X385" s="71" t="s">
        <v>96</v>
      </c>
      <c r="Y385" s="164" t="str">
        <f>C385</f>
        <v>Clinic 15</v>
      </c>
      <c r="Z385" s="164"/>
      <c r="AA385" s="164"/>
      <c r="AB385" s="164"/>
      <c r="AC385" s="164"/>
      <c r="AD385" s="164"/>
      <c r="AE385" s="164"/>
      <c r="AF385" s="164"/>
      <c r="AG385" s="164"/>
    </row>
    <row r="386" spans="2:33" hidden="1" x14ac:dyDescent="0.25">
      <c r="B386" s="4" t="s">
        <v>16</v>
      </c>
      <c r="C386" s="5" t="s">
        <v>15</v>
      </c>
      <c r="D386" s="5" t="s">
        <v>14</v>
      </c>
      <c r="E386" s="5" t="s">
        <v>13</v>
      </c>
      <c r="F386" s="5" t="s">
        <v>12</v>
      </c>
      <c r="G386" s="5" t="s">
        <v>94</v>
      </c>
      <c r="H386" s="5" t="s">
        <v>95</v>
      </c>
      <c r="I386" s="5" t="s">
        <v>38</v>
      </c>
      <c r="J386" s="5" t="s">
        <v>9</v>
      </c>
      <c r="K386" s="5" t="s">
        <v>80</v>
      </c>
      <c r="M386" s="4" t="s">
        <v>16</v>
      </c>
      <c r="N386" s="5" t="s">
        <v>15</v>
      </c>
      <c r="O386" s="5" t="s">
        <v>14</v>
      </c>
      <c r="P386" s="5" t="s">
        <v>13</v>
      </c>
      <c r="Q386" s="5" t="s">
        <v>12</v>
      </c>
      <c r="R386" s="5" t="s">
        <v>94</v>
      </c>
      <c r="S386" s="5" t="s">
        <v>95</v>
      </c>
      <c r="T386" s="5" t="s">
        <v>38</v>
      </c>
      <c r="U386" s="5" t="s">
        <v>9</v>
      </c>
      <c r="V386" s="5" t="s">
        <v>80</v>
      </c>
      <c r="X386" s="4" t="s">
        <v>16</v>
      </c>
      <c r="Y386" s="5" t="s">
        <v>15</v>
      </c>
      <c r="Z386" s="5" t="s">
        <v>14</v>
      </c>
      <c r="AA386" s="5" t="s">
        <v>13</v>
      </c>
      <c r="AB386" s="5" t="s">
        <v>12</v>
      </c>
      <c r="AC386" s="5" t="s">
        <v>94</v>
      </c>
      <c r="AD386" s="5" t="s">
        <v>95</v>
      </c>
      <c r="AE386" s="5" t="s">
        <v>38</v>
      </c>
      <c r="AF386" s="5" t="s">
        <v>9</v>
      </c>
      <c r="AG386" s="5" t="s">
        <v>80</v>
      </c>
    </row>
    <row r="387" spans="2:33" hidden="1" x14ac:dyDescent="0.25">
      <c r="B387" s="1" t="s">
        <v>335</v>
      </c>
      <c r="C387" s="2"/>
      <c r="D387" s="2"/>
      <c r="E387" s="2"/>
      <c r="F387" s="2"/>
      <c r="G387" s="2"/>
      <c r="H387" s="2"/>
      <c r="I387" s="2"/>
      <c r="J387" s="2"/>
      <c r="K387" s="2">
        <f>SUM(C387:J387)</f>
        <v>0</v>
      </c>
      <c r="M387" s="1" t="s">
        <v>335</v>
      </c>
      <c r="N387" s="2"/>
      <c r="O387" s="2"/>
      <c r="P387" s="2"/>
      <c r="Q387" s="2"/>
      <c r="R387" s="2"/>
      <c r="S387" s="2"/>
      <c r="T387" s="2"/>
      <c r="U387" s="2"/>
      <c r="V387" s="2">
        <f>SUM(N387:U387)</f>
        <v>0</v>
      </c>
      <c r="X387" s="1" t="s">
        <v>49</v>
      </c>
      <c r="Y387" s="2">
        <f t="shared" ref="Y387:Y406" si="196">C387-N387</f>
        <v>0</v>
      </c>
      <c r="Z387" s="2">
        <f t="shared" ref="Z387:Z406" si="197">D387-O387</f>
        <v>0</v>
      </c>
      <c r="AA387" s="2">
        <f t="shared" ref="AA387:AA406" si="198">E387-P387</f>
        <v>0</v>
      </c>
      <c r="AB387" s="2">
        <f t="shared" ref="AB387:AB406" si="199">F387-Q387</f>
        <v>0</v>
      </c>
      <c r="AC387" s="2">
        <f t="shared" ref="AC387:AC406" si="200">G387-R387</f>
        <v>0</v>
      </c>
      <c r="AD387" s="2">
        <f t="shared" ref="AD387:AD406" si="201">H387-S387</f>
        <v>0</v>
      </c>
      <c r="AE387" s="2">
        <f t="shared" ref="AE387:AE406" si="202">I387-T387</f>
        <v>0</v>
      </c>
      <c r="AF387" s="2">
        <f t="shared" ref="AF387:AF406" si="203">J387-U387</f>
        <v>0</v>
      </c>
      <c r="AG387" s="2">
        <f>SUM(Y387:AF387)</f>
        <v>0</v>
      </c>
    </row>
    <row r="388" spans="2:33" hidden="1" x14ac:dyDescent="0.25">
      <c r="B388" s="1" t="s">
        <v>8</v>
      </c>
      <c r="C388" s="2"/>
      <c r="D388" s="2"/>
      <c r="E388" s="2"/>
      <c r="F388" s="2"/>
      <c r="G388" s="2"/>
      <c r="H388" s="2"/>
      <c r="I388" s="2"/>
      <c r="J388" s="2"/>
      <c r="K388" s="2">
        <f t="shared" ref="K388:K406" si="204">SUM(C388:J388)</f>
        <v>0</v>
      </c>
      <c r="M388" s="1" t="s">
        <v>8</v>
      </c>
      <c r="N388" s="2"/>
      <c r="O388" s="2"/>
      <c r="P388" s="2"/>
      <c r="Q388" s="2"/>
      <c r="R388" s="2"/>
      <c r="S388" s="2"/>
      <c r="T388" s="2"/>
      <c r="U388" s="2"/>
      <c r="V388" s="2">
        <f t="shared" ref="V388:V406" si="205">SUM(N388:U388)</f>
        <v>0</v>
      </c>
      <c r="X388" s="1" t="s">
        <v>8</v>
      </c>
      <c r="Y388" s="2">
        <f t="shared" si="196"/>
        <v>0</v>
      </c>
      <c r="Z388" s="2">
        <f t="shared" si="197"/>
        <v>0</v>
      </c>
      <c r="AA388" s="2">
        <f t="shared" si="198"/>
        <v>0</v>
      </c>
      <c r="AB388" s="2">
        <f t="shared" si="199"/>
        <v>0</v>
      </c>
      <c r="AC388" s="2">
        <f t="shared" si="200"/>
        <v>0</v>
      </c>
      <c r="AD388" s="2">
        <f t="shared" si="201"/>
        <v>0</v>
      </c>
      <c r="AE388" s="2">
        <f t="shared" si="202"/>
        <v>0</v>
      </c>
      <c r="AF388" s="2">
        <f t="shared" si="203"/>
        <v>0</v>
      </c>
      <c r="AG388" s="2">
        <f t="shared" ref="AG388:AG406" si="206">SUM(Y388:AF388)</f>
        <v>0</v>
      </c>
    </row>
    <row r="389" spans="2:33" hidden="1" x14ac:dyDescent="0.25">
      <c r="B389" s="1" t="s">
        <v>336</v>
      </c>
      <c r="C389" s="2"/>
      <c r="D389" s="2"/>
      <c r="E389" s="2"/>
      <c r="F389" s="2"/>
      <c r="G389" s="2"/>
      <c r="H389" s="2"/>
      <c r="I389" s="2"/>
      <c r="J389" s="2"/>
      <c r="K389" s="2">
        <f t="shared" si="204"/>
        <v>0</v>
      </c>
      <c r="M389" s="1" t="s">
        <v>336</v>
      </c>
      <c r="N389" s="2"/>
      <c r="O389" s="2"/>
      <c r="P389" s="2"/>
      <c r="Q389" s="2"/>
      <c r="R389" s="2"/>
      <c r="S389" s="2"/>
      <c r="T389" s="2"/>
      <c r="U389" s="2"/>
      <c r="V389" s="2">
        <f t="shared" si="205"/>
        <v>0</v>
      </c>
      <c r="X389" s="1" t="s">
        <v>7</v>
      </c>
      <c r="Y389" s="2">
        <f t="shared" si="196"/>
        <v>0</v>
      </c>
      <c r="Z389" s="2">
        <f t="shared" si="197"/>
        <v>0</v>
      </c>
      <c r="AA389" s="2">
        <f t="shared" si="198"/>
        <v>0</v>
      </c>
      <c r="AB389" s="2">
        <f t="shared" si="199"/>
        <v>0</v>
      </c>
      <c r="AC389" s="2">
        <f t="shared" si="200"/>
        <v>0</v>
      </c>
      <c r="AD389" s="2">
        <f t="shared" si="201"/>
        <v>0</v>
      </c>
      <c r="AE389" s="2">
        <f t="shared" si="202"/>
        <v>0</v>
      </c>
      <c r="AF389" s="2">
        <f t="shared" si="203"/>
        <v>0</v>
      </c>
      <c r="AG389" s="2">
        <f t="shared" si="206"/>
        <v>0</v>
      </c>
    </row>
    <row r="390" spans="2:33" hidden="1" x14ac:dyDescent="0.25">
      <c r="B390" s="1" t="s">
        <v>42</v>
      </c>
      <c r="C390" s="2"/>
      <c r="D390" s="2"/>
      <c r="E390" s="2"/>
      <c r="F390" s="2"/>
      <c r="G390" s="2"/>
      <c r="H390" s="2"/>
      <c r="I390" s="2"/>
      <c r="J390" s="2"/>
      <c r="K390" s="2">
        <f t="shared" si="204"/>
        <v>0</v>
      </c>
      <c r="M390" s="1" t="s">
        <v>42</v>
      </c>
      <c r="N390" s="2"/>
      <c r="O390" s="2"/>
      <c r="P390" s="2"/>
      <c r="Q390" s="2"/>
      <c r="R390" s="2"/>
      <c r="S390" s="2"/>
      <c r="T390" s="2"/>
      <c r="U390" s="2"/>
      <c r="V390" s="2">
        <f t="shared" si="205"/>
        <v>0</v>
      </c>
      <c r="X390" s="1" t="s">
        <v>42</v>
      </c>
      <c r="Y390" s="2">
        <f t="shared" si="196"/>
        <v>0</v>
      </c>
      <c r="Z390" s="2">
        <f t="shared" si="197"/>
        <v>0</v>
      </c>
      <c r="AA390" s="2">
        <f t="shared" si="198"/>
        <v>0</v>
      </c>
      <c r="AB390" s="2">
        <f t="shared" si="199"/>
        <v>0</v>
      </c>
      <c r="AC390" s="2">
        <f t="shared" si="200"/>
        <v>0</v>
      </c>
      <c r="AD390" s="2">
        <f t="shared" si="201"/>
        <v>0</v>
      </c>
      <c r="AE390" s="2">
        <f t="shared" si="202"/>
        <v>0</v>
      </c>
      <c r="AF390" s="2">
        <f t="shared" si="203"/>
        <v>0</v>
      </c>
      <c r="AG390" s="2">
        <f t="shared" si="206"/>
        <v>0</v>
      </c>
    </row>
    <row r="391" spans="2:33" hidden="1" x14ac:dyDescent="0.25">
      <c r="B391" s="1" t="s">
        <v>6</v>
      </c>
      <c r="C391" s="2"/>
      <c r="D391" s="2"/>
      <c r="E391" s="2"/>
      <c r="F391" s="2"/>
      <c r="G391" s="2"/>
      <c r="H391" s="2"/>
      <c r="I391" s="2"/>
      <c r="J391" s="2"/>
      <c r="K391" s="2">
        <f t="shared" si="204"/>
        <v>0</v>
      </c>
      <c r="M391" s="1" t="s">
        <v>6</v>
      </c>
      <c r="N391" s="2"/>
      <c r="O391" s="2"/>
      <c r="P391" s="2"/>
      <c r="Q391" s="2"/>
      <c r="R391" s="2"/>
      <c r="S391" s="2"/>
      <c r="T391" s="2"/>
      <c r="U391" s="2"/>
      <c r="V391" s="2">
        <f t="shared" si="205"/>
        <v>0</v>
      </c>
      <c r="X391" s="1" t="s">
        <v>6</v>
      </c>
      <c r="Y391" s="2">
        <f t="shared" si="196"/>
        <v>0</v>
      </c>
      <c r="Z391" s="2">
        <f t="shared" si="197"/>
        <v>0</v>
      </c>
      <c r="AA391" s="2">
        <f t="shared" si="198"/>
        <v>0</v>
      </c>
      <c r="AB391" s="2">
        <f t="shared" si="199"/>
        <v>0</v>
      </c>
      <c r="AC391" s="2">
        <f t="shared" si="200"/>
        <v>0</v>
      </c>
      <c r="AD391" s="2">
        <f t="shared" si="201"/>
        <v>0</v>
      </c>
      <c r="AE391" s="2">
        <f t="shared" si="202"/>
        <v>0</v>
      </c>
      <c r="AF391" s="2">
        <f t="shared" si="203"/>
        <v>0</v>
      </c>
      <c r="AG391" s="2">
        <f t="shared" si="206"/>
        <v>0</v>
      </c>
    </row>
    <row r="392" spans="2:33" hidden="1" x14ac:dyDescent="0.25">
      <c r="B392" s="1" t="s">
        <v>90</v>
      </c>
      <c r="C392" s="2"/>
      <c r="D392" s="2"/>
      <c r="E392" s="2"/>
      <c r="F392" s="2"/>
      <c r="G392" s="2"/>
      <c r="H392" s="2"/>
      <c r="I392" s="2"/>
      <c r="J392" s="2"/>
      <c r="K392" s="2">
        <f t="shared" si="204"/>
        <v>0</v>
      </c>
      <c r="M392" s="1" t="s">
        <v>90</v>
      </c>
      <c r="N392" s="2"/>
      <c r="O392" s="2"/>
      <c r="P392" s="2"/>
      <c r="Q392" s="2"/>
      <c r="R392" s="2"/>
      <c r="S392" s="2"/>
      <c r="T392" s="2"/>
      <c r="U392" s="2"/>
      <c r="V392" s="2">
        <f t="shared" si="205"/>
        <v>0</v>
      </c>
      <c r="X392" s="1" t="s">
        <v>90</v>
      </c>
      <c r="Y392" s="2">
        <f t="shared" si="196"/>
        <v>0</v>
      </c>
      <c r="Z392" s="2">
        <f t="shared" si="197"/>
        <v>0</v>
      </c>
      <c r="AA392" s="2">
        <f t="shared" si="198"/>
        <v>0</v>
      </c>
      <c r="AB392" s="2">
        <f t="shared" si="199"/>
        <v>0</v>
      </c>
      <c r="AC392" s="2">
        <f t="shared" si="200"/>
        <v>0</v>
      </c>
      <c r="AD392" s="2">
        <f t="shared" si="201"/>
        <v>0</v>
      </c>
      <c r="AE392" s="2">
        <f t="shared" si="202"/>
        <v>0</v>
      </c>
      <c r="AF392" s="2">
        <f t="shared" si="203"/>
        <v>0</v>
      </c>
      <c r="AG392" s="2">
        <f t="shared" si="206"/>
        <v>0</v>
      </c>
    </row>
    <row r="393" spans="2:33" hidden="1" x14ac:dyDescent="0.25">
      <c r="B393" s="1" t="s">
        <v>342</v>
      </c>
      <c r="C393" s="2"/>
      <c r="D393" s="2"/>
      <c r="E393" s="2"/>
      <c r="F393" s="2"/>
      <c r="G393" s="2"/>
      <c r="H393" s="2"/>
      <c r="I393" s="2"/>
      <c r="J393" s="2"/>
      <c r="K393" s="2">
        <f t="shared" si="204"/>
        <v>0</v>
      </c>
      <c r="M393" s="1" t="s">
        <v>342</v>
      </c>
      <c r="N393" s="2"/>
      <c r="O393" s="2"/>
      <c r="P393" s="2"/>
      <c r="Q393" s="2"/>
      <c r="R393" s="2"/>
      <c r="S393" s="2"/>
      <c r="T393" s="2"/>
      <c r="U393" s="2"/>
      <c r="V393" s="2">
        <f t="shared" si="205"/>
        <v>0</v>
      </c>
      <c r="X393" s="1" t="s">
        <v>50</v>
      </c>
      <c r="Y393" s="2">
        <f t="shared" si="196"/>
        <v>0</v>
      </c>
      <c r="Z393" s="2">
        <f t="shared" si="197"/>
        <v>0</v>
      </c>
      <c r="AA393" s="2">
        <f t="shared" si="198"/>
        <v>0</v>
      </c>
      <c r="AB393" s="2">
        <f t="shared" si="199"/>
        <v>0</v>
      </c>
      <c r="AC393" s="2">
        <f t="shared" si="200"/>
        <v>0</v>
      </c>
      <c r="AD393" s="2">
        <f t="shared" si="201"/>
        <v>0</v>
      </c>
      <c r="AE393" s="2">
        <f t="shared" si="202"/>
        <v>0</v>
      </c>
      <c r="AF393" s="2">
        <f t="shared" si="203"/>
        <v>0</v>
      </c>
      <c r="AG393" s="2">
        <f t="shared" si="206"/>
        <v>0</v>
      </c>
    </row>
    <row r="394" spans="2:33" hidden="1" x14ac:dyDescent="0.25">
      <c r="B394" s="1" t="s">
        <v>89</v>
      </c>
      <c r="C394" s="2"/>
      <c r="D394" s="2"/>
      <c r="E394" s="2"/>
      <c r="F394" s="2"/>
      <c r="G394" s="2"/>
      <c r="H394" s="2"/>
      <c r="I394" s="2"/>
      <c r="J394" s="2"/>
      <c r="K394" s="2">
        <f t="shared" si="204"/>
        <v>0</v>
      </c>
      <c r="M394" s="1" t="s">
        <v>89</v>
      </c>
      <c r="N394" s="2"/>
      <c r="O394" s="2"/>
      <c r="P394" s="2"/>
      <c r="Q394" s="2"/>
      <c r="R394" s="2"/>
      <c r="S394" s="2"/>
      <c r="T394" s="2"/>
      <c r="U394" s="2"/>
      <c r="V394" s="2">
        <f t="shared" si="205"/>
        <v>0</v>
      </c>
      <c r="X394" s="1" t="s">
        <v>89</v>
      </c>
      <c r="Y394" s="2">
        <f t="shared" si="196"/>
        <v>0</v>
      </c>
      <c r="Z394" s="2">
        <f t="shared" si="197"/>
        <v>0</v>
      </c>
      <c r="AA394" s="2">
        <f t="shared" si="198"/>
        <v>0</v>
      </c>
      <c r="AB394" s="2">
        <f t="shared" si="199"/>
        <v>0</v>
      </c>
      <c r="AC394" s="2">
        <f t="shared" si="200"/>
        <v>0</v>
      </c>
      <c r="AD394" s="2">
        <f t="shared" si="201"/>
        <v>0</v>
      </c>
      <c r="AE394" s="2">
        <f t="shared" si="202"/>
        <v>0</v>
      </c>
      <c r="AF394" s="2">
        <f t="shared" si="203"/>
        <v>0</v>
      </c>
      <c r="AG394" s="2">
        <f t="shared" si="206"/>
        <v>0</v>
      </c>
    </row>
    <row r="395" spans="2:33" hidden="1" x14ac:dyDescent="0.25">
      <c r="B395" s="1" t="s">
        <v>5</v>
      </c>
      <c r="C395" s="2"/>
      <c r="D395" s="2"/>
      <c r="E395" s="2"/>
      <c r="F395" s="2"/>
      <c r="G395" s="2"/>
      <c r="H395" s="2"/>
      <c r="I395" s="2"/>
      <c r="J395" s="2"/>
      <c r="K395" s="2">
        <f t="shared" si="204"/>
        <v>0</v>
      </c>
      <c r="M395" s="1" t="s">
        <v>5</v>
      </c>
      <c r="N395" s="2"/>
      <c r="O395" s="2"/>
      <c r="P395" s="2"/>
      <c r="Q395" s="2"/>
      <c r="R395" s="2"/>
      <c r="S395" s="2"/>
      <c r="T395" s="2"/>
      <c r="U395" s="2"/>
      <c r="V395" s="2">
        <f t="shared" si="205"/>
        <v>0</v>
      </c>
      <c r="X395" s="1" t="s">
        <v>5</v>
      </c>
      <c r="Y395" s="2">
        <f t="shared" si="196"/>
        <v>0</v>
      </c>
      <c r="Z395" s="2">
        <f t="shared" si="197"/>
        <v>0</v>
      </c>
      <c r="AA395" s="2">
        <f t="shared" si="198"/>
        <v>0</v>
      </c>
      <c r="AB395" s="2">
        <f t="shared" si="199"/>
        <v>0</v>
      </c>
      <c r="AC395" s="2">
        <f t="shared" si="200"/>
        <v>0</v>
      </c>
      <c r="AD395" s="2">
        <f t="shared" si="201"/>
        <v>0</v>
      </c>
      <c r="AE395" s="2">
        <f t="shared" si="202"/>
        <v>0</v>
      </c>
      <c r="AF395" s="2">
        <f t="shared" si="203"/>
        <v>0</v>
      </c>
      <c r="AG395" s="2">
        <f t="shared" si="206"/>
        <v>0</v>
      </c>
    </row>
    <row r="396" spans="2:33" hidden="1" x14ac:dyDescent="0.25">
      <c r="B396" s="1" t="s">
        <v>84</v>
      </c>
      <c r="C396" s="2"/>
      <c r="D396" s="2"/>
      <c r="E396" s="2"/>
      <c r="F396" s="2"/>
      <c r="G396" s="2"/>
      <c r="H396" s="2"/>
      <c r="I396" s="2"/>
      <c r="J396" s="2"/>
      <c r="K396" s="2">
        <f t="shared" si="204"/>
        <v>0</v>
      </c>
      <c r="M396" s="1" t="s">
        <v>84</v>
      </c>
      <c r="N396" s="2"/>
      <c r="O396" s="2"/>
      <c r="P396" s="2"/>
      <c r="Q396" s="2"/>
      <c r="R396" s="2"/>
      <c r="S396" s="2"/>
      <c r="T396" s="2"/>
      <c r="U396" s="2"/>
      <c r="V396" s="2">
        <f t="shared" si="205"/>
        <v>0</v>
      </c>
      <c r="X396" s="1" t="s">
        <v>84</v>
      </c>
      <c r="Y396" s="2">
        <f t="shared" si="196"/>
        <v>0</v>
      </c>
      <c r="Z396" s="2">
        <f t="shared" si="197"/>
        <v>0</v>
      </c>
      <c r="AA396" s="2">
        <f t="shared" si="198"/>
        <v>0</v>
      </c>
      <c r="AB396" s="2">
        <f t="shared" si="199"/>
        <v>0</v>
      </c>
      <c r="AC396" s="2">
        <f t="shared" si="200"/>
        <v>0</v>
      </c>
      <c r="AD396" s="2">
        <f t="shared" si="201"/>
        <v>0</v>
      </c>
      <c r="AE396" s="2">
        <f t="shared" si="202"/>
        <v>0</v>
      </c>
      <c r="AF396" s="2">
        <f t="shared" si="203"/>
        <v>0</v>
      </c>
      <c r="AG396" s="2">
        <f t="shared" si="206"/>
        <v>0</v>
      </c>
    </row>
    <row r="397" spans="2:33" hidden="1" x14ac:dyDescent="0.25">
      <c r="B397" s="1" t="s">
        <v>4</v>
      </c>
      <c r="C397" s="2"/>
      <c r="D397" s="2"/>
      <c r="E397" s="2"/>
      <c r="F397" s="2"/>
      <c r="G397" s="2"/>
      <c r="H397" s="2"/>
      <c r="I397" s="2"/>
      <c r="J397" s="2"/>
      <c r="K397" s="2">
        <f t="shared" si="204"/>
        <v>0</v>
      </c>
      <c r="M397" s="1" t="s">
        <v>4</v>
      </c>
      <c r="N397" s="2"/>
      <c r="O397" s="2"/>
      <c r="P397" s="2"/>
      <c r="Q397" s="2"/>
      <c r="R397" s="2"/>
      <c r="S397" s="2"/>
      <c r="T397" s="2"/>
      <c r="U397" s="2"/>
      <c r="V397" s="2">
        <f t="shared" si="205"/>
        <v>0</v>
      </c>
      <c r="X397" s="1" t="s">
        <v>4</v>
      </c>
      <c r="Y397" s="2">
        <f t="shared" si="196"/>
        <v>0</v>
      </c>
      <c r="Z397" s="2">
        <f t="shared" si="197"/>
        <v>0</v>
      </c>
      <c r="AA397" s="2">
        <f t="shared" si="198"/>
        <v>0</v>
      </c>
      <c r="AB397" s="2">
        <f t="shared" si="199"/>
        <v>0</v>
      </c>
      <c r="AC397" s="2">
        <f t="shared" si="200"/>
        <v>0</v>
      </c>
      <c r="AD397" s="2">
        <f t="shared" si="201"/>
        <v>0</v>
      </c>
      <c r="AE397" s="2">
        <f t="shared" si="202"/>
        <v>0</v>
      </c>
      <c r="AF397" s="2">
        <f t="shared" si="203"/>
        <v>0</v>
      </c>
      <c r="AG397" s="2">
        <f t="shared" si="206"/>
        <v>0</v>
      </c>
    </row>
    <row r="398" spans="2:33" hidden="1" x14ac:dyDescent="0.25">
      <c r="B398" s="1" t="s">
        <v>51</v>
      </c>
      <c r="C398" s="2"/>
      <c r="D398" s="2"/>
      <c r="E398" s="2"/>
      <c r="F398" s="2"/>
      <c r="G398" s="2"/>
      <c r="H398" s="2"/>
      <c r="I398" s="2"/>
      <c r="J398" s="2"/>
      <c r="K398" s="2">
        <f t="shared" si="204"/>
        <v>0</v>
      </c>
      <c r="M398" s="1" t="s">
        <v>51</v>
      </c>
      <c r="N398" s="2"/>
      <c r="O398" s="2"/>
      <c r="P398" s="2"/>
      <c r="Q398" s="2"/>
      <c r="R398" s="2"/>
      <c r="S398" s="2"/>
      <c r="T398" s="2"/>
      <c r="U398" s="2"/>
      <c r="V398" s="2">
        <f t="shared" si="205"/>
        <v>0</v>
      </c>
      <c r="X398" s="1" t="s">
        <v>51</v>
      </c>
      <c r="Y398" s="2">
        <f t="shared" si="196"/>
        <v>0</v>
      </c>
      <c r="Z398" s="2">
        <f t="shared" si="197"/>
        <v>0</v>
      </c>
      <c r="AA398" s="2">
        <f t="shared" si="198"/>
        <v>0</v>
      </c>
      <c r="AB398" s="2">
        <f t="shared" si="199"/>
        <v>0</v>
      </c>
      <c r="AC398" s="2">
        <f t="shared" si="200"/>
        <v>0</v>
      </c>
      <c r="AD398" s="2">
        <f t="shared" si="201"/>
        <v>0</v>
      </c>
      <c r="AE398" s="2">
        <f t="shared" si="202"/>
        <v>0</v>
      </c>
      <c r="AF398" s="2">
        <f t="shared" si="203"/>
        <v>0</v>
      </c>
      <c r="AG398" s="2">
        <f t="shared" si="206"/>
        <v>0</v>
      </c>
    </row>
    <row r="399" spans="2:33" hidden="1" x14ac:dyDescent="0.25">
      <c r="B399" s="1" t="s">
        <v>87</v>
      </c>
      <c r="C399" s="2"/>
      <c r="D399" s="2"/>
      <c r="E399" s="2"/>
      <c r="F399" s="2"/>
      <c r="G399" s="2"/>
      <c r="H399" s="2"/>
      <c r="I399" s="2"/>
      <c r="J399" s="2"/>
      <c r="K399" s="2">
        <f t="shared" si="204"/>
        <v>0</v>
      </c>
      <c r="M399" s="1" t="s">
        <v>87</v>
      </c>
      <c r="N399" s="2"/>
      <c r="O399" s="2"/>
      <c r="P399" s="2"/>
      <c r="Q399" s="2"/>
      <c r="R399" s="2"/>
      <c r="S399" s="2"/>
      <c r="T399" s="2"/>
      <c r="U399" s="2"/>
      <c r="V399" s="2">
        <f t="shared" si="205"/>
        <v>0</v>
      </c>
      <c r="X399" s="1" t="s">
        <v>87</v>
      </c>
      <c r="Y399" s="2">
        <f t="shared" si="196"/>
        <v>0</v>
      </c>
      <c r="Z399" s="2">
        <f t="shared" si="197"/>
        <v>0</v>
      </c>
      <c r="AA399" s="2">
        <f t="shared" si="198"/>
        <v>0</v>
      </c>
      <c r="AB399" s="2">
        <f t="shared" si="199"/>
        <v>0</v>
      </c>
      <c r="AC399" s="2">
        <f t="shared" si="200"/>
        <v>0</v>
      </c>
      <c r="AD399" s="2">
        <f t="shared" si="201"/>
        <v>0</v>
      </c>
      <c r="AE399" s="2">
        <f t="shared" si="202"/>
        <v>0</v>
      </c>
      <c r="AF399" s="2">
        <f t="shared" si="203"/>
        <v>0</v>
      </c>
      <c r="AG399" s="2">
        <f t="shared" si="206"/>
        <v>0</v>
      </c>
    </row>
    <row r="400" spans="2:33" hidden="1" x14ac:dyDescent="0.25">
      <c r="B400" s="1" t="s">
        <v>85</v>
      </c>
      <c r="C400" s="2"/>
      <c r="D400" s="2"/>
      <c r="E400" s="2"/>
      <c r="F400" s="2"/>
      <c r="G400" s="2"/>
      <c r="H400" s="2"/>
      <c r="I400" s="2"/>
      <c r="J400" s="2"/>
      <c r="K400" s="2">
        <f t="shared" si="204"/>
        <v>0</v>
      </c>
      <c r="M400" s="1" t="s">
        <v>85</v>
      </c>
      <c r="N400" s="2"/>
      <c r="O400" s="2"/>
      <c r="P400" s="2"/>
      <c r="Q400" s="2"/>
      <c r="R400" s="2"/>
      <c r="S400" s="2"/>
      <c r="T400" s="2"/>
      <c r="U400" s="2"/>
      <c r="V400" s="2">
        <f t="shared" si="205"/>
        <v>0</v>
      </c>
      <c r="X400" s="1" t="s">
        <v>85</v>
      </c>
      <c r="Y400" s="2">
        <f t="shared" si="196"/>
        <v>0</v>
      </c>
      <c r="Z400" s="2">
        <f t="shared" si="197"/>
        <v>0</v>
      </c>
      <c r="AA400" s="2">
        <f t="shared" si="198"/>
        <v>0</v>
      </c>
      <c r="AB400" s="2">
        <f t="shared" si="199"/>
        <v>0</v>
      </c>
      <c r="AC400" s="2">
        <f t="shared" si="200"/>
        <v>0</v>
      </c>
      <c r="AD400" s="2">
        <f t="shared" si="201"/>
        <v>0</v>
      </c>
      <c r="AE400" s="2">
        <f t="shared" si="202"/>
        <v>0</v>
      </c>
      <c r="AF400" s="2">
        <f t="shared" si="203"/>
        <v>0</v>
      </c>
      <c r="AG400" s="2">
        <f t="shared" si="206"/>
        <v>0</v>
      </c>
    </row>
    <row r="401" spans="2:33" hidden="1" x14ac:dyDescent="0.25">
      <c r="B401" s="1" t="s">
        <v>2</v>
      </c>
      <c r="C401" s="2"/>
      <c r="D401" s="2"/>
      <c r="E401" s="2"/>
      <c r="F401" s="2"/>
      <c r="G401" s="2"/>
      <c r="H401" s="2"/>
      <c r="I401" s="2"/>
      <c r="J401" s="2"/>
      <c r="K401" s="2">
        <f t="shared" si="204"/>
        <v>0</v>
      </c>
      <c r="M401" s="1" t="s">
        <v>2</v>
      </c>
      <c r="N401" s="2"/>
      <c r="O401" s="2"/>
      <c r="P401" s="2"/>
      <c r="Q401" s="2"/>
      <c r="R401" s="2"/>
      <c r="S401" s="2"/>
      <c r="T401" s="2"/>
      <c r="U401" s="2"/>
      <c r="V401" s="2">
        <f t="shared" si="205"/>
        <v>0</v>
      </c>
      <c r="X401" s="1" t="s">
        <v>2</v>
      </c>
      <c r="Y401" s="2">
        <f t="shared" si="196"/>
        <v>0</v>
      </c>
      <c r="Z401" s="2">
        <f t="shared" si="197"/>
        <v>0</v>
      </c>
      <c r="AA401" s="2">
        <f t="shared" si="198"/>
        <v>0</v>
      </c>
      <c r="AB401" s="2">
        <f t="shared" si="199"/>
        <v>0</v>
      </c>
      <c r="AC401" s="2">
        <f t="shared" si="200"/>
        <v>0</v>
      </c>
      <c r="AD401" s="2">
        <f t="shared" si="201"/>
        <v>0</v>
      </c>
      <c r="AE401" s="2">
        <f t="shared" si="202"/>
        <v>0</v>
      </c>
      <c r="AF401" s="2">
        <f t="shared" si="203"/>
        <v>0</v>
      </c>
      <c r="AG401" s="2">
        <f t="shared" si="206"/>
        <v>0</v>
      </c>
    </row>
    <row r="402" spans="2:33" hidden="1" x14ac:dyDescent="0.25">
      <c r="B402" s="1" t="s">
        <v>86</v>
      </c>
      <c r="C402" s="2"/>
      <c r="D402" s="2"/>
      <c r="E402" s="2"/>
      <c r="F402" s="2"/>
      <c r="G402" s="2"/>
      <c r="H402" s="2"/>
      <c r="I402" s="2"/>
      <c r="J402" s="2"/>
      <c r="K402" s="2">
        <f t="shared" si="204"/>
        <v>0</v>
      </c>
      <c r="M402" s="1" t="s">
        <v>86</v>
      </c>
      <c r="N402" s="2"/>
      <c r="O402" s="2"/>
      <c r="P402" s="2"/>
      <c r="Q402" s="2"/>
      <c r="R402" s="2"/>
      <c r="S402" s="2"/>
      <c r="T402" s="2"/>
      <c r="U402" s="2"/>
      <c r="V402" s="2">
        <f t="shared" si="205"/>
        <v>0</v>
      </c>
      <c r="X402" s="1" t="s">
        <v>86</v>
      </c>
      <c r="Y402" s="2">
        <f t="shared" si="196"/>
        <v>0</v>
      </c>
      <c r="Z402" s="2">
        <f t="shared" si="197"/>
        <v>0</v>
      </c>
      <c r="AA402" s="2">
        <f t="shared" si="198"/>
        <v>0</v>
      </c>
      <c r="AB402" s="2">
        <f t="shared" si="199"/>
        <v>0</v>
      </c>
      <c r="AC402" s="2">
        <f t="shared" si="200"/>
        <v>0</v>
      </c>
      <c r="AD402" s="2">
        <f t="shared" si="201"/>
        <v>0</v>
      </c>
      <c r="AE402" s="2">
        <f t="shared" si="202"/>
        <v>0</v>
      </c>
      <c r="AF402" s="2">
        <f t="shared" si="203"/>
        <v>0</v>
      </c>
      <c r="AG402" s="2">
        <f t="shared" si="206"/>
        <v>0</v>
      </c>
    </row>
    <row r="403" spans="2:33" hidden="1" x14ac:dyDescent="0.25">
      <c r="B403" s="1" t="s">
        <v>29</v>
      </c>
      <c r="C403" s="2"/>
      <c r="D403" s="2"/>
      <c r="E403" s="2"/>
      <c r="F403" s="2"/>
      <c r="G403" s="2"/>
      <c r="H403" s="2"/>
      <c r="I403" s="2"/>
      <c r="J403" s="2"/>
      <c r="K403" s="2">
        <f t="shared" si="204"/>
        <v>0</v>
      </c>
      <c r="M403" s="1" t="s">
        <v>29</v>
      </c>
      <c r="N403" s="2"/>
      <c r="O403" s="2"/>
      <c r="P403" s="2"/>
      <c r="Q403" s="2"/>
      <c r="R403" s="2"/>
      <c r="S403" s="2"/>
      <c r="T403" s="2"/>
      <c r="U403" s="2"/>
      <c r="V403" s="2">
        <f t="shared" si="205"/>
        <v>0</v>
      </c>
      <c r="X403" s="1" t="s">
        <v>29</v>
      </c>
      <c r="Y403" s="2">
        <f t="shared" si="196"/>
        <v>0</v>
      </c>
      <c r="Z403" s="2">
        <f t="shared" si="197"/>
        <v>0</v>
      </c>
      <c r="AA403" s="2">
        <f t="shared" si="198"/>
        <v>0</v>
      </c>
      <c r="AB403" s="2">
        <f t="shared" si="199"/>
        <v>0</v>
      </c>
      <c r="AC403" s="2">
        <f t="shared" si="200"/>
        <v>0</v>
      </c>
      <c r="AD403" s="2">
        <f t="shared" si="201"/>
        <v>0</v>
      </c>
      <c r="AE403" s="2">
        <f t="shared" si="202"/>
        <v>0</v>
      </c>
      <c r="AF403" s="2">
        <f t="shared" si="203"/>
        <v>0</v>
      </c>
      <c r="AG403" s="2">
        <f t="shared" si="206"/>
        <v>0</v>
      </c>
    </row>
    <row r="404" spans="2:33" hidden="1" x14ac:dyDescent="0.25">
      <c r="B404" s="1" t="s">
        <v>88</v>
      </c>
      <c r="C404" s="2"/>
      <c r="D404" s="2"/>
      <c r="E404" s="2"/>
      <c r="F404" s="2"/>
      <c r="G404" s="2"/>
      <c r="H404" s="2"/>
      <c r="I404" s="2"/>
      <c r="J404" s="2"/>
      <c r="K404" s="2">
        <f t="shared" si="204"/>
        <v>0</v>
      </c>
      <c r="M404" s="1" t="s">
        <v>88</v>
      </c>
      <c r="N404" s="2"/>
      <c r="O404" s="2"/>
      <c r="P404" s="2"/>
      <c r="Q404" s="2"/>
      <c r="R404" s="2"/>
      <c r="S404" s="2"/>
      <c r="T404" s="2"/>
      <c r="U404" s="2"/>
      <c r="V404" s="2">
        <f t="shared" si="205"/>
        <v>0</v>
      </c>
      <c r="X404" s="1" t="s">
        <v>52</v>
      </c>
      <c r="Y404" s="2">
        <f t="shared" si="196"/>
        <v>0</v>
      </c>
      <c r="Z404" s="2">
        <f t="shared" si="197"/>
        <v>0</v>
      </c>
      <c r="AA404" s="2">
        <f t="shared" si="198"/>
        <v>0</v>
      </c>
      <c r="AB404" s="2">
        <f t="shared" si="199"/>
        <v>0</v>
      </c>
      <c r="AC404" s="2">
        <f t="shared" si="200"/>
        <v>0</v>
      </c>
      <c r="AD404" s="2">
        <f t="shared" si="201"/>
        <v>0</v>
      </c>
      <c r="AE404" s="2">
        <f t="shared" si="202"/>
        <v>0</v>
      </c>
      <c r="AF404" s="2">
        <f t="shared" si="203"/>
        <v>0</v>
      </c>
      <c r="AG404" s="2">
        <f t="shared" si="206"/>
        <v>0</v>
      </c>
    </row>
    <row r="405" spans="2:33" hidden="1" x14ac:dyDescent="0.25">
      <c r="B405" s="1" t="s">
        <v>341</v>
      </c>
      <c r="C405" s="2"/>
      <c r="D405" s="2"/>
      <c r="E405" s="2"/>
      <c r="F405" s="2"/>
      <c r="G405" s="2"/>
      <c r="H405" s="2"/>
      <c r="I405" s="2"/>
      <c r="J405" s="2"/>
      <c r="K405" s="2">
        <f t="shared" si="204"/>
        <v>0</v>
      </c>
      <c r="M405" s="1" t="s">
        <v>341</v>
      </c>
      <c r="N405" s="2"/>
      <c r="O405" s="2"/>
      <c r="P405" s="2"/>
      <c r="Q405" s="2"/>
      <c r="R405" s="2"/>
      <c r="S405" s="2"/>
      <c r="T405" s="2"/>
      <c r="U405" s="2"/>
      <c r="V405" s="2">
        <f t="shared" si="205"/>
        <v>0</v>
      </c>
      <c r="X405" s="1" t="s">
        <v>88</v>
      </c>
      <c r="Y405" s="2">
        <f t="shared" si="196"/>
        <v>0</v>
      </c>
      <c r="Z405" s="2">
        <f t="shared" si="197"/>
        <v>0</v>
      </c>
      <c r="AA405" s="2">
        <f t="shared" si="198"/>
        <v>0</v>
      </c>
      <c r="AB405" s="2">
        <f t="shared" si="199"/>
        <v>0</v>
      </c>
      <c r="AC405" s="2">
        <f t="shared" si="200"/>
        <v>0</v>
      </c>
      <c r="AD405" s="2">
        <f t="shared" si="201"/>
        <v>0</v>
      </c>
      <c r="AE405" s="2">
        <f t="shared" si="202"/>
        <v>0</v>
      </c>
      <c r="AF405" s="2">
        <f t="shared" si="203"/>
        <v>0</v>
      </c>
      <c r="AG405" s="2">
        <f t="shared" si="206"/>
        <v>0</v>
      </c>
    </row>
    <row r="406" spans="2:33" hidden="1" x14ac:dyDescent="0.25">
      <c r="B406" s="1" t="s">
        <v>340</v>
      </c>
      <c r="C406" s="2"/>
      <c r="D406" s="2"/>
      <c r="E406" s="2"/>
      <c r="F406" s="2"/>
      <c r="G406" s="2"/>
      <c r="H406" s="2"/>
      <c r="I406" s="2"/>
      <c r="J406" s="2"/>
      <c r="K406" s="2">
        <f t="shared" si="204"/>
        <v>0</v>
      </c>
      <c r="M406" s="1" t="s">
        <v>340</v>
      </c>
      <c r="N406" s="2"/>
      <c r="O406" s="2"/>
      <c r="P406" s="2"/>
      <c r="Q406" s="2"/>
      <c r="R406" s="2"/>
      <c r="S406" s="2"/>
      <c r="T406" s="2"/>
      <c r="U406" s="2"/>
      <c r="V406" s="2">
        <f t="shared" si="205"/>
        <v>0</v>
      </c>
      <c r="X406" s="1" t="s">
        <v>1</v>
      </c>
      <c r="Y406" s="2">
        <f t="shared" si="196"/>
        <v>0</v>
      </c>
      <c r="Z406" s="2">
        <f t="shared" si="197"/>
        <v>0</v>
      </c>
      <c r="AA406" s="2">
        <f t="shared" si="198"/>
        <v>0</v>
      </c>
      <c r="AB406" s="2">
        <f t="shared" si="199"/>
        <v>0</v>
      </c>
      <c r="AC406" s="2">
        <f t="shared" si="200"/>
        <v>0</v>
      </c>
      <c r="AD406" s="2">
        <f t="shared" si="201"/>
        <v>0</v>
      </c>
      <c r="AE406" s="2">
        <f t="shared" si="202"/>
        <v>0</v>
      </c>
      <c r="AF406" s="2">
        <f t="shared" si="203"/>
        <v>0</v>
      </c>
      <c r="AG406" s="2">
        <f t="shared" si="206"/>
        <v>0</v>
      </c>
    </row>
    <row r="407" spans="2:33" ht="15.75" hidden="1" thickBot="1" x14ac:dyDescent="0.3">
      <c r="C407" s="69">
        <f>SUM(C387:C406)</f>
        <v>0</v>
      </c>
      <c r="D407" s="69">
        <f t="shared" ref="D407:J407" si="207">SUM(D387:D406)</f>
        <v>0</v>
      </c>
      <c r="E407" s="69">
        <f t="shared" si="207"/>
        <v>0</v>
      </c>
      <c r="F407" s="69">
        <f t="shared" si="207"/>
        <v>0</v>
      </c>
      <c r="G407" s="69">
        <f t="shared" si="207"/>
        <v>0</v>
      </c>
      <c r="H407" s="69">
        <f t="shared" si="207"/>
        <v>0</v>
      </c>
      <c r="I407" s="69">
        <f t="shared" si="207"/>
        <v>0</v>
      </c>
      <c r="J407" s="69">
        <f t="shared" si="207"/>
        <v>0</v>
      </c>
      <c r="K407" s="69">
        <f>SUM(K387:K406)</f>
        <v>0</v>
      </c>
      <c r="N407" s="69">
        <f>SUM(N387:N406)</f>
        <v>0</v>
      </c>
      <c r="O407" s="69">
        <f t="shared" ref="O407:U407" si="208">SUM(O387:O406)</f>
        <v>0</v>
      </c>
      <c r="P407" s="69">
        <f t="shared" si="208"/>
        <v>0</v>
      </c>
      <c r="Q407" s="69">
        <f t="shared" si="208"/>
        <v>0</v>
      </c>
      <c r="R407" s="69">
        <f t="shared" si="208"/>
        <v>0</v>
      </c>
      <c r="S407" s="69">
        <f t="shared" si="208"/>
        <v>0</v>
      </c>
      <c r="T407" s="69">
        <f t="shared" si="208"/>
        <v>0</v>
      </c>
      <c r="U407" s="69">
        <f t="shared" si="208"/>
        <v>0</v>
      </c>
      <c r="V407" s="69">
        <f>SUM(V387:V406)</f>
        <v>0</v>
      </c>
      <c r="Y407" s="69">
        <f>SUM(Y387:Y406)</f>
        <v>0</v>
      </c>
      <c r="Z407" s="69">
        <f t="shared" ref="Z407:AF407" si="209">SUM(Z387:Z406)</f>
        <v>0</v>
      </c>
      <c r="AA407" s="69">
        <f t="shared" si="209"/>
        <v>0</v>
      </c>
      <c r="AB407" s="69">
        <f t="shared" si="209"/>
        <v>0</v>
      </c>
      <c r="AC407" s="69">
        <f t="shared" si="209"/>
        <v>0</v>
      </c>
      <c r="AD407" s="69">
        <f t="shared" si="209"/>
        <v>0</v>
      </c>
      <c r="AE407" s="69">
        <f t="shared" si="209"/>
        <v>0</v>
      </c>
      <c r="AF407" s="69">
        <f t="shared" si="209"/>
        <v>0</v>
      </c>
      <c r="AG407" s="69">
        <f>SUM(AG387:AG406)</f>
        <v>0</v>
      </c>
    </row>
    <row r="410" spans="2:33" x14ac:dyDescent="0.25">
      <c r="B410" s="71" t="s">
        <v>97</v>
      </c>
      <c r="C410" s="167">
        <f>$C$20</f>
        <v>45199</v>
      </c>
      <c r="D410" s="164"/>
      <c r="E410" s="164"/>
      <c r="F410" s="164"/>
      <c r="G410" s="164"/>
      <c r="H410" s="164"/>
      <c r="I410" s="164"/>
      <c r="J410" s="164"/>
      <c r="K410" s="164"/>
      <c r="M410" s="71" t="s">
        <v>97</v>
      </c>
      <c r="N410" s="178">
        <f>$N$20</f>
        <v>45169</v>
      </c>
      <c r="O410" s="179"/>
      <c r="P410" s="179"/>
      <c r="Q410" s="179"/>
      <c r="R410" s="179"/>
      <c r="S410" s="179"/>
      <c r="T410" s="179"/>
      <c r="U410" s="179"/>
      <c r="V410" s="179"/>
      <c r="X410" s="71" t="s">
        <v>97</v>
      </c>
      <c r="Y410" s="164" t="s">
        <v>98</v>
      </c>
      <c r="Z410" s="164"/>
      <c r="AA410" s="164"/>
      <c r="AB410" s="164"/>
      <c r="AC410" s="164"/>
      <c r="AD410" s="164"/>
      <c r="AE410" s="164"/>
      <c r="AF410" s="164"/>
      <c r="AG410" s="164"/>
    </row>
    <row r="411" spans="2:33" x14ac:dyDescent="0.25">
      <c r="B411" s="71" t="s">
        <v>96</v>
      </c>
      <c r="C411" s="164" t="s">
        <v>56</v>
      </c>
      <c r="D411" s="164"/>
      <c r="E411" s="164"/>
      <c r="F411" s="164"/>
      <c r="G411" s="164"/>
      <c r="H411" s="164"/>
      <c r="I411" s="164"/>
      <c r="J411" s="164"/>
      <c r="K411" s="164"/>
      <c r="M411" s="71" t="s">
        <v>96</v>
      </c>
      <c r="N411" s="164" t="str">
        <f>C411</f>
        <v>Aggregate</v>
      </c>
      <c r="O411" s="164"/>
      <c r="P411" s="164"/>
      <c r="Q411" s="164"/>
      <c r="R411" s="164"/>
      <c r="S411" s="164"/>
      <c r="T411" s="164"/>
      <c r="U411" s="164"/>
      <c r="V411" s="164"/>
      <c r="X411" s="71" t="s">
        <v>96</v>
      </c>
      <c r="Y411" s="164" t="str">
        <f>C411</f>
        <v>Aggregate</v>
      </c>
      <c r="Z411" s="164"/>
      <c r="AA411" s="164"/>
      <c r="AB411" s="164"/>
      <c r="AC411" s="164"/>
      <c r="AD411" s="164"/>
      <c r="AE411" s="164"/>
      <c r="AF411" s="164"/>
      <c r="AG411" s="164"/>
    </row>
    <row r="412" spans="2:33" x14ac:dyDescent="0.25">
      <c r="B412" s="4" t="s">
        <v>16</v>
      </c>
      <c r="C412" s="5" t="s">
        <v>15</v>
      </c>
      <c r="D412" s="5" t="s">
        <v>14</v>
      </c>
      <c r="E412" s="5" t="s">
        <v>13</v>
      </c>
      <c r="F412" s="5" t="s">
        <v>12</v>
      </c>
      <c r="G412" s="5" t="s">
        <v>94</v>
      </c>
      <c r="H412" s="5" t="s">
        <v>95</v>
      </c>
      <c r="I412" s="5" t="s">
        <v>38</v>
      </c>
      <c r="J412" s="5" t="s">
        <v>9</v>
      </c>
      <c r="K412" s="5" t="s">
        <v>80</v>
      </c>
      <c r="M412" s="4" t="s">
        <v>16</v>
      </c>
      <c r="N412" s="5" t="s">
        <v>15</v>
      </c>
      <c r="O412" s="5" t="s">
        <v>14</v>
      </c>
      <c r="P412" s="5" t="s">
        <v>13</v>
      </c>
      <c r="Q412" s="5" t="s">
        <v>12</v>
      </c>
      <c r="R412" s="5" t="s">
        <v>94</v>
      </c>
      <c r="S412" s="5" t="s">
        <v>95</v>
      </c>
      <c r="T412" s="5" t="s">
        <v>38</v>
      </c>
      <c r="U412" s="5" t="s">
        <v>9</v>
      </c>
      <c r="V412" s="5" t="s">
        <v>80</v>
      </c>
      <c r="X412" s="4" t="s">
        <v>16</v>
      </c>
      <c r="Y412" s="5" t="s">
        <v>15</v>
      </c>
      <c r="Z412" s="5" t="s">
        <v>14</v>
      </c>
      <c r="AA412" s="5" t="s">
        <v>13</v>
      </c>
      <c r="AB412" s="5" t="s">
        <v>12</v>
      </c>
      <c r="AC412" s="5" t="s">
        <v>94</v>
      </c>
      <c r="AD412" s="5" t="s">
        <v>95</v>
      </c>
      <c r="AE412" s="5" t="s">
        <v>38</v>
      </c>
      <c r="AF412" s="5" t="s">
        <v>9</v>
      </c>
      <c r="AG412" s="5" t="s">
        <v>80</v>
      </c>
    </row>
    <row r="413" spans="2:33" x14ac:dyDescent="0.25">
      <c r="B413" s="1" t="s">
        <v>335</v>
      </c>
      <c r="C413" s="2">
        <f t="shared" ref="C413:J422" si="210">C387+C361+C335+C309+C283+C257+C231+C205+C179+C153+C127+C101+C75+C49+C23</f>
        <v>0</v>
      </c>
      <c r="D413" s="2">
        <f t="shared" si="210"/>
        <v>0</v>
      </c>
      <c r="E413" s="2">
        <f t="shared" si="210"/>
        <v>0</v>
      </c>
      <c r="F413" s="2">
        <f t="shared" si="210"/>
        <v>0</v>
      </c>
      <c r="G413" s="2">
        <f t="shared" si="210"/>
        <v>0</v>
      </c>
      <c r="H413" s="2">
        <f t="shared" si="210"/>
        <v>0</v>
      </c>
      <c r="I413" s="2">
        <f t="shared" si="210"/>
        <v>0</v>
      </c>
      <c r="J413" s="2">
        <f t="shared" si="210"/>
        <v>0</v>
      </c>
      <c r="K413" s="2">
        <f>SUM(C413:J413)</f>
        <v>0</v>
      </c>
      <c r="M413" s="1" t="s">
        <v>335</v>
      </c>
      <c r="N413" s="2">
        <f t="shared" ref="N413:U422" si="211">N387+N361+N335+N309+N283+N257+N231+N205+N179+N153+N127+N101+N75+N49+N23</f>
        <v>0</v>
      </c>
      <c r="O413" s="2">
        <f t="shared" si="211"/>
        <v>0</v>
      </c>
      <c r="P413" s="2">
        <f t="shared" si="211"/>
        <v>0</v>
      </c>
      <c r="Q413" s="2">
        <f t="shared" si="211"/>
        <v>0</v>
      </c>
      <c r="R413" s="2">
        <f t="shared" si="211"/>
        <v>0</v>
      </c>
      <c r="S413" s="2">
        <f t="shared" si="211"/>
        <v>0</v>
      </c>
      <c r="T413" s="2">
        <f t="shared" si="211"/>
        <v>0</v>
      </c>
      <c r="U413" s="2">
        <f t="shared" si="211"/>
        <v>0</v>
      </c>
      <c r="V413" s="2">
        <f>SUM(N413:U413)</f>
        <v>0</v>
      </c>
      <c r="X413" s="1" t="s">
        <v>335</v>
      </c>
      <c r="Y413" s="2">
        <f t="shared" ref="Y413:Y432" si="212">C413-N413</f>
        <v>0</v>
      </c>
      <c r="Z413" s="2">
        <f t="shared" ref="Z413:Z432" si="213">D413-O413</f>
        <v>0</v>
      </c>
      <c r="AA413" s="2">
        <f t="shared" ref="AA413:AA432" si="214">E413-P413</f>
        <v>0</v>
      </c>
      <c r="AB413" s="2">
        <f t="shared" ref="AB413:AB432" si="215">F413-Q413</f>
        <v>0</v>
      </c>
      <c r="AC413" s="2">
        <f t="shared" ref="AC413:AC432" si="216">G413-R413</f>
        <v>0</v>
      </c>
      <c r="AD413" s="2">
        <f t="shared" ref="AD413:AD432" si="217">H413-S413</f>
        <v>0</v>
      </c>
      <c r="AE413" s="2">
        <f t="shared" ref="AE413:AE432" si="218">I413-T413</f>
        <v>0</v>
      </c>
      <c r="AF413" s="2">
        <f t="shared" ref="AF413:AF432" si="219">J413-U413</f>
        <v>0</v>
      </c>
      <c r="AG413" s="2">
        <f>SUM(Y413:AF413)</f>
        <v>0</v>
      </c>
    </row>
    <row r="414" spans="2:33" x14ac:dyDescent="0.25">
      <c r="B414" s="1" t="s">
        <v>8</v>
      </c>
      <c r="C414" s="2">
        <f t="shared" si="210"/>
        <v>0</v>
      </c>
      <c r="D414" s="2">
        <f t="shared" si="210"/>
        <v>0</v>
      </c>
      <c r="E414" s="2">
        <f t="shared" si="210"/>
        <v>0</v>
      </c>
      <c r="F414" s="2">
        <f t="shared" si="210"/>
        <v>0</v>
      </c>
      <c r="G414" s="2">
        <f t="shared" si="210"/>
        <v>0</v>
      </c>
      <c r="H414" s="2">
        <f t="shared" si="210"/>
        <v>0</v>
      </c>
      <c r="I414" s="2">
        <f t="shared" si="210"/>
        <v>0</v>
      </c>
      <c r="J414" s="2">
        <f t="shared" si="210"/>
        <v>-501.87</v>
      </c>
      <c r="K414" s="2">
        <f t="shared" ref="K414:K432" si="220">SUM(C414:J414)</f>
        <v>-501.87</v>
      </c>
      <c r="M414" s="1" t="s">
        <v>8</v>
      </c>
      <c r="N414" s="2">
        <f t="shared" si="211"/>
        <v>0</v>
      </c>
      <c r="O414" s="2">
        <f t="shared" si="211"/>
        <v>0</v>
      </c>
      <c r="P414" s="2">
        <f t="shared" si="211"/>
        <v>0</v>
      </c>
      <c r="Q414" s="2">
        <f t="shared" si="211"/>
        <v>0</v>
      </c>
      <c r="R414" s="2">
        <f t="shared" si="211"/>
        <v>0</v>
      </c>
      <c r="S414" s="2">
        <f t="shared" si="211"/>
        <v>0</v>
      </c>
      <c r="T414" s="2">
        <f t="shared" si="211"/>
        <v>0</v>
      </c>
      <c r="U414" s="2">
        <f t="shared" si="211"/>
        <v>-501.87000000000006</v>
      </c>
      <c r="V414" s="2">
        <f t="shared" ref="V414:V432" si="221">SUM(N414:U414)</f>
        <v>-501.87000000000006</v>
      </c>
      <c r="X414" s="1" t="s">
        <v>8</v>
      </c>
      <c r="Y414" s="2">
        <f t="shared" si="212"/>
        <v>0</v>
      </c>
      <c r="Z414" s="2">
        <f t="shared" si="213"/>
        <v>0</v>
      </c>
      <c r="AA414" s="2">
        <f t="shared" si="214"/>
        <v>0</v>
      </c>
      <c r="AB414" s="2">
        <f t="shared" si="215"/>
        <v>0</v>
      </c>
      <c r="AC414" s="2">
        <f t="shared" si="216"/>
        <v>0</v>
      </c>
      <c r="AD414" s="2">
        <f t="shared" si="217"/>
        <v>0</v>
      </c>
      <c r="AE414" s="2">
        <f t="shared" si="218"/>
        <v>0</v>
      </c>
      <c r="AF414" s="2">
        <f t="shared" si="219"/>
        <v>0</v>
      </c>
      <c r="AG414" s="2">
        <f t="shared" ref="AG414:AG432" si="222">SUM(Y414:AF414)</f>
        <v>0</v>
      </c>
    </row>
    <row r="415" spans="2:33" x14ac:dyDescent="0.25">
      <c r="B415" s="1" t="s">
        <v>336</v>
      </c>
      <c r="C415" s="2">
        <f t="shared" si="210"/>
        <v>0</v>
      </c>
      <c r="D415" s="2">
        <f t="shared" si="210"/>
        <v>0</v>
      </c>
      <c r="E415" s="2">
        <f t="shared" si="210"/>
        <v>0</v>
      </c>
      <c r="F415" s="2">
        <f t="shared" si="210"/>
        <v>0</v>
      </c>
      <c r="G415" s="2">
        <f t="shared" si="210"/>
        <v>0</v>
      </c>
      <c r="H415" s="2">
        <f t="shared" si="210"/>
        <v>0</v>
      </c>
      <c r="I415" s="2">
        <f t="shared" si="210"/>
        <v>0</v>
      </c>
      <c r="J415" s="2">
        <f t="shared" si="210"/>
        <v>-261.87</v>
      </c>
      <c r="K415" s="2">
        <f t="shared" si="220"/>
        <v>-261.87</v>
      </c>
      <c r="M415" s="1" t="s">
        <v>336</v>
      </c>
      <c r="N415" s="2">
        <f t="shared" si="211"/>
        <v>0</v>
      </c>
      <c r="O415" s="2">
        <f t="shared" si="211"/>
        <v>0</v>
      </c>
      <c r="P415" s="2">
        <f t="shared" si="211"/>
        <v>0</v>
      </c>
      <c r="Q415" s="2">
        <f t="shared" si="211"/>
        <v>0</v>
      </c>
      <c r="R415" s="2">
        <f t="shared" si="211"/>
        <v>0</v>
      </c>
      <c r="S415" s="2">
        <f t="shared" si="211"/>
        <v>0</v>
      </c>
      <c r="T415" s="2">
        <f t="shared" si="211"/>
        <v>0</v>
      </c>
      <c r="U415" s="2">
        <f t="shared" si="211"/>
        <v>-261.87</v>
      </c>
      <c r="V415" s="2">
        <f t="shared" si="221"/>
        <v>-261.87</v>
      </c>
      <c r="X415" s="1" t="s">
        <v>336</v>
      </c>
      <c r="Y415" s="2">
        <f t="shared" si="212"/>
        <v>0</v>
      </c>
      <c r="Z415" s="2">
        <f t="shared" si="213"/>
        <v>0</v>
      </c>
      <c r="AA415" s="2">
        <f t="shared" si="214"/>
        <v>0</v>
      </c>
      <c r="AB415" s="2">
        <f t="shared" si="215"/>
        <v>0</v>
      </c>
      <c r="AC415" s="2">
        <f t="shared" si="216"/>
        <v>0</v>
      </c>
      <c r="AD415" s="2">
        <f t="shared" si="217"/>
        <v>0</v>
      </c>
      <c r="AE415" s="2">
        <f t="shared" si="218"/>
        <v>0</v>
      </c>
      <c r="AF415" s="2">
        <f t="shared" si="219"/>
        <v>0</v>
      </c>
      <c r="AG415" s="2">
        <f t="shared" si="222"/>
        <v>0</v>
      </c>
    </row>
    <row r="416" spans="2:33" x14ac:dyDescent="0.25">
      <c r="B416" s="1" t="s">
        <v>42</v>
      </c>
      <c r="C416" s="2">
        <f t="shared" si="210"/>
        <v>0</v>
      </c>
      <c r="D416" s="2">
        <f t="shared" si="210"/>
        <v>0</v>
      </c>
      <c r="E416" s="2">
        <f t="shared" si="210"/>
        <v>0</v>
      </c>
      <c r="F416" s="2">
        <f t="shared" si="210"/>
        <v>0</v>
      </c>
      <c r="G416" s="2">
        <f t="shared" si="210"/>
        <v>0</v>
      </c>
      <c r="H416" s="2">
        <f t="shared" si="210"/>
        <v>0</v>
      </c>
      <c r="I416" s="2">
        <f t="shared" si="210"/>
        <v>0</v>
      </c>
      <c r="J416" s="2">
        <f t="shared" si="210"/>
        <v>0</v>
      </c>
      <c r="K416" s="2">
        <f t="shared" si="220"/>
        <v>0</v>
      </c>
      <c r="M416" s="1" t="s">
        <v>42</v>
      </c>
      <c r="N416" s="2">
        <f t="shared" si="211"/>
        <v>0</v>
      </c>
      <c r="O416" s="2">
        <f t="shared" si="211"/>
        <v>0</v>
      </c>
      <c r="P416" s="2">
        <f t="shared" si="211"/>
        <v>0</v>
      </c>
      <c r="Q416" s="2">
        <f t="shared" si="211"/>
        <v>0</v>
      </c>
      <c r="R416" s="2">
        <f t="shared" si="211"/>
        <v>0</v>
      </c>
      <c r="S416" s="2">
        <f t="shared" si="211"/>
        <v>0</v>
      </c>
      <c r="T416" s="2">
        <f t="shared" si="211"/>
        <v>0</v>
      </c>
      <c r="U416" s="2">
        <f t="shared" si="211"/>
        <v>0</v>
      </c>
      <c r="V416" s="2">
        <f t="shared" si="221"/>
        <v>0</v>
      </c>
      <c r="X416" s="1" t="s">
        <v>42</v>
      </c>
      <c r="Y416" s="2">
        <f t="shared" si="212"/>
        <v>0</v>
      </c>
      <c r="Z416" s="2">
        <f t="shared" si="213"/>
        <v>0</v>
      </c>
      <c r="AA416" s="2">
        <f t="shared" si="214"/>
        <v>0</v>
      </c>
      <c r="AB416" s="2">
        <f t="shared" si="215"/>
        <v>0</v>
      </c>
      <c r="AC416" s="2">
        <f t="shared" si="216"/>
        <v>0</v>
      </c>
      <c r="AD416" s="2">
        <f t="shared" si="217"/>
        <v>0</v>
      </c>
      <c r="AE416" s="2">
        <f t="shared" si="218"/>
        <v>0</v>
      </c>
      <c r="AF416" s="2">
        <f t="shared" si="219"/>
        <v>0</v>
      </c>
      <c r="AG416" s="2">
        <f t="shared" si="222"/>
        <v>0</v>
      </c>
    </row>
    <row r="417" spans="2:33" x14ac:dyDescent="0.25">
      <c r="B417" s="1" t="s">
        <v>6</v>
      </c>
      <c r="C417" s="2">
        <f t="shared" si="210"/>
        <v>0</v>
      </c>
      <c r="D417" s="2">
        <f t="shared" si="210"/>
        <v>0</v>
      </c>
      <c r="E417" s="2">
        <f t="shared" si="210"/>
        <v>0</v>
      </c>
      <c r="F417" s="2">
        <f t="shared" si="210"/>
        <v>0</v>
      </c>
      <c r="G417" s="2">
        <f t="shared" si="210"/>
        <v>0</v>
      </c>
      <c r="H417" s="2">
        <f t="shared" si="210"/>
        <v>0</v>
      </c>
      <c r="I417" s="2">
        <f t="shared" si="210"/>
        <v>0</v>
      </c>
      <c r="J417" s="2">
        <f t="shared" si="210"/>
        <v>-152.89999999999998</v>
      </c>
      <c r="K417" s="2">
        <f t="shared" si="220"/>
        <v>-152.89999999999998</v>
      </c>
      <c r="M417" s="1" t="s">
        <v>6</v>
      </c>
      <c r="N417" s="2">
        <f t="shared" si="211"/>
        <v>0</v>
      </c>
      <c r="O417" s="2">
        <f t="shared" si="211"/>
        <v>0</v>
      </c>
      <c r="P417" s="2">
        <f t="shared" si="211"/>
        <v>0</v>
      </c>
      <c r="Q417" s="2">
        <f t="shared" si="211"/>
        <v>0</v>
      </c>
      <c r="R417" s="2">
        <f t="shared" si="211"/>
        <v>0</v>
      </c>
      <c r="S417" s="2">
        <f t="shared" si="211"/>
        <v>0</v>
      </c>
      <c r="T417" s="2">
        <f t="shared" si="211"/>
        <v>0</v>
      </c>
      <c r="U417" s="2">
        <f t="shared" si="211"/>
        <v>-152.89999999999998</v>
      </c>
      <c r="V417" s="2">
        <f t="shared" si="221"/>
        <v>-152.89999999999998</v>
      </c>
      <c r="X417" s="1" t="s">
        <v>6</v>
      </c>
      <c r="Y417" s="2">
        <f t="shared" si="212"/>
        <v>0</v>
      </c>
      <c r="Z417" s="2">
        <f t="shared" si="213"/>
        <v>0</v>
      </c>
      <c r="AA417" s="2">
        <f t="shared" si="214"/>
        <v>0</v>
      </c>
      <c r="AB417" s="2">
        <f t="shared" si="215"/>
        <v>0</v>
      </c>
      <c r="AC417" s="2">
        <f t="shared" si="216"/>
        <v>0</v>
      </c>
      <c r="AD417" s="2">
        <f t="shared" si="217"/>
        <v>0</v>
      </c>
      <c r="AE417" s="2">
        <f t="shared" si="218"/>
        <v>0</v>
      </c>
      <c r="AF417" s="2">
        <f t="shared" si="219"/>
        <v>0</v>
      </c>
      <c r="AG417" s="2">
        <f t="shared" si="222"/>
        <v>0</v>
      </c>
    </row>
    <row r="418" spans="2:33" x14ac:dyDescent="0.25">
      <c r="B418" s="1" t="s">
        <v>90</v>
      </c>
      <c r="C418" s="2">
        <f t="shared" si="210"/>
        <v>0</v>
      </c>
      <c r="D418" s="2">
        <f t="shared" si="210"/>
        <v>0</v>
      </c>
      <c r="E418" s="2">
        <f t="shared" si="210"/>
        <v>0</v>
      </c>
      <c r="F418" s="2">
        <f t="shared" si="210"/>
        <v>0</v>
      </c>
      <c r="G418" s="2">
        <f t="shared" si="210"/>
        <v>0</v>
      </c>
      <c r="H418" s="2">
        <f t="shared" si="210"/>
        <v>0</v>
      </c>
      <c r="I418" s="2">
        <f t="shared" si="210"/>
        <v>0</v>
      </c>
      <c r="J418" s="2">
        <f t="shared" si="210"/>
        <v>0</v>
      </c>
      <c r="K418" s="2">
        <f t="shared" si="220"/>
        <v>0</v>
      </c>
      <c r="M418" s="1" t="s">
        <v>90</v>
      </c>
      <c r="N418" s="2">
        <f t="shared" si="211"/>
        <v>0</v>
      </c>
      <c r="O418" s="2">
        <f t="shared" si="211"/>
        <v>0</v>
      </c>
      <c r="P418" s="2">
        <f t="shared" si="211"/>
        <v>0</v>
      </c>
      <c r="Q418" s="2">
        <f t="shared" si="211"/>
        <v>0</v>
      </c>
      <c r="R418" s="2">
        <f t="shared" si="211"/>
        <v>0</v>
      </c>
      <c r="S418" s="2">
        <f t="shared" si="211"/>
        <v>0</v>
      </c>
      <c r="T418" s="2">
        <f t="shared" si="211"/>
        <v>0</v>
      </c>
      <c r="U418" s="2">
        <f t="shared" si="211"/>
        <v>0</v>
      </c>
      <c r="V418" s="2">
        <f t="shared" si="221"/>
        <v>0</v>
      </c>
      <c r="X418" s="1" t="s">
        <v>90</v>
      </c>
      <c r="Y418" s="2">
        <f t="shared" si="212"/>
        <v>0</v>
      </c>
      <c r="Z418" s="2">
        <f t="shared" si="213"/>
        <v>0</v>
      </c>
      <c r="AA418" s="2">
        <f t="shared" si="214"/>
        <v>0</v>
      </c>
      <c r="AB418" s="2">
        <f t="shared" si="215"/>
        <v>0</v>
      </c>
      <c r="AC418" s="2">
        <f t="shared" si="216"/>
        <v>0</v>
      </c>
      <c r="AD418" s="2">
        <f t="shared" si="217"/>
        <v>0</v>
      </c>
      <c r="AE418" s="2">
        <f t="shared" si="218"/>
        <v>0</v>
      </c>
      <c r="AF418" s="2">
        <f t="shared" si="219"/>
        <v>0</v>
      </c>
      <c r="AG418" s="2">
        <f t="shared" si="222"/>
        <v>0</v>
      </c>
    </row>
    <row r="419" spans="2:33" x14ac:dyDescent="0.25">
      <c r="B419" s="1" t="s">
        <v>342</v>
      </c>
      <c r="C419" s="2">
        <f t="shared" si="210"/>
        <v>0</v>
      </c>
      <c r="D419" s="2">
        <f t="shared" si="210"/>
        <v>0</v>
      </c>
      <c r="E419" s="2">
        <f t="shared" si="210"/>
        <v>0</v>
      </c>
      <c r="F419" s="2">
        <f t="shared" si="210"/>
        <v>0</v>
      </c>
      <c r="G419" s="2">
        <f t="shared" si="210"/>
        <v>0</v>
      </c>
      <c r="H419" s="2">
        <f t="shared" si="210"/>
        <v>0</v>
      </c>
      <c r="I419" s="2">
        <f t="shared" si="210"/>
        <v>0</v>
      </c>
      <c r="J419" s="2">
        <f t="shared" si="210"/>
        <v>0</v>
      </c>
      <c r="K419" s="2">
        <f t="shared" si="220"/>
        <v>0</v>
      </c>
      <c r="M419" s="1" t="s">
        <v>342</v>
      </c>
      <c r="N419" s="2">
        <f t="shared" si="211"/>
        <v>0</v>
      </c>
      <c r="O419" s="2">
        <f t="shared" si="211"/>
        <v>0</v>
      </c>
      <c r="P419" s="2">
        <f t="shared" si="211"/>
        <v>0</v>
      </c>
      <c r="Q419" s="2">
        <f t="shared" si="211"/>
        <v>0</v>
      </c>
      <c r="R419" s="2">
        <f t="shared" si="211"/>
        <v>0</v>
      </c>
      <c r="S419" s="2">
        <f t="shared" si="211"/>
        <v>0</v>
      </c>
      <c r="T419" s="2">
        <f t="shared" si="211"/>
        <v>0</v>
      </c>
      <c r="U419" s="2">
        <f t="shared" si="211"/>
        <v>0</v>
      </c>
      <c r="V419" s="2">
        <f t="shared" si="221"/>
        <v>0</v>
      </c>
      <c r="X419" s="1" t="s">
        <v>342</v>
      </c>
      <c r="Y419" s="2">
        <f t="shared" si="212"/>
        <v>0</v>
      </c>
      <c r="Z419" s="2">
        <f t="shared" si="213"/>
        <v>0</v>
      </c>
      <c r="AA419" s="2">
        <f t="shared" si="214"/>
        <v>0</v>
      </c>
      <c r="AB419" s="2">
        <f t="shared" si="215"/>
        <v>0</v>
      </c>
      <c r="AC419" s="2">
        <f t="shared" si="216"/>
        <v>0</v>
      </c>
      <c r="AD419" s="2">
        <f t="shared" si="217"/>
        <v>0</v>
      </c>
      <c r="AE419" s="2">
        <f t="shared" si="218"/>
        <v>0</v>
      </c>
      <c r="AF419" s="2">
        <f t="shared" si="219"/>
        <v>0</v>
      </c>
      <c r="AG419" s="2">
        <f t="shared" si="222"/>
        <v>0</v>
      </c>
    </row>
    <row r="420" spans="2:33" x14ac:dyDescent="0.25">
      <c r="B420" s="1" t="s">
        <v>89</v>
      </c>
      <c r="C420" s="2">
        <f t="shared" si="210"/>
        <v>0</v>
      </c>
      <c r="D420" s="2">
        <f t="shared" si="210"/>
        <v>0</v>
      </c>
      <c r="E420" s="2">
        <f t="shared" si="210"/>
        <v>0</v>
      </c>
      <c r="F420" s="2">
        <f t="shared" si="210"/>
        <v>0</v>
      </c>
      <c r="G420" s="2">
        <f t="shared" si="210"/>
        <v>0</v>
      </c>
      <c r="H420" s="2">
        <f t="shared" si="210"/>
        <v>0</v>
      </c>
      <c r="I420" s="2">
        <f t="shared" si="210"/>
        <v>0</v>
      </c>
      <c r="J420" s="2">
        <f t="shared" si="210"/>
        <v>0</v>
      </c>
      <c r="K420" s="2">
        <f t="shared" si="220"/>
        <v>0</v>
      </c>
      <c r="M420" s="1" t="s">
        <v>89</v>
      </c>
      <c r="N420" s="2">
        <f t="shared" si="211"/>
        <v>0</v>
      </c>
      <c r="O420" s="2">
        <f t="shared" si="211"/>
        <v>0</v>
      </c>
      <c r="P420" s="2">
        <f t="shared" si="211"/>
        <v>0</v>
      </c>
      <c r="Q420" s="2">
        <f t="shared" si="211"/>
        <v>0</v>
      </c>
      <c r="R420" s="2">
        <f t="shared" si="211"/>
        <v>0</v>
      </c>
      <c r="S420" s="2">
        <f t="shared" si="211"/>
        <v>0</v>
      </c>
      <c r="T420" s="2">
        <f t="shared" si="211"/>
        <v>0</v>
      </c>
      <c r="U420" s="2">
        <f t="shared" si="211"/>
        <v>0</v>
      </c>
      <c r="V420" s="2">
        <f t="shared" si="221"/>
        <v>0</v>
      </c>
      <c r="X420" s="1" t="s">
        <v>89</v>
      </c>
      <c r="Y420" s="2">
        <f t="shared" si="212"/>
        <v>0</v>
      </c>
      <c r="Z420" s="2">
        <f t="shared" si="213"/>
        <v>0</v>
      </c>
      <c r="AA420" s="2">
        <f t="shared" si="214"/>
        <v>0</v>
      </c>
      <c r="AB420" s="2">
        <f t="shared" si="215"/>
        <v>0</v>
      </c>
      <c r="AC420" s="2">
        <f t="shared" si="216"/>
        <v>0</v>
      </c>
      <c r="AD420" s="2">
        <f t="shared" si="217"/>
        <v>0</v>
      </c>
      <c r="AE420" s="2">
        <f t="shared" si="218"/>
        <v>0</v>
      </c>
      <c r="AF420" s="2">
        <f t="shared" si="219"/>
        <v>0</v>
      </c>
      <c r="AG420" s="2">
        <f t="shared" si="222"/>
        <v>0</v>
      </c>
    </row>
    <row r="421" spans="2:33" x14ac:dyDescent="0.25">
      <c r="B421" s="1" t="s">
        <v>5</v>
      </c>
      <c r="C421" s="2">
        <f t="shared" si="210"/>
        <v>0</v>
      </c>
      <c r="D421" s="2">
        <f t="shared" si="210"/>
        <v>0</v>
      </c>
      <c r="E421" s="2">
        <f t="shared" si="210"/>
        <v>0</v>
      </c>
      <c r="F421" s="2">
        <f t="shared" si="210"/>
        <v>0</v>
      </c>
      <c r="G421" s="2">
        <f t="shared" si="210"/>
        <v>0</v>
      </c>
      <c r="H421" s="2">
        <f t="shared" si="210"/>
        <v>0</v>
      </c>
      <c r="I421" s="2">
        <f t="shared" si="210"/>
        <v>0</v>
      </c>
      <c r="J421" s="2">
        <f t="shared" si="210"/>
        <v>0</v>
      </c>
      <c r="K421" s="2">
        <f t="shared" si="220"/>
        <v>0</v>
      </c>
      <c r="M421" s="1" t="s">
        <v>5</v>
      </c>
      <c r="N421" s="2">
        <f t="shared" si="211"/>
        <v>0</v>
      </c>
      <c r="O421" s="2">
        <f t="shared" si="211"/>
        <v>0</v>
      </c>
      <c r="P421" s="2">
        <f t="shared" si="211"/>
        <v>0</v>
      </c>
      <c r="Q421" s="2">
        <f t="shared" si="211"/>
        <v>0</v>
      </c>
      <c r="R421" s="2">
        <f t="shared" si="211"/>
        <v>0</v>
      </c>
      <c r="S421" s="2">
        <f t="shared" si="211"/>
        <v>0</v>
      </c>
      <c r="T421" s="2">
        <f t="shared" si="211"/>
        <v>0</v>
      </c>
      <c r="U421" s="2">
        <f t="shared" si="211"/>
        <v>0</v>
      </c>
      <c r="V421" s="2">
        <f t="shared" si="221"/>
        <v>0</v>
      </c>
      <c r="X421" s="1" t="s">
        <v>5</v>
      </c>
      <c r="Y421" s="2">
        <f t="shared" si="212"/>
        <v>0</v>
      </c>
      <c r="Z421" s="2">
        <f t="shared" si="213"/>
        <v>0</v>
      </c>
      <c r="AA421" s="2">
        <f t="shared" si="214"/>
        <v>0</v>
      </c>
      <c r="AB421" s="2">
        <f t="shared" si="215"/>
        <v>0</v>
      </c>
      <c r="AC421" s="2">
        <f t="shared" si="216"/>
        <v>0</v>
      </c>
      <c r="AD421" s="2">
        <f t="shared" si="217"/>
        <v>0</v>
      </c>
      <c r="AE421" s="2">
        <f t="shared" si="218"/>
        <v>0</v>
      </c>
      <c r="AF421" s="2">
        <f t="shared" si="219"/>
        <v>0</v>
      </c>
      <c r="AG421" s="2">
        <f t="shared" si="222"/>
        <v>0</v>
      </c>
    </row>
    <row r="422" spans="2:33" x14ac:dyDescent="0.25">
      <c r="B422" s="1" t="s">
        <v>84</v>
      </c>
      <c r="C422" s="2">
        <f t="shared" si="210"/>
        <v>0</v>
      </c>
      <c r="D422" s="2">
        <f t="shared" si="210"/>
        <v>0</v>
      </c>
      <c r="E422" s="2">
        <f t="shared" si="210"/>
        <v>0</v>
      </c>
      <c r="F422" s="2">
        <f t="shared" si="210"/>
        <v>0</v>
      </c>
      <c r="G422" s="2">
        <f t="shared" si="210"/>
        <v>0</v>
      </c>
      <c r="H422" s="2">
        <f t="shared" si="210"/>
        <v>0</v>
      </c>
      <c r="I422" s="2">
        <f t="shared" si="210"/>
        <v>0</v>
      </c>
      <c r="J422" s="2">
        <f t="shared" si="210"/>
        <v>-13.600000000000001</v>
      </c>
      <c r="K422" s="2">
        <f t="shared" si="220"/>
        <v>-13.600000000000001</v>
      </c>
      <c r="M422" s="1" t="s">
        <v>84</v>
      </c>
      <c r="N422" s="2">
        <f t="shared" si="211"/>
        <v>0</v>
      </c>
      <c r="O422" s="2">
        <f t="shared" si="211"/>
        <v>0</v>
      </c>
      <c r="P422" s="2">
        <f t="shared" si="211"/>
        <v>0</v>
      </c>
      <c r="Q422" s="2">
        <f t="shared" si="211"/>
        <v>0</v>
      </c>
      <c r="R422" s="2">
        <f t="shared" si="211"/>
        <v>0</v>
      </c>
      <c r="S422" s="2">
        <f t="shared" si="211"/>
        <v>0</v>
      </c>
      <c r="T422" s="2">
        <f t="shared" si="211"/>
        <v>0</v>
      </c>
      <c r="U422" s="2">
        <f t="shared" si="211"/>
        <v>-13.600000000000001</v>
      </c>
      <c r="V422" s="2">
        <f t="shared" si="221"/>
        <v>-13.600000000000001</v>
      </c>
      <c r="X422" s="1" t="s">
        <v>84</v>
      </c>
      <c r="Y422" s="2">
        <f t="shared" si="212"/>
        <v>0</v>
      </c>
      <c r="Z422" s="2">
        <f t="shared" si="213"/>
        <v>0</v>
      </c>
      <c r="AA422" s="2">
        <f t="shared" si="214"/>
        <v>0</v>
      </c>
      <c r="AB422" s="2">
        <f t="shared" si="215"/>
        <v>0</v>
      </c>
      <c r="AC422" s="2">
        <f t="shared" si="216"/>
        <v>0</v>
      </c>
      <c r="AD422" s="2">
        <f t="shared" si="217"/>
        <v>0</v>
      </c>
      <c r="AE422" s="2">
        <f t="shared" si="218"/>
        <v>0</v>
      </c>
      <c r="AF422" s="2">
        <f t="shared" si="219"/>
        <v>0</v>
      </c>
      <c r="AG422" s="2">
        <f t="shared" si="222"/>
        <v>0</v>
      </c>
    </row>
    <row r="423" spans="2:33" x14ac:dyDescent="0.25">
      <c r="B423" s="1" t="s">
        <v>4</v>
      </c>
      <c r="C423" s="2">
        <f t="shared" ref="C423:J429" si="223">C397+C371+C345+C319+C293+C267+C241+C215+C189+C163+C137+C111+C85+C59+C33</f>
        <v>0</v>
      </c>
      <c r="D423" s="2">
        <f t="shared" si="223"/>
        <v>0</v>
      </c>
      <c r="E423" s="2">
        <f t="shared" si="223"/>
        <v>0</v>
      </c>
      <c r="F423" s="2">
        <f t="shared" si="223"/>
        <v>0</v>
      </c>
      <c r="G423" s="2">
        <f t="shared" si="223"/>
        <v>0</v>
      </c>
      <c r="H423" s="2">
        <f t="shared" si="223"/>
        <v>0</v>
      </c>
      <c r="I423" s="2">
        <f t="shared" si="223"/>
        <v>0</v>
      </c>
      <c r="J423" s="2">
        <f t="shared" si="223"/>
        <v>-233.56000000000003</v>
      </c>
      <c r="K423" s="2">
        <f t="shared" si="220"/>
        <v>-233.56000000000003</v>
      </c>
      <c r="M423" s="1" t="s">
        <v>4</v>
      </c>
      <c r="N423" s="2">
        <f t="shared" ref="N423:U429" si="224">N397+N371+N345+N319+N293+N267+N241+N215+N189+N163+N137+N111+N85+N59+N33</f>
        <v>0</v>
      </c>
      <c r="O423" s="2">
        <f t="shared" si="224"/>
        <v>0</v>
      </c>
      <c r="P423" s="2">
        <f t="shared" si="224"/>
        <v>0</v>
      </c>
      <c r="Q423" s="2">
        <f t="shared" si="224"/>
        <v>0</v>
      </c>
      <c r="R423" s="2">
        <f t="shared" si="224"/>
        <v>0</v>
      </c>
      <c r="S423" s="2">
        <f t="shared" si="224"/>
        <v>0</v>
      </c>
      <c r="T423" s="2">
        <f t="shared" si="224"/>
        <v>0</v>
      </c>
      <c r="U423" s="2">
        <f t="shared" si="224"/>
        <v>-233.56</v>
      </c>
      <c r="V423" s="2">
        <f t="shared" si="221"/>
        <v>-233.56</v>
      </c>
      <c r="X423" s="1" t="s">
        <v>4</v>
      </c>
      <c r="Y423" s="2">
        <f t="shared" si="212"/>
        <v>0</v>
      </c>
      <c r="Z423" s="2">
        <f t="shared" si="213"/>
        <v>0</v>
      </c>
      <c r="AA423" s="2">
        <f t="shared" si="214"/>
        <v>0</v>
      </c>
      <c r="AB423" s="2">
        <f t="shared" si="215"/>
        <v>0</v>
      </c>
      <c r="AC423" s="2">
        <f t="shared" si="216"/>
        <v>0</v>
      </c>
      <c r="AD423" s="2">
        <f t="shared" si="217"/>
        <v>0</v>
      </c>
      <c r="AE423" s="2">
        <f t="shared" si="218"/>
        <v>0</v>
      </c>
      <c r="AF423" s="2">
        <f t="shared" si="219"/>
        <v>0</v>
      </c>
      <c r="AG423" s="2">
        <f t="shared" si="222"/>
        <v>0</v>
      </c>
    </row>
    <row r="424" spans="2:33" x14ac:dyDescent="0.25">
      <c r="B424" s="1" t="s">
        <v>51</v>
      </c>
      <c r="C424" s="2">
        <f t="shared" si="223"/>
        <v>0</v>
      </c>
      <c r="D424" s="2">
        <f t="shared" si="223"/>
        <v>0</v>
      </c>
      <c r="E424" s="2">
        <f t="shared" si="223"/>
        <v>0</v>
      </c>
      <c r="F424" s="2">
        <f t="shared" si="223"/>
        <v>0</v>
      </c>
      <c r="G424" s="2">
        <f t="shared" si="223"/>
        <v>0</v>
      </c>
      <c r="H424" s="2">
        <f t="shared" si="223"/>
        <v>0</v>
      </c>
      <c r="I424" s="2">
        <f t="shared" si="223"/>
        <v>0</v>
      </c>
      <c r="J424" s="2">
        <f t="shared" si="223"/>
        <v>0</v>
      </c>
      <c r="K424" s="2">
        <f t="shared" si="220"/>
        <v>0</v>
      </c>
      <c r="M424" s="1" t="s">
        <v>51</v>
      </c>
      <c r="N424" s="2">
        <f t="shared" si="224"/>
        <v>0</v>
      </c>
      <c r="O424" s="2">
        <f t="shared" si="224"/>
        <v>0</v>
      </c>
      <c r="P424" s="2">
        <f t="shared" si="224"/>
        <v>0</v>
      </c>
      <c r="Q424" s="2">
        <f t="shared" si="224"/>
        <v>0</v>
      </c>
      <c r="R424" s="2">
        <f t="shared" si="224"/>
        <v>0</v>
      </c>
      <c r="S424" s="2">
        <f t="shared" si="224"/>
        <v>0</v>
      </c>
      <c r="T424" s="2">
        <f t="shared" si="224"/>
        <v>0</v>
      </c>
      <c r="U424" s="2">
        <f t="shared" si="224"/>
        <v>0</v>
      </c>
      <c r="V424" s="2">
        <f t="shared" si="221"/>
        <v>0</v>
      </c>
      <c r="X424" s="1" t="s">
        <v>51</v>
      </c>
      <c r="Y424" s="2">
        <f t="shared" si="212"/>
        <v>0</v>
      </c>
      <c r="Z424" s="2">
        <f t="shared" si="213"/>
        <v>0</v>
      </c>
      <c r="AA424" s="2">
        <f t="shared" si="214"/>
        <v>0</v>
      </c>
      <c r="AB424" s="2">
        <f t="shared" si="215"/>
        <v>0</v>
      </c>
      <c r="AC424" s="2">
        <f t="shared" si="216"/>
        <v>0</v>
      </c>
      <c r="AD424" s="2">
        <f t="shared" si="217"/>
        <v>0</v>
      </c>
      <c r="AE424" s="2">
        <f t="shared" si="218"/>
        <v>0</v>
      </c>
      <c r="AF424" s="2">
        <f t="shared" si="219"/>
        <v>0</v>
      </c>
      <c r="AG424" s="2">
        <f t="shared" si="222"/>
        <v>0</v>
      </c>
    </row>
    <row r="425" spans="2:33" x14ac:dyDescent="0.25">
      <c r="B425" s="1" t="s">
        <v>87</v>
      </c>
      <c r="C425" s="2">
        <f t="shared" si="223"/>
        <v>0</v>
      </c>
      <c r="D425" s="2">
        <f t="shared" si="223"/>
        <v>0</v>
      </c>
      <c r="E425" s="2">
        <f t="shared" si="223"/>
        <v>0</v>
      </c>
      <c r="F425" s="2">
        <f t="shared" si="223"/>
        <v>0</v>
      </c>
      <c r="G425" s="2">
        <f t="shared" si="223"/>
        <v>0</v>
      </c>
      <c r="H425" s="2">
        <f t="shared" si="223"/>
        <v>0</v>
      </c>
      <c r="I425" s="2">
        <f t="shared" si="223"/>
        <v>0</v>
      </c>
      <c r="J425" s="2">
        <f t="shared" si="223"/>
        <v>0</v>
      </c>
      <c r="K425" s="2">
        <f t="shared" si="220"/>
        <v>0</v>
      </c>
      <c r="M425" s="1" t="s">
        <v>87</v>
      </c>
      <c r="N425" s="2">
        <f t="shared" si="224"/>
        <v>0</v>
      </c>
      <c r="O425" s="2">
        <f t="shared" si="224"/>
        <v>0</v>
      </c>
      <c r="P425" s="2">
        <f t="shared" si="224"/>
        <v>0</v>
      </c>
      <c r="Q425" s="2">
        <f t="shared" si="224"/>
        <v>0</v>
      </c>
      <c r="R425" s="2">
        <f t="shared" si="224"/>
        <v>0</v>
      </c>
      <c r="S425" s="2">
        <f t="shared" si="224"/>
        <v>0</v>
      </c>
      <c r="T425" s="2">
        <f t="shared" si="224"/>
        <v>0</v>
      </c>
      <c r="U425" s="2">
        <f t="shared" si="224"/>
        <v>0</v>
      </c>
      <c r="V425" s="2">
        <f t="shared" si="221"/>
        <v>0</v>
      </c>
      <c r="X425" s="1" t="s">
        <v>87</v>
      </c>
      <c r="Y425" s="2">
        <f t="shared" si="212"/>
        <v>0</v>
      </c>
      <c r="Z425" s="2">
        <f t="shared" si="213"/>
        <v>0</v>
      </c>
      <c r="AA425" s="2">
        <f t="shared" si="214"/>
        <v>0</v>
      </c>
      <c r="AB425" s="2">
        <f t="shared" si="215"/>
        <v>0</v>
      </c>
      <c r="AC425" s="2">
        <f t="shared" si="216"/>
        <v>0</v>
      </c>
      <c r="AD425" s="2">
        <f t="shared" si="217"/>
        <v>0</v>
      </c>
      <c r="AE425" s="2">
        <f t="shared" si="218"/>
        <v>0</v>
      </c>
      <c r="AF425" s="2">
        <f t="shared" si="219"/>
        <v>0</v>
      </c>
      <c r="AG425" s="2">
        <f t="shared" si="222"/>
        <v>0</v>
      </c>
    </row>
    <row r="426" spans="2:33" x14ac:dyDescent="0.25">
      <c r="B426" s="1" t="s">
        <v>85</v>
      </c>
      <c r="C426" s="2">
        <f t="shared" si="223"/>
        <v>0</v>
      </c>
      <c r="D426" s="2">
        <f t="shared" si="223"/>
        <v>0</v>
      </c>
      <c r="E426" s="2">
        <f t="shared" si="223"/>
        <v>0</v>
      </c>
      <c r="F426" s="2">
        <f t="shared" si="223"/>
        <v>0</v>
      </c>
      <c r="G426" s="2">
        <f t="shared" si="223"/>
        <v>0</v>
      </c>
      <c r="H426" s="2">
        <f t="shared" si="223"/>
        <v>0</v>
      </c>
      <c r="I426" s="2">
        <f t="shared" si="223"/>
        <v>0</v>
      </c>
      <c r="J426" s="2">
        <f t="shared" si="223"/>
        <v>0</v>
      </c>
      <c r="K426" s="2">
        <f t="shared" si="220"/>
        <v>0</v>
      </c>
      <c r="M426" s="1" t="s">
        <v>85</v>
      </c>
      <c r="N426" s="2">
        <f t="shared" si="224"/>
        <v>0</v>
      </c>
      <c r="O426" s="2">
        <f t="shared" si="224"/>
        <v>0</v>
      </c>
      <c r="P426" s="2">
        <f t="shared" si="224"/>
        <v>0</v>
      </c>
      <c r="Q426" s="2">
        <f t="shared" si="224"/>
        <v>0</v>
      </c>
      <c r="R426" s="2">
        <f t="shared" si="224"/>
        <v>0</v>
      </c>
      <c r="S426" s="2">
        <f t="shared" si="224"/>
        <v>0</v>
      </c>
      <c r="T426" s="2">
        <f t="shared" si="224"/>
        <v>0</v>
      </c>
      <c r="U426" s="2">
        <f t="shared" si="224"/>
        <v>0</v>
      </c>
      <c r="V426" s="2">
        <f t="shared" si="221"/>
        <v>0</v>
      </c>
      <c r="X426" s="1" t="s">
        <v>85</v>
      </c>
      <c r="Y426" s="2">
        <f t="shared" si="212"/>
        <v>0</v>
      </c>
      <c r="Z426" s="2">
        <f t="shared" si="213"/>
        <v>0</v>
      </c>
      <c r="AA426" s="2">
        <f t="shared" si="214"/>
        <v>0</v>
      </c>
      <c r="AB426" s="2">
        <f t="shared" si="215"/>
        <v>0</v>
      </c>
      <c r="AC426" s="2">
        <f t="shared" si="216"/>
        <v>0</v>
      </c>
      <c r="AD426" s="2">
        <f t="shared" si="217"/>
        <v>0</v>
      </c>
      <c r="AE426" s="2">
        <f t="shared" si="218"/>
        <v>0</v>
      </c>
      <c r="AF426" s="2">
        <f t="shared" si="219"/>
        <v>0</v>
      </c>
      <c r="AG426" s="2">
        <f t="shared" si="222"/>
        <v>0</v>
      </c>
    </row>
    <row r="427" spans="2:33" x14ac:dyDescent="0.25">
      <c r="B427" s="1" t="s">
        <v>2</v>
      </c>
      <c r="C427" s="2">
        <f t="shared" si="223"/>
        <v>-25887.81</v>
      </c>
      <c r="D427" s="2">
        <f t="shared" si="223"/>
        <v>0</v>
      </c>
      <c r="E427" s="2">
        <f t="shared" si="223"/>
        <v>0</v>
      </c>
      <c r="F427" s="2">
        <f t="shared" si="223"/>
        <v>0</v>
      </c>
      <c r="G427" s="2">
        <f t="shared" si="223"/>
        <v>0</v>
      </c>
      <c r="H427" s="2">
        <f t="shared" si="223"/>
        <v>0</v>
      </c>
      <c r="I427" s="2">
        <f t="shared" si="223"/>
        <v>0</v>
      </c>
      <c r="J427" s="2">
        <f t="shared" si="223"/>
        <v>-340.09</v>
      </c>
      <c r="K427" s="2">
        <f t="shared" si="220"/>
        <v>-26227.9</v>
      </c>
      <c r="M427" s="1" t="s">
        <v>2</v>
      </c>
      <c r="N427" s="2">
        <f t="shared" si="224"/>
        <v>-25887.809999999998</v>
      </c>
      <c r="O427" s="2">
        <f t="shared" si="224"/>
        <v>0</v>
      </c>
      <c r="P427" s="2">
        <f t="shared" si="224"/>
        <v>0</v>
      </c>
      <c r="Q427" s="2">
        <f t="shared" si="224"/>
        <v>0</v>
      </c>
      <c r="R427" s="2">
        <f t="shared" si="224"/>
        <v>0</v>
      </c>
      <c r="S427" s="2">
        <f t="shared" si="224"/>
        <v>0</v>
      </c>
      <c r="T427" s="2">
        <f t="shared" si="224"/>
        <v>0</v>
      </c>
      <c r="U427" s="2">
        <f t="shared" si="224"/>
        <v>-340.09</v>
      </c>
      <c r="V427" s="2">
        <f t="shared" si="221"/>
        <v>-26227.899999999998</v>
      </c>
      <c r="X427" s="1" t="s">
        <v>2</v>
      </c>
      <c r="Y427" s="2">
        <f t="shared" si="212"/>
        <v>0</v>
      </c>
      <c r="Z427" s="2">
        <f t="shared" si="213"/>
        <v>0</v>
      </c>
      <c r="AA427" s="2">
        <f t="shared" si="214"/>
        <v>0</v>
      </c>
      <c r="AB427" s="2">
        <f t="shared" si="215"/>
        <v>0</v>
      </c>
      <c r="AC427" s="2">
        <f t="shared" si="216"/>
        <v>0</v>
      </c>
      <c r="AD427" s="2">
        <f t="shared" si="217"/>
        <v>0</v>
      </c>
      <c r="AE427" s="2">
        <f t="shared" si="218"/>
        <v>0</v>
      </c>
      <c r="AF427" s="2">
        <f t="shared" si="219"/>
        <v>0</v>
      </c>
      <c r="AG427" s="2">
        <f t="shared" si="222"/>
        <v>0</v>
      </c>
    </row>
    <row r="428" spans="2:33" x14ac:dyDescent="0.25">
      <c r="B428" s="1" t="s">
        <v>86</v>
      </c>
      <c r="C428" s="2">
        <f t="shared" si="223"/>
        <v>0</v>
      </c>
      <c r="D428" s="2">
        <f t="shared" si="223"/>
        <v>0</v>
      </c>
      <c r="E428" s="2">
        <f t="shared" si="223"/>
        <v>0</v>
      </c>
      <c r="F428" s="2">
        <f t="shared" si="223"/>
        <v>0</v>
      </c>
      <c r="G428" s="2">
        <f t="shared" si="223"/>
        <v>0</v>
      </c>
      <c r="H428" s="2">
        <f t="shared" si="223"/>
        <v>0</v>
      </c>
      <c r="I428" s="2">
        <f t="shared" si="223"/>
        <v>0</v>
      </c>
      <c r="J428" s="2">
        <f t="shared" si="223"/>
        <v>8.25</v>
      </c>
      <c r="K428" s="2">
        <f t="shared" si="220"/>
        <v>8.25</v>
      </c>
      <c r="M428" s="1" t="s">
        <v>86</v>
      </c>
      <c r="N428" s="2">
        <f t="shared" si="224"/>
        <v>0</v>
      </c>
      <c r="O428" s="2">
        <f t="shared" si="224"/>
        <v>0</v>
      </c>
      <c r="P428" s="2">
        <f t="shared" si="224"/>
        <v>0</v>
      </c>
      <c r="Q428" s="2">
        <f t="shared" si="224"/>
        <v>0</v>
      </c>
      <c r="R428" s="2">
        <f t="shared" si="224"/>
        <v>0</v>
      </c>
      <c r="S428" s="2">
        <f t="shared" si="224"/>
        <v>0</v>
      </c>
      <c r="T428" s="2">
        <f t="shared" si="224"/>
        <v>0</v>
      </c>
      <c r="U428" s="2">
        <f t="shared" si="224"/>
        <v>8.25</v>
      </c>
      <c r="V428" s="2">
        <f t="shared" si="221"/>
        <v>8.25</v>
      </c>
      <c r="X428" s="1" t="s">
        <v>86</v>
      </c>
      <c r="Y428" s="2">
        <f t="shared" si="212"/>
        <v>0</v>
      </c>
      <c r="Z428" s="2">
        <f t="shared" si="213"/>
        <v>0</v>
      </c>
      <c r="AA428" s="2">
        <f t="shared" si="214"/>
        <v>0</v>
      </c>
      <c r="AB428" s="2">
        <f t="shared" si="215"/>
        <v>0</v>
      </c>
      <c r="AC428" s="2">
        <f t="shared" si="216"/>
        <v>0</v>
      </c>
      <c r="AD428" s="2">
        <f t="shared" si="217"/>
        <v>0</v>
      </c>
      <c r="AE428" s="2">
        <f t="shared" si="218"/>
        <v>0</v>
      </c>
      <c r="AF428" s="2">
        <f t="shared" si="219"/>
        <v>0</v>
      </c>
      <c r="AG428" s="2">
        <f t="shared" si="222"/>
        <v>0</v>
      </c>
    </row>
    <row r="429" spans="2:33" x14ac:dyDescent="0.25">
      <c r="B429" s="1" t="s">
        <v>29</v>
      </c>
      <c r="C429" s="2">
        <f t="shared" si="223"/>
        <v>0</v>
      </c>
      <c r="D429" s="2">
        <f t="shared" si="223"/>
        <v>0</v>
      </c>
      <c r="E429" s="2">
        <f t="shared" si="223"/>
        <v>0</v>
      </c>
      <c r="F429" s="2">
        <f t="shared" si="223"/>
        <v>0</v>
      </c>
      <c r="G429" s="2">
        <f t="shared" si="223"/>
        <v>0</v>
      </c>
      <c r="H429" s="2">
        <f t="shared" si="223"/>
        <v>0</v>
      </c>
      <c r="I429" s="2">
        <f t="shared" si="223"/>
        <v>0</v>
      </c>
      <c r="J429" s="2">
        <f t="shared" si="223"/>
        <v>-650.6</v>
      </c>
      <c r="K429" s="2">
        <f t="shared" si="220"/>
        <v>-650.6</v>
      </c>
      <c r="M429" s="1" t="s">
        <v>29</v>
      </c>
      <c r="N429" s="2">
        <f t="shared" si="224"/>
        <v>0</v>
      </c>
      <c r="O429" s="2">
        <f t="shared" si="224"/>
        <v>0</v>
      </c>
      <c r="P429" s="2">
        <f t="shared" si="224"/>
        <v>0</v>
      </c>
      <c r="Q429" s="2">
        <f t="shared" si="224"/>
        <v>0</v>
      </c>
      <c r="R429" s="2">
        <f t="shared" si="224"/>
        <v>0</v>
      </c>
      <c r="S429" s="2">
        <f t="shared" si="224"/>
        <v>0</v>
      </c>
      <c r="T429" s="2">
        <f t="shared" si="224"/>
        <v>0</v>
      </c>
      <c r="U429" s="2">
        <f t="shared" si="224"/>
        <v>-650.59999999999991</v>
      </c>
      <c r="V429" s="2">
        <f t="shared" si="221"/>
        <v>-650.59999999999991</v>
      </c>
      <c r="X429" s="1" t="s">
        <v>29</v>
      </c>
      <c r="Y429" s="2">
        <f t="shared" si="212"/>
        <v>0</v>
      </c>
      <c r="Z429" s="2">
        <f t="shared" si="213"/>
        <v>0</v>
      </c>
      <c r="AA429" s="2">
        <f t="shared" si="214"/>
        <v>0</v>
      </c>
      <c r="AB429" s="2">
        <f t="shared" si="215"/>
        <v>0</v>
      </c>
      <c r="AC429" s="2">
        <f t="shared" si="216"/>
        <v>0</v>
      </c>
      <c r="AD429" s="2">
        <f t="shared" si="217"/>
        <v>0</v>
      </c>
      <c r="AE429" s="2">
        <f t="shared" si="218"/>
        <v>0</v>
      </c>
      <c r="AF429" s="2">
        <f t="shared" si="219"/>
        <v>0</v>
      </c>
      <c r="AG429" s="2">
        <f t="shared" si="222"/>
        <v>0</v>
      </c>
    </row>
    <row r="430" spans="2:33" x14ac:dyDescent="0.25">
      <c r="B430" s="1" t="s">
        <v>88</v>
      </c>
      <c r="C430" s="2">
        <f t="shared" ref="C430:J430" si="225">C405+C379+C353+C327+C301+C275+C249+C223+C197+C171+C145+C119+C93+C66+C40</f>
        <v>0</v>
      </c>
      <c r="D430" s="2">
        <f t="shared" si="225"/>
        <v>0</v>
      </c>
      <c r="E430" s="2">
        <f t="shared" si="225"/>
        <v>0</v>
      </c>
      <c r="F430" s="2">
        <f t="shared" si="225"/>
        <v>0</v>
      </c>
      <c r="G430" s="2">
        <f t="shared" si="225"/>
        <v>0</v>
      </c>
      <c r="H430" s="2">
        <f t="shared" si="225"/>
        <v>0</v>
      </c>
      <c r="I430" s="2">
        <f t="shared" si="225"/>
        <v>0</v>
      </c>
      <c r="J430" s="2">
        <f t="shared" si="225"/>
        <v>-2120.3600000000006</v>
      </c>
      <c r="K430" s="2">
        <f>SUM(C430:J430)</f>
        <v>-2120.3600000000006</v>
      </c>
      <c r="M430" s="1" t="s">
        <v>88</v>
      </c>
      <c r="N430" s="2">
        <f t="shared" ref="N430:U430" si="226">N405+N379+N353+N327+N301+N275+N249+N223+N197+N171+N145+N119+N93+N66+N40</f>
        <v>0</v>
      </c>
      <c r="O430" s="2">
        <f t="shared" si="226"/>
        <v>0</v>
      </c>
      <c r="P430" s="2">
        <f t="shared" si="226"/>
        <v>0</v>
      </c>
      <c r="Q430" s="2">
        <f t="shared" si="226"/>
        <v>0</v>
      </c>
      <c r="R430" s="2">
        <f t="shared" si="226"/>
        <v>0</v>
      </c>
      <c r="S430" s="2">
        <f t="shared" si="226"/>
        <v>0</v>
      </c>
      <c r="T430" s="2">
        <f t="shared" si="226"/>
        <v>0</v>
      </c>
      <c r="U430" s="2">
        <f t="shared" si="226"/>
        <v>-2120.3600000000006</v>
      </c>
      <c r="V430" s="2">
        <f>SUM(N430:U430)</f>
        <v>-2120.3600000000006</v>
      </c>
      <c r="X430" s="1" t="s">
        <v>88</v>
      </c>
      <c r="Y430" s="2">
        <f t="shared" si="212"/>
        <v>0</v>
      </c>
      <c r="Z430" s="2">
        <f t="shared" si="213"/>
        <v>0</v>
      </c>
      <c r="AA430" s="2">
        <f t="shared" si="214"/>
        <v>0</v>
      </c>
      <c r="AB430" s="2">
        <f t="shared" si="215"/>
        <v>0</v>
      </c>
      <c r="AC430" s="2">
        <f t="shared" si="216"/>
        <v>0</v>
      </c>
      <c r="AD430" s="2">
        <f t="shared" si="217"/>
        <v>0</v>
      </c>
      <c r="AE430" s="2">
        <f t="shared" si="218"/>
        <v>0</v>
      </c>
      <c r="AF430" s="2">
        <f t="shared" si="219"/>
        <v>0</v>
      </c>
      <c r="AG430" s="2">
        <f>SUM(Y430:AF430)</f>
        <v>0</v>
      </c>
    </row>
    <row r="431" spans="2:33" x14ac:dyDescent="0.25">
      <c r="B431" s="1" t="s">
        <v>341</v>
      </c>
      <c r="C431" s="2">
        <f t="shared" ref="C431:J431" si="227">C404+C378+C352+C326+C300+C274+C248+C222+C196+C170+C144+C118+C92+C67+C41</f>
        <v>0</v>
      </c>
      <c r="D431" s="2">
        <f t="shared" si="227"/>
        <v>0</v>
      </c>
      <c r="E431" s="2">
        <f t="shared" si="227"/>
        <v>0</v>
      </c>
      <c r="F431" s="2">
        <f t="shared" si="227"/>
        <v>0</v>
      </c>
      <c r="G431" s="2">
        <f t="shared" si="227"/>
        <v>0</v>
      </c>
      <c r="H431" s="2">
        <f t="shared" si="227"/>
        <v>0</v>
      </c>
      <c r="I431" s="2">
        <f t="shared" si="227"/>
        <v>0</v>
      </c>
      <c r="J431" s="2">
        <f t="shared" si="227"/>
        <v>0</v>
      </c>
      <c r="K431" s="2">
        <f t="shared" si="220"/>
        <v>0</v>
      </c>
      <c r="M431" s="1" t="s">
        <v>341</v>
      </c>
      <c r="N431" s="2">
        <f t="shared" ref="N431:U431" si="228">N404+N378+N352+N326+N300+N274+N248+N222+N196+N170+N144+N118+N92+N67+N41</f>
        <v>0</v>
      </c>
      <c r="O431" s="2">
        <f t="shared" si="228"/>
        <v>0</v>
      </c>
      <c r="P431" s="2">
        <f t="shared" si="228"/>
        <v>0</v>
      </c>
      <c r="Q431" s="2">
        <f t="shared" si="228"/>
        <v>0</v>
      </c>
      <c r="R431" s="2">
        <f t="shared" si="228"/>
        <v>0</v>
      </c>
      <c r="S431" s="2">
        <f t="shared" si="228"/>
        <v>0</v>
      </c>
      <c r="T431" s="2">
        <f t="shared" si="228"/>
        <v>0</v>
      </c>
      <c r="U431" s="2">
        <f t="shared" si="228"/>
        <v>0</v>
      </c>
      <c r="V431" s="2">
        <f t="shared" si="221"/>
        <v>0</v>
      </c>
      <c r="X431" s="1" t="s">
        <v>341</v>
      </c>
      <c r="Y431" s="2">
        <f t="shared" si="212"/>
        <v>0</v>
      </c>
      <c r="Z431" s="2">
        <f t="shared" si="213"/>
        <v>0</v>
      </c>
      <c r="AA431" s="2">
        <f t="shared" si="214"/>
        <v>0</v>
      </c>
      <c r="AB431" s="2">
        <f t="shared" si="215"/>
        <v>0</v>
      </c>
      <c r="AC431" s="2">
        <f t="shared" si="216"/>
        <v>0</v>
      </c>
      <c r="AD431" s="2">
        <f t="shared" si="217"/>
        <v>0</v>
      </c>
      <c r="AE431" s="2">
        <f t="shared" si="218"/>
        <v>0</v>
      </c>
      <c r="AF431" s="2">
        <f t="shared" si="219"/>
        <v>0</v>
      </c>
      <c r="AG431" s="2">
        <f t="shared" si="222"/>
        <v>0</v>
      </c>
    </row>
    <row r="432" spans="2:33" x14ac:dyDescent="0.25">
      <c r="B432" s="1" t="s">
        <v>340</v>
      </c>
      <c r="C432" s="2">
        <f t="shared" ref="C432:J432" si="229">C406+C380+C354+C328+C302+C276+C250+C224+C198+C172+C146+C120+C94+C68+C42</f>
        <v>0</v>
      </c>
      <c r="D432" s="2">
        <f t="shared" si="229"/>
        <v>0</v>
      </c>
      <c r="E432" s="2">
        <f t="shared" si="229"/>
        <v>0</v>
      </c>
      <c r="F432" s="2">
        <f t="shared" si="229"/>
        <v>0</v>
      </c>
      <c r="G432" s="2">
        <f t="shared" si="229"/>
        <v>0</v>
      </c>
      <c r="H432" s="2">
        <f t="shared" si="229"/>
        <v>0</v>
      </c>
      <c r="I432" s="2">
        <f t="shared" si="229"/>
        <v>0</v>
      </c>
      <c r="J432" s="2">
        <f t="shared" si="229"/>
        <v>-2098.3300000000004</v>
      </c>
      <c r="K432" s="2">
        <f t="shared" si="220"/>
        <v>-2098.3300000000004</v>
      </c>
      <c r="M432" s="1" t="s">
        <v>340</v>
      </c>
      <c r="N432" s="2">
        <f t="shared" ref="N432:U432" si="230">N406+N380+N354+N328+N302+N276+N250+N224+N198+N172+N146+N120+N94+N68+N42</f>
        <v>0</v>
      </c>
      <c r="O432" s="2">
        <f t="shared" si="230"/>
        <v>0</v>
      </c>
      <c r="P432" s="2">
        <f t="shared" si="230"/>
        <v>0</v>
      </c>
      <c r="Q432" s="2">
        <f t="shared" si="230"/>
        <v>0</v>
      </c>
      <c r="R432" s="2">
        <f t="shared" si="230"/>
        <v>0</v>
      </c>
      <c r="S432" s="2">
        <f t="shared" si="230"/>
        <v>0</v>
      </c>
      <c r="T432" s="2">
        <f t="shared" si="230"/>
        <v>0</v>
      </c>
      <c r="U432" s="2">
        <f t="shared" si="230"/>
        <v>-2098.3300000000004</v>
      </c>
      <c r="V432" s="2">
        <f t="shared" si="221"/>
        <v>-2098.3300000000004</v>
      </c>
      <c r="X432" s="1" t="s">
        <v>340</v>
      </c>
      <c r="Y432" s="2">
        <f t="shared" si="212"/>
        <v>0</v>
      </c>
      <c r="Z432" s="2">
        <f t="shared" si="213"/>
        <v>0</v>
      </c>
      <c r="AA432" s="2">
        <f t="shared" si="214"/>
        <v>0</v>
      </c>
      <c r="AB432" s="2">
        <f t="shared" si="215"/>
        <v>0</v>
      </c>
      <c r="AC432" s="2">
        <f t="shared" si="216"/>
        <v>0</v>
      </c>
      <c r="AD432" s="2">
        <f t="shared" si="217"/>
        <v>0</v>
      </c>
      <c r="AE432" s="2">
        <f t="shared" si="218"/>
        <v>0</v>
      </c>
      <c r="AF432" s="2">
        <f t="shared" si="219"/>
        <v>0</v>
      </c>
      <c r="AG432" s="2">
        <f t="shared" si="222"/>
        <v>0</v>
      </c>
    </row>
    <row r="433" spans="3:33" ht="15.75" thickBot="1" x14ac:dyDescent="0.3">
      <c r="C433" s="69">
        <f t="shared" ref="C433:K433" si="231">SUM(C413:C432)</f>
        <v>-25887.81</v>
      </c>
      <c r="D433" s="69">
        <f t="shared" si="231"/>
        <v>0</v>
      </c>
      <c r="E433" s="69">
        <f t="shared" si="231"/>
        <v>0</v>
      </c>
      <c r="F433" s="69">
        <f t="shared" si="231"/>
        <v>0</v>
      </c>
      <c r="G433" s="69">
        <f t="shared" si="231"/>
        <v>0</v>
      </c>
      <c r="H433" s="69">
        <f t="shared" si="231"/>
        <v>0</v>
      </c>
      <c r="I433" s="69">
        <f t="shared" si="231"/>
        <v>0</v>
      </c>
      <c r="J433" s="69">
        <f t="shared" si="231"/>
        <v>-6364.93</v>
      </c>
      <c r="K433" s="69">
        <f t="shared" si="231"/>
        <v>-32252.74</v>
      </c>
      <c r="N433" s="69">
        <f t="shared" ref="N433:V433" si="232">SUM(N413:N432)</f>
        <v>-25887.809999999998</v>
      </c>
      <c r="O433" s="69">
        <f t="shared" si="232"/>
        <v>0</v>
      </c>
      <c r="P433" s="69">
        <f t="shared" si="232"/>
        <v>0</v>
      </c>
      <c r="Q433" s="69">
        <f t="shared" si="232"/>
        <v>0</v>
      </c>
      <c r="R433" s="69">
        <f t="shared" si="232"/>
        <v>0</v>
      </c>
      <c r="S433" s="69">
        <f t="shared" si="232"/>
        <v>0</v>
      </c>
      <c r="T433" s="69">
        <f t="shared" si="232"/>
        <v>0</v>
      </c>
      <c r="U433" s="69">
        <f t="shared" si="232"/>
        <v>-6364.93</v>
      </c>
      <c r="V433" s="69">
        <f t="shared" si="232"/>
        <v>-32252.739999999998</v>
      </c>
      <c r="Y433" s="69">
        <f t="shared" ref="Y433:AG433" si="233">SUM(Y413:Y432)</f>
        <v>0</v>
      </c>
      <c r="Z433" s="69">
        <f t="shared" si="233"/>
        <v>0</v>
      </c>
      <c r="AA433" s="69">
        <f t="shared" si="233"/>
        <v>0</v>
      </c>
      <c r="AB433" s="69">
        <f t="shared" si="233"/>
        <v>0</v>
      </c>
      <c r="AC433" s="69">
        <f t="shared" si="233"/>
        <v>0</v>
      </c>
      <c r="AD433" s="69">
        <f t="shared" si="233"/>
        <v>0</v>
      </c>
      <c r="AE433" s="69">
        <f t="shared" si="233"/>
        <v>0</v>
      </c>
      <c r="AF433" s="69">
        <f t="shared" si="233"/>
        <v>0</v>
      </c>
      <c r="AG433" s="69">
        <f t="shared" si="233"/>
        <v>0</v>
      </c>
    </row>
    <row r="435" spans="3:33" x14ac:dyDescent="0.25">
      <c r="V435" s="7"/>
    </row>
  </sheetData>
  <mergeCells count="100">
    <mergeCell ref="Y21:AG21"/>
    <mergeCell ref="C20:K20"/>
    <mergeCell ref="N20:V20"/>
    <mergeCell ref="Y20:AG20"/>
    <mergeCell ref="B1:N1"/>
    <mergeCell ref="B2:N2"/>
    <mergeCell ref="B3:N3"/>
    <mergeCell ref="C21:K21"/>
    <mergeCell ref="N21:V21"/>
    <mergeCell ref="B5:R5"/>
    <mergeCell ref="C46:K46"/>
    <mergeCell ref="N46:V46"/>
    <mergeCell ref="Y46:AG46"/>
    <mergeCell ref="C47:K47"/>
    <mergeCell ref="N47:V47"/>
    <mergeCell ref="Y47:AG47"/>
    <mergeCell ref="C72:K72"/>
    <mergeCell ref="N72:V72"/>
    <mergeCell ref="Y72:AG72"/>
    <mergeCell ref="C73:K73"/>
    <mergeCell ref="N73:V73"/>
    <mergeCell ref="Y73:AG73"/>
    <mergeCell ref="C98:K98"/>
    <mergeCell ref="N98:V98"/>
    <mergeCell ref="Y98:AG98"/>
    <mergeCell ref="C99:K99"/>
    <mergeCell ref="N99:V99"/>
    <mergeCell ref="Y99:AG99"/>
    <mergeCell ref="C124:K124"/>
    <mergeCell ref="N124:V124"/>
    <mergeCell ref="Y124:AG124"/>
    <mergeCell ref="C125:K125"/>
    <mergeCell ref="N125:V125"/>
    <mergeCell ref="Y125:AG125"/>
    <mergeCell ref="C150:K150"/>
    <mergeCell ref="N150:V150"/>
    <mergeCell ref="Y150:AG150"/>
    <mergeCell ref="C151:K151"/>
    <mergeCell ref="N151:V151"/>
    <mergeCell ref="Y151:AG151"/>
    <mergeCell ref="C176:K176"/>
    <mergeCell ref="N176:V176"/>
    <mergeCell ref="Y176:AG176"/>
    <mergeCell ref="C177:K177"/>
    <mergeCell ref="N177:V177"/>
    <mergeCell ref="Y177:AG177"/>
    <mergeCell ref="C202:K202"/>
    <mergeCell ref="N202:V202"/>
    <mergeCell ref="Y202:AG202"/>
    <mergeCell ref="C203:K203"/>
    <mergeCell ref="N203:V203"/>
    <mergeCell ref="Y203:AG203"/>
    <mergeCell ref="C228:K228"/>
    <mergeCell ref="N228:V228"/>
    <mergeCell ref="Y228:AG228"/>
    <mergeCell ref="C229:K229"/>
    <mergeCell ref="N229:V229"/>
    <mergeCell ref="Y229:AG229"/>
    <mergeCell ref="C254:K254"/>
    <mergeCell ref="N254:V254"/>
    <mergeCell ref="Y254:AG254"/>
    <mergeCell ref="C255:K255"/>
    <mergeCell ref="N255:V255"/>
    <mergeCell ref="Y255:AG255"/>
    <mergeCell ref="C280:K280"/>
    <mergeCell ref="N280:V280"/>
    <mergeCell ref="Y280:AG280"/>
    <mergeCell ref="C281:K281"/>
    <mergeCell ref="N281:V281"/>
    <mergeCell ref="Y281:AG281"/>
    <mergeCell ref="C306:K306"/>
    <mergeCell ref="N306:V306"/>
    <mergeCell ref="Y306:AG306"/>
    <mergeCell ref="C307:K307"/>
    <mergeCell ref="N307:V307"/>
    <mergeCell ref="Y307:AG307"/>
    <mergeCell ref="C332:K332"/>
    <mergeCell ref="N332:V332"/>
    <mergeCell ref="Y332:AG332"/>
    <mergeCell ref="C333:K333"/>
    <mergeCell ref="N333:V333"/>
    <mergeCell ref="Y333:AG333"/>
    <mergeCell ref="C358:K358"/>
    <mergeCell ref="N358:V358"/>
    <mergeCell ref="Y358:AG358"/>
    <mergeCell ref="C359:K359"/>
    <mergeCell ref="N359:V359"/>
    <mergeCell ref="Y359:AG359"/>
    <mergeCell ref="C384:K384"/>
    <mergeCell ref="N384:V384"/>
    <mergeCell ref="Y384:AG384"/>
    <mergeCell ref="C385:K385"/>
    <mergeCell ref="N385:V385"/>
    <mergeCell ref="Y385:AG385"/>
    <mergeCell ref="C410:K410"/>
    <mergeCell ref="N410:V410"/>
    <mergeCell ref="Y410:AG410"/>
    <mergeCell ref="C411:K411"/>
    <mergeCell ref="N411:V411"/>
    <mergeCell ref="Y411:AG411"/>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6"/>
  </sheetPr>
  <dimension ref="A1:R41"/>
  <sheetViews>
    <sheetView zoomScale="85" zoomScaleNormal="85" workbookViewId="0">
      <selection sqref="A1:M1"/>
    </sheetView>
  </sheetViews>
  <sheetFormatPr defaultRowHeight="15" x14ac:dyDescent="0.25"/>
  <cols>
    <col min="1" max="1" width="12.7109375" customWidth="1"/>
    <col min="2" max="2" width="18" bestFit="1" customWidth="1"/>
    <col min="3" max="3" width="15.7109375" customWidth="1"/>
    <col min="4" max="4" width="20.7109375" customWidth="1"/>
    <col min="5" max="8" width="18.7109375" customWidth="1"/>
    <col min="9" max="10" width="15.7109375" customWidth="1"/>
    <col min="11" max="11" width="18.7109375" customWidth="1"/>
    <col min="12" max="12" width="15.7109375" customWidth="1"/>
    <col min="13" max="13" width="8.7109375" customWidth="1"/>
    <col min="14" max="14" width="11" customWidth="1"/>
    <col min="15" max="18" width="12.7109375" customWidth="1"/>
  </cols>
  <sheetData>
    <row r="1" spans="1:17" ht="18.75" x14ac:dyDescent="0.3">
      <c r="A1" s="162" t="s">
        <v>17</v>
      </c>
      <c r="B1" s="162"/>
      <c r="C1" s="162"/>
      <c r="D1" s="162"/>
      <c r="E1" s="162"/>
      <c r="F1" s="162"/>
      <c r="G1" s="162"/>
      <c r="H1" s="162"/>
      <c r="I1" s="162"/>
      <c r="J1" s="162"/>
      <c r="K1" s="162"/>
      <c r="L1" s="162"/>
      <c r="M1" s="162"/>
    </row>
    <row r="2" spans="1:17" ht="15.75" x14ac:dyDescent="0.25">
      <c r="A2" s="163" t="str">
        <f>'Reimbursement Rates &lt;-INPUT'!A2:AY2</f>
        <v>Amato PT</v>
      </c>
      <c r="B2" s="163"/>
      <c r="C2" s="163"/>
      <c r="D2" s="163"/>
      <c r="E2" s="163"/>
      <c r="F2" s="163"/>
      <c r="G2" s="163"/>
      <c r="H2" s="163"/>
      <c r="I2" s="163"/>
      <c r="J2" s="163"/>
      <c r="K2" s="163"/>
      <c r="L2" s="163"/>
      <c r="M2" s="163"/>
    </row>
    <row r="3" spans="1:17" x14ac:dyDescent="0.25">
      <c r="A3" s="164" t="s">
        <v>153</v>
      </c>
      <c r="B3" s="164"/>
      <c r="C3" s="164"/>
      <c r="D3" s="164"/>
      <c r="E3" s="164"/>
      <c r="F3" s="164"/>
      <c r="G3" s="164"/>
      <c r="H3" s="164"/>
      <c r="I3" s="164"/>
      <c r="J3" s="164"/>
      <c r="K3" s="164"/>
      <c r="L3" s="164"/>
      <c r="M3" s="164"/>
    </row>
    <row r="4" spans="1:17" ht="15.75" thickBot="1" x14ac:dyDescent="0.3">
      <c r="A4" s="35"/>
      <c r="B4" s="35"/>
      <c r="C4" s="35"/>
      <c r="D4" s="35"/>
      <c r="E4" s="35"/>
      <c r="F4" s="35"/>
      <c r="G4" s="35"/>
      <c r="H4" s="35"/>
      <c r="I4" s="35"/>
      <c r="J4" s="35"/>
      <c r="K4" s="35"/>
      <c r="L4" s="35"/>
      <c r="M4" s="35"/>
    </row>
    <row r="5" spans="1:17" ht="15.75" thickBot="1" x14ac:dyDescent="0.3">
      <c r="A5" s="174" t="s">
        <v>131</v>
      </c>
      <c r="B5" s="175"/>
      <c r="C5" s="175"/>
      <c r="D5" s="175"/>
      <c r="E5" s="175"/>
      <c r="F5" s="175"/>
      <c r="G5" s="175"/>
      <c r="H5" s="175"/>
      <c r="I5" s="175"/>
      <c r="J5" s="175"/>
      <c r="K5" s="175"/>
      <c r="L5" s="175"/>
      <c r="M5" s="175"/>
      <c r="N5" s="175"/>
      <c r="O5" s="175"/>
      <c r="P5" s="175"/>
      <c r="Q5" s="176"/>
    </row>
    <row r="6" spans="1:17" x14ac:dyDescent="0.25">
      <c r="A6" s="35"/>
      <c r="B6" s="35"/>
      <c r="C6" s="35"/>
      <c r="D6" s="35"/>
      <c r="E6" s="35"/>
      <c r="F6" s="35"/>
      <c r="G6" s="35"/>
      <c r="H6" s="35"/>
      <c r="I6" s="35"/>
      <c r="J6" s="35"/>
      <c r="K6" s="35"/>
      <c r="L6" s="35"/>
      <c r="M6" s="35"/>
    </row>
    <row r="7" spans="1:17" x14ac:dyDescent="0.25">
      <c r="A7" s="65" t="s">
        <v>135</v>
      </c>
      <c r="B7" s="35"/>
      <c r="C7" s="35"/>
      <c r="D7" s="35"/>
      <c r="E7" s="35"/>
      <c r="F7" s="35"/>
      <c r="G7" s="35"/>
      <c r="H7" s="35"/>
      <c r="I7" s="35"/>
      <c r="J7" s="35"/>
      <c r="K7" s="35"/>
      <c r="L7" s="35"/>
      <c r="M7" s="35"/>
    </row>
    <row r="8" spans="1:17" x14ac:dyDescent="0.25">
      <c r="A8" s="84" t="s">
        <v>154</v>
      </c>
      <c r="B8" s="35"/>
      <c r="C8" s="35"/>
      <c r="D8" s="35"/>
      <c r="E8" s="35"/>
      <c r="F8" s="35"/>
      <c r="G8" s="35"/>
      <c r="H8" s="35"/>
      <c r="I8" s="35"/>
      <c r="J8" s="35"/>
      <c r="K8" s="35"/>
      <c r="L8" s="35"/>
      <c r="M8" s="35"/>
    </row>
    <row r="9" spans="1:17" x14ac:dyDescent="0.25">
      <c r="A9" s="84" t="s">
        <v>155</v>
      </c>
      <c r="B9" s="35"/>
      <c r="C9" s="35"/>
      <c r="D9" s="35"/>
      <c r="E9" s="35"/>
      <c r="F9" s="35"/>
      <c r="G9" s="35"/>
      <c r="H9" s="35"/>
      <c r="I9" s="35"/>
      <c r="J9" s="35"/>
      <c r="K9" s="35"/>
      <c r="L9" s="35"/>
      <c r="M9" s="35"/>
    </row>
    <row r="10" spans="1:17" x14ac:dyDescent="0.25">
      <c r="A10" s="84" t="s">
        <v>146</v>
      </c>
      <c r="B10" s="35"/>
      <c r="C10" s="35"/>
      <c r="D10" s="35"/>
      <c r="E10" s="35"/>
      <c r="F10" s="35"/>
      <c r="G10" s="35"/>
      <c r="H10" s="35"/>
      <c r="I10" s="35"/>
      <c r="J10" s="35"/>
      <c r="K10" s="35"/>
      <c r="L10" s="35"/>
      <c r="M10" s="35"/>
    </row>
    <row r="11" spans="1:17" x14ac:dyDescent="0.25">
      <c r="A11" s="84" t="s">
        <v>156</v>
      </c>
      <c r="B11" s="35"/>
      <c r="C11" s="35"/>
      <c r="D11" s="35"/>
      <c r="E11" s="35"/>
      <c r="F11" s="35"/>
      <c r="G11" s="35"/>
      <c r="H11" s="35"/>
      <c r="I11" s="35"/>
      <c r="J11" s="35"/>
      <c r="K11" s="35"/>
      <c r="L11" s="35"/>
      <c r="M11" s="35"/>
    </row>
    <row r="12" spans="1:17" x14ac:dyDescent="0.25">
      <c r="A12" s="84" t="s">
        <v>139</v>
      </c>
      <c r="B12" s="35"/>
      <c r="C12" s="35"/>
      <c r="D12" s="35"/>
      <c r="E12" s="35"/>
      <c r="F12" s="35"/>
      <c r="G12" s="35"/>
      <c r="H12" s="35"/>
      <c r="I12" s="35"/>
      <c r="J12" s="35"/>
      <c r="K12" s="35"/>
      <c r="L12" s="35"/>
      <c r="M12" s="35"/>
    </row>
    <row r="13" spans="1:17" x14ac:dyDescent="0.25">
      <c r="A13" s="84"/>
      <c r="B13" s="35"/>
      <c r="C13" s="35"/>
      <c r="D13" s="35"/>
      <c r="E13" s="35"/>
      <c r="F13" s="35"/>
      <c r="G13" s="35"/>
      <c r="H13" s="35"/>
      <c r="I13" s="35"/>
      <c r="J13" s="35"/>
      <c r="K13" s="35"/>
      <c r="L13" s="35"/>
      <c r="M13" s="35"/>
    </row>
    <row r="14" spans="1:17" x14ac:dyDescent="0.25">
      <c r="A14" s="87" t="s">
        <v>157</v>
      </c>
      <c r="B14" s="35"/>
      <c r="C14" s="35"/>
      <c r="D14" s="35"/>
      <c r="E14" s="35"/>
      <c r="F14" s="35"/>
      <c r="G14" s="35"/>
      <c r="H14" s="35"/>
      <c r="I14" s="35"/>
      <c r="J14" s="35"/>
      <c r="K14" s="35"/>
      <c r="L14" s="35"/>
      <c r="M14" s="35"/>
    </row>
    <row r="15" spans="1:17" x14ac:dyDescent="0.25">
      <c r="A15" s="84" t="s">
        <v>158</v>
      </c>
      <c r="B15" s="35"/>
      <c r="C15" s="35"/>
      <c r="D15" s="35"/>
      <c r="E15" s="35"/>
      <c r="F15" s="35"/>
      <c r="G15" s="35"/>
      <c r="H15" s="35"/>
      <c r="I15" s="35"/>
      <c r="J15" s="35"/>
      <c r="K15" s="35"/>
      <c r="L15" s="35"/>
      <c r="M15" s="35"/>
    </row>
    <row r="16" spans="1:17" x14ac:dyDescent="0.25">
      <c r="A16" s="84" t="s">
        <v>159</v>
      </c>
    </row>
    <row r="17" spans="1:18" x14ac:dyDescent="0.25">
      <c r="A17" s="84" t="s">
        <v>160</v>
      </c>
    </row>
    <row r="20" spans="1:18" x14ac:dyDescent="0.25">
      <c r="C20" s="180" t="str">
        <f>CONCATENATE(TEXT((EOMONTH('Company Summary'!A4,-1)+1),"mm/dd/yyyy"))&amp;"-"&amp;CONCATENATE(TEXT('Company Summary'!A4,"mm/dd/yyyy"))</f>
        <v>09/01/2023-09/30/2023</v>
      </c>
      <c r="D20" s="180"/>
      <c r="E20" s="180"/>
      <c r="F20" s="180"/>
      <c r="G20" s="180"/>
      <c r="H20" s="180"/>
      <c r="I20" s="180"/>
      <c r="J20" s="180"/>
      <c r="K20" s="180"/>
      <c r="L20" s="180"/>
      <c r="O20" s="74" t="s">
        <v>114</v>
      </c>
      <c r="P20" s="74" t="s">
        <v>115</v>
      </c>
      <c r="Q20" s="74" t="s">
        <v>116</v>
      </c>
      <c r="R20" s="75"/>
    </row>
    <row r="21" spans="1:18" ht="15.75" thickBot="1" x14ac:dyDescent="0.3">
      <c r="A21" s="73" t="s">
        <v>110</v>
      </c>
      <c r="B21" s="73" t="s">
        <v>99</v>
      </c>
      <c r="C21" s="73" t="s">
        <v>100</v>
      </c>
      <c r="D21" s="73" t="s">
        <v>101</v>
      </c>
      <c r="E21" s="73" t="s">
        <v>102</v>
      </c>
      <c r="F21" s="73" t="s">
        <v>103</v>
      </c>
      <c r="G21" s="73" t="s">
        <v>104</v>
      </c>
      <c r="H21" s="73" t="s">
        <v>105</v>
      </c>
      <c r="I21" s="73" t="s">
        <v>106</v>
      </c>
      <c r="J21" s="73" t="s">
        <v>107</v>
      </c>
      <c r="K21" s="73" t="s">
        <v>108</v>
      </c>
      <c r="L21" s="73" t="s">
        <v>109</v>
      </c>
      <c r="O21" s="76" t="s">
        <v>113</v>
      </c>
      <c r="P21" s="76" t="s">
        <v>113</v>
      </c>
      <c r="Q21" s="76" t="s">
        <v>113</v>
      </c>
      <c r="R21" s="76" t="s">
        <v>39</v>
      </c>
    </row>
    <row r="22" spans="1:18" x14ac:dyDescent="0.25">
      <c r="A22" s="81"/>
      <c r="B22" s="35" t="str">
        <f>'Reimbursement Rates &lt;-INPUT'!C7</f>
        <v>Central West End</v>
      </c>
      <c r="C22" s="2">
        <f>SUMIFS(CurrentMonthTransactionData!$R:$R,CurrentMonthTransactionData!$H:$H,"Central West End",CurrentMonthTransactionData!$V:$V,"Procedure")</f>
        <v>0</v>
      </c>
      <c r="D22" s="2">
        <f>SUMIFS(CurrentMonthTransactionData!$R:$R,CurrentMonthTransactionData!$H:$H,"Central West End",CurrentMonthTransactionData!$V:$V,"InsuranceAdjustment")</f>
        <v>0</v>
      </c>
      <c r="E22" s="2">
        <f>SUMIFS(CurrentMonthTransactionData!$R:$R,CurrentMonthTransactionData!$H:$H,"Central West End",CurrentMonthTransactionData!$V:$V,"InsurancePayment")</f>
        <v>0</v>
      </c>
      <c r="F22" s="2">
        <f>SUMIFS(CurrentMonthTransactionData!$R:$R,CurrentMonthTransactionData!$H:$H,"Central West End",CurrentMonthTransactionData!$V:$V,"Patient Deposit")</f>
        <v>0</v>
      </c>
      <c r="G22" s="2">
        <f>SUMIFS(CurrentMonthTransactionData!$R:$R,CurrentMonthTransactionData!$H:$H,"Central West End",CurrentMonthTransactionData!$V:$V,"PatientPayment")</f>
        <v>0</v>
      </c>
      <c r="H22" s="2">
        <f>SUMIFS(CurrentMonthTransactionData!$R:$R,CurrentMonthTransactionData!$H:$H,"Central West End",CurrentMonthTransactionData!$V:$V,"PatientAdjustment")</f>
        <v>0</v>
      </c>
      <c r="I22" s="2">
        <f>SUMIFS(CurrentMonthTransactionData!$R:$R,CurrentMonthTransactionData!$H:$H,"Central West End",CurrentMonthTransactionData!$V:$V,"Transfer in")</f>
        <v>0</v>
      </c>
      <c r="J22" s="2">
        <f>SUMIFS(CurrentMonthTransactionData!$R:$R,CurrentMonthTransactionData!$H:$H,"Central West End",CurrentMonthTransactionData!$V:$V,"Transfer out")</f>
        <v>0</v>
      </c>
      <c r="K22" s="2">
        <f>SUMIFS(CurrentMonthTransactionData!$R:$R,CurrentMonthTransactionData!$H:$H,"Central West End",CurrentMonthTransactionData!$V:$V,"Insurance Refund")</f>
        <v>0</v>
      </c>
      <c r="L22" s="2">
        <f>SUMIFS(CurrentMonthTransactionData!$R:$R,CurrentMonthTransactionData!$H:$H,"Central West End",CurrentMonthTransactionData!$V:$V,"Patient Refund")</f>
        <v>0</v>
      </c>
      <c r="M22" s="137"/>
      <c r="N22" s="137"/>
      <c r="O22" s="7">
        <f>'Agile AR Aging &lt;-INPUT'!V69</f>
        <v>-17219.300000000003</v>
      </c>
      <c r="P22" s="7">
        <f>O22+C22-D22-E22-F22-G22-H22+I22-J22-K22-L22</f>
        <v>-17219.300000000003</v>
      </c>
      <c r="Q22" s="7">
        <f>'Agile AR Aging &lt;-INPUT'!K69</f>
        <v>-17219.300000000003</v>
      </c>
      <c r="R22" s="7">
        <f>P22-Q22</f>
        <v>0</v>
      </c>
    </row>
    <row r="23" spans="1:18" x14ac:dyDescent="0.25">
      <c r="A23" s="81"/>
      <c r="B23" s="35" t="str">
        <f>'Reimbursement Rates &lt;-INPUT'!B7</f>
        <v>Creve Coeur</v>
      </c>
      <c r="C23" s="113">
        <f>SUMIFS(CurrentMonthTransactionData!$R:$R,CurrentMonthTransactionData!$H:$H,"Creve Coeur",CurrentMonthTransactionData!$V:$V,"Procedure")</f>
        <v>0</v>
      </c>
      <c r="D23" s="113">
        <f>SUMIFS(CurrentMonthTransactionData!$R:$R,CurrentMonthTransactionData!$H:$H,"Creve Coeur",CurrentMonthTransactionData!$V:$V,"InsuranceAdjustment")</f>
        <v>0</v>
      </c>
      <c r="E23" s="113">
        <f>SUMIFS(CurrentMonthTransactionData!$R:$R,CurrentMonthTransactionData!$H:$H,"Creve Coeur",CurrentMonthTransactionData!$V:$V,"InsurancePayment")</f>
        <v>0</v>
      </c>
      <c r="F23" s="113">
        <f>SUMIFS(CurrentMonthTransactionData!$R:$R,CurrentMonthTransactionData!$H:$H,"Creve Coeur",CurrentMonthTransactionData!$V:$V,"Patient Deposit")</f>
        <v>0</v>
      </c>
      <c r="G23" s="113">
        <f>SUMIFS(CurrentMonthTransactionData!$R:$R,CurrentMonthTransactionData!$H:$H,"Creve Coeur",CurrentMonthTransactionData!$V:$V,"PatientPayment")</f>
        <v>0</v>
      </c>
      <c r="H23" s="113">
        <f>SUMIFS(CurrentMonthTransactionData!$R:$R,CurrentMonthTransactionData!$H:$H,"Creve Coeur",CurrentMonthTransactionData!$V:$V,"PatientAdjustment")</f>
        <v>0</v>
      </c>
      <c r="I23" s="113">
        <f>SUMIFS(CurrentMonthTransactionData!$R:$R,CurrentMonthTransactionData!$H:$H,"Creve Coeur",CurrentMonthTransactionData!$V:$V,"Transfer in")</f>
        <v>0</v>
      </c>
      <c r="J23" s="113">
        <f>SUMIFS(CurrentMonthTransactionData!$R:$R,CurrentMonthTransactionData!$H:$H,"Creve Coeur",CurrentMonthTransactionData!$V:$V,"Transfer out")</f>
        <v>0</v>
      </c>
      <c r="K23" s="113">
        <f>SUMIFS(CurrentMonthTransactionData!$R:$R,CurrentMonthTransactionData!$H:$H,"Creve Coeur",CurrentMonthTransactionData!$V:$V,"Insurance Refund")</f>
        <v>0</v>
      </c>
      <c r="L23" s="113">
        <f>SUMIFS(CurrentMonthTransactionData!$R:$R,CurrentMonthTransactionData!$H:$H,"Creve Coeur",CurrentMonthTransactionData!$V:$V,"Patient Refund")</f>
        <v>0</v>
      </c>
      <c r="M23" s="137"/>
      <c r="N23" s="137"/>
      <c r="O23" s="7">
        <f>'Agile AR Aging &lt;-INPUT'!V43</f>
        <v>-15033.439999999999</v>
      </c>
      <c r="P23" s="7">
        <f>O23+C23-D23-E23-F23-G23-H23+I23-J23-K23-L23</f>
        <v>-15033.439999999999</v>
      </c>
      <c r="Q23" s="7">
        <f>'Agile AR Aging &lt;-INPUT'!K43</f>
        <v>-15033.44</v>
      </c>
      <c r="R23" s="7">
        <f>P23-Q23</f>
        <v>0</v>
      </c>
    </row>
    <row r="24" spans="1:18" hidden="1" x14ac:dyDescent="0.25">
      <c r="A24" s="81"/>
      <c r="B24" s="35" t="str">
        <f>'Reimbursement Rates &lt;-INPUT'!D7</f>
        <v>Clinic 3</v>
      </c>
      <c r="C24" s="89"/>
      <c r="D24" s="89"/>
      <c r="E24" s="89"/>
      <c r="F24" s="89"/>
      <c r="G24" s="89"/>
      <c r="H24" s="89"/>
      <c r="I24" s="89"/>
      <c r="J24" s="89"/>
      <c r="K24" s="89"/>
      <c r="L24" s="89"/>
      <c r="N24" s="137"/>
      <c r="O24" s="7">
        <f>'Agile AR Aging &lt;-INPUT'!V95</f>
        <v>0</v>
      </c>
      <c r="P24" s="7">
        <f t="shared" ref="P24:P36" si="0">O24+C24-D24-E24-F24-G24-H24+I24-J24-K24-L24</f>
        <v>0</v>
      </c>
      <c r="Q24" s="7">
        <f>'Agile AR Aging &lt;-INPUT'!K95</f>
        <v>0</v>
      </c>
      <c r="R24" s="7">
        <f t="shared" ref="R24:R36" si="1">P24-Q24</f>
        <v>0</v>
      </c>
    </row>
    <row r="25" spans="1:18" hidden="1" x14ac:dyDescent="0.25">
      <c r="A25" s="81"/>
      <c r="B25" s="35" t="str">
        <f>'Reimbursement Rates &lt;-INPUT'!E7</f>
        <v>Clinic 4</v>
      </c>
      <c r="C25" s="89"/>
      <c r="D25" s="89"/>
      <c r="E25" s="89"/>
      <c r="F25" s="89"/>
      <c r="G25" s="89"/>
      <c r="H25" s="89"/>
      <c r="I25" s="89"/>
      <c r="J25" s="89"/>
      <c r="K25" s="89"/>
      <c r="L25" s="89"/>
      <c r="N25" s="137"/>
      <c r="O25" s="7">
        <f>'Agile AR Aging &lt;-INPUT'!V121</f>
        <v>0</v>
      </c>
      <c r="P25" s="7">
        <f t="shared" si="0"/>
        <v>0</v>
      </c>
      <c r="Q25" s="7">
        <f>'Agile AR Aging &lt;-INPUT'!K121</f>
        <v>0</v>
      </c>
      <c r="R25" s="7">
        <f t="shared" si="1"/>
        <v>0</v>
      </c>
    </row>
    <row r="26" spans="1:18" hidden="1" x14ac:dyDescent="0.25">
      <c r="A26" s="81"/>
      <c r="B26" s="35" t="str">
        <f>'Reimbursement Rates &lt;-INPUT'!F7</f>
        <v>Clinic 5</v>
      </c>
      <c r="C26" s="89"/>
      <c r="D26" s="89"/>
      <c r="E26" s="89"/>
      <c r="F26" s="89"/>
      <c r="G26" s="89"/>
      <c r="H26" s="89"/>
      <c r="I26" s="89"/>
      <c r="J26" s="89"/>
      <c r="K26" s="89"/>
      <c r="L26" s="89"/>
      <c r="N26" s="137"/>
      <c r="O26" s="7">
        <f>'Agile AR Aging &lt;-INPUT'!V147</f>
        <v>0</v>
      </c>
      <c r="P26" s="7">
        <f t="shared" si="0"/>
        <v>0</v>
      </c>
      <c r="Q26" s="7">
        <f>'Agile AR Aging &lt;-INPUT'!K147</f>
        <v>0</v>
      </c>
      <c r="R26" s="7">
        <f t="shared" si="1"/>
        <v>0</v>
      </c>
    </row>
    <row r="27" spans="1:18" hidden="1" x14ac:dyDescent="0.25">
      <c r="A27" s="81"/>
      <c r="B27" s="35" t="str">
        <f>'Reimbursement Rates &lt;-INPUT'!G7</f>
        <v>Clinic 6</v>
      </c>
      <c r="C27" s="89"/>
      <c r="D27" s="89"/>
      <c r="E27" s="89"/>
      <c r="F27" s="89"/>
      <c r="G27" s="89"/>
      <c r="H27" s="89"/>
      <c r="I27" s="89"/>
      <c r="J27" s="89"/>
      <c r="K27" s="89"/>
      <c r="L27" s="89"/>
      <c r="N27" s="137"/>
      <c r="O27" s="7">
        <f>'Agile AR Aging &lt;-INPUT'!V173</f>
        <v>0</v>
      </c>
      <c r="P27" s="7">
        <f t="shared" si="0"/>
        <v>0</v>
      </c>
      <c r="Q27" s="7">
        <f>'Agile AR Aging &lt;-INPUT'!K173</f>
        <v>0</v>
      </c>
      <c r="R27" s="7">
        <f t="shared" si="1"/>
        <v>0</v>
      </c>
    </row>
    <row r="28" spans="1:18" hidden="1" x14ac:dyDescent="0.25">
      <c r="A28" s="81"/>
      <c r="B28" s="35" t="str">
        <f>'Reimbursement Rates &lt;-INPUT'!H7</f>
        <v>Clinic 7</v>
      </c>
      <c r="C28" s="89"/>
      <c r="D28" s="89"/>
      <c r="E28" s="89"/>
      <c r="F28" s="89"/>
      <c r="G28" s="89"/>
      <c r="H28" s="89"/>
      <c r="I28" s="89"/>
      <c r="J28" s="89"/>
      <c r="K28" s="89"/>
      <c r="L28" s="89"/>
      <c r="N28" s="137"/>
      <c r="O28" s="7">
        <f>'Agile AR Aging &lt;-INPUT'!V199</f>
        <v>0</v>
      </c>
      <c r="P28" s="7">
        <f t="shared" si="0"/>
        <v>0</v>
      </c>
      <c r="Q28" s="7">
        <f>'Agile AR Aging &lt;-INPUT'!K199</f>
        <v>0</v>
      </c>
      <c r="R28" s="7">
        <f t="shared" si="1"/>
        <v>0</v>
      </c>
    </row>
    <row r="29" spans="1:18" hidden="1" x14ac:dyDescent="0.25">
      <c r="A29" s="81"/>
      <c r="B29" s="35" t="str">
        <f>'Reimbursement Rates &lt;-INPUT'!I7</f>
        <v>Clinic 8</v>
      </c>
      <c r="C29" s="89"/>
      <c r="D29" s="89"/>
      <c r="E29" s="89"/>
      <c r="F29" s="89"/>
      <c r="G29" s="89"/>
      <c r="H29" s="89"/>
      <c r="I29" s="89"/>
      <c r="J29" s="89"/>
      <c r="K29" s="89"/>
      <c r="L29" s="89"/>
      <c r="N29" s="137"/>
      <c r="O29" s="7">
        <f>'Agile AR Aging &lt;-INPUT'!V225</f>
        <v>0</v>
      </c>
      <c r="P29" s="7">
        <f t="shared" si="0"/>
        <v>0</v>
      </c>
      <c r="Q29" s="7">
        <f>'Agile AR Aging &lt;-INPUT'!K225</f>
        <v>0</v>
      </c>
      <c r="R29" s="7">
        <f t="shared" si="1"/>
        <v>0</v>
      </c>
    </row>
    <row r="30" spans="1:18" hidden="1" x14ac:dyDescent="0.25">
      <c r="A30" s="81"/>
      <c r="B30" s="35" t="str">
        <f>'Reimbursement Rates &lt;-INPUT'!J7</f>
        <v>Clinic 9</v>
      </c>
      <c r="C30" s="89"/>
      <c r="D30" s="89"/>
      <c r="E30" s="89"/>
      <c r="F30" s="89"/>
      <c r="G30" s="89"/>
      <c r="H30" s="89"/>
      <c r="I30" s="89"/>
      <c r="J30" s="89"/>
      <c r="K30" s="89"/>
      <c r="L30" s="89"/>
      <c r="N30" s="137"/>
      <c r="O30" s="7">
        <f>'Agile AR Aging &lt;-INPUT'!V251</f>
        <v>0</v>
      </c>
      <c r="P30" s="7">
        <f t="shared" si="0"/>
        <v>0</v>
      </c>
      <c r="Q30" s="7">
        <f>'Agile AR Aging &lt;-INPUT'!K251</f>
        <v>0</v>
      </c>
      <c r="R30" s="7">
        <f t="shared" si="1"/>
        <v>0</v>
      </c>
    </row>
    <row r="31" spans="1:18" hidden="1" x14ac:dyDescent="0.25">
      <c r="A31" s="81"/>
      <c r="B31" s="35" t="str">
        <f>'Reimbursement Rates &lt;-INPUT'!K7</f>
        <v>Clinic 10</v>
      </c>
      <c r="C31" s="89"/>
      <c r="D31" s="89"/>
      <c r="E31" s="89"/>
      <c r="F31" s="89"/>
      <c r="G31" s="89"/>
      <c r="H31" s="89"/>
      <c r="I31" s="89"/>
      <c r="J31" s="89"/>
      <c r="K31" s="89"/>
      <c r="L31" s="89"/>
      <c r="N31" s="137"/>
      <c r="O31" s="7">
        <f>'Agile AR Aging &lt;-INPUT'!V277</f>
        <v>0</v>
      </c>
      <c r="P31" s="7">
        <f t="shared" si="0"/>
        <v>0</v>
      </c>
      <c r="Q31" s="7">
        <f>'Agile AR Aging &lt;-INPUT'!K277</f>
        <v>0</v>
      </c>
      <c r="R31" s="7">
        <f t="shared" si="1"/>
        <v>0</v>
      </c>
    </row>
    <row r="32" spans="1:18" hidden="1" x14ac:dyDescent="0.25">
      <c r="A32" s="81"/>
      <c r="B32" s="35" t="str">
        <f>'Reimbursement Rates &lt;-INPUT'!L7</f>
        <v>Clinic 11</v>
      </c>
      <c r="C32" s="89"/>
      <c r="D32" s="89"/>
      <c r="E32" s="89"/>
      <c r="F32" s="89"/>
      <c r="G32" s="89"/>
      <c r="H32" s="89"/>
      <c r="I32" s="89"/>
      <c r="J32" s="89"/>
      <c r="K32" s="89"/>
      <c r="L32" s="89"/>
      <c r="N32" s="137"/>
      <c r="O32" s="7">
        <f>'Agile AR Aging &lt;-INPUT'!V303</f>
        <v>0</v>
      </c>
      <c r="P32" s="7">
        <f t="shared" si="0"/>
        <v>0</v>
      </c>
      <c r="Q32" s="7">
        <f>'Agile AR Aging &lt;-INPUT'!K303</f>
        <v>0</v>
      </c>
      <c r="R32" s="7">
        <f t="shared" si="1"/>
        <v>0</v>
      </c>
    </row>
    <row r="33" spans="1:18" hidden="1" x14ac:dyDescent="0.25">
      <c r="A33" s="81"/>
      <c r="B33" s="35" t="str">
        <f>'Reimbursement Rates &lt;-INPUT'!M7</f>
        <v>Clinic 12</v>
      </c>
      <c r="C33" s="89"/>
      <c r="D33" s="89"/>
      <c r="E33" s="89"/>
      <c r="F33" s="89"/>
      <c r="G33" s="89"/>
      <c r="H33" s="89"/>
      <c r="I33" s="89"/>
      <c r="J33" s="89"/>
      <c r="K33" s="89"/>
      <c r="L33" s="89"/>
      <c r="N33" s="137"/>
      <c r="O33" s="7">
        <f>'Agile AR Aging &lt;-INPUT'!V329</f>
        <v>0</v>
      </c>
      <c r="P33" s="7">
        <f t="shared" si="0"/>
        <v>0</v>
      </c>
      <c r="Q33" s="7">
        <f>'Agile AR Aging &lt;-INPUT'!K329</f>
        <v>0</v>
      </c>
      <c r="R33" s="7">
        <f t="shared" si="1"/>
        <v>0</v>
      </c>
    </row>
    <row r="34" spans="1:18" hidden="1" x14ac:dyDescent="0.25">
      <c r="A34" s="81"/>
      <c r="B34" s="35" t="str">
        <f>'Reimbursement Rates &lt;-INPUT'!N7</f>
        <v>Clinic 13</v>
      </c>
      <c r="C34" s="89"/>
      <c r="D34" s="89"/>
      <c r="E34" s="89"/>
      <c r="F34" s="89"/>
      <c r="G34" s="89"/>
      <c r="H34" s="89"/>
      <c r="I34" s="89"/>
      <c r="J34" s="89"/>
      <c r="K34" s="89"/>
      <c r="L34" s="89"/>
      <c r="N34" s="137"/>
      <c r="O34" s="7">
        <f>'Agile AR Aging &lt;-INPUT'!V355</f>
        <v>0</v>
      </c>
      <c r="P34" s="7">
        <f t="shared" si="0"/>
        <v>0</v>
      </c>
      <c r="Q34" s="7">
        <f>'Agile AR Aging &lt;-INPUT'!K355</f>
        <v>0</v>
      </c>
      <c r="R34" s="7">
        <f t="shared" si="1"/>
        <v>0</v>
      </c>
    </row>
    <row r="35" spans="1:18" hidden="1" x14ac:dyDescent="0.25">
      <c r="A35" s="81"/>
      <c r="B35" s="35" t="str">
        <f>'Reimbursement Rates &lt;-INPUT'!O7</f>
        <v>Clinic 14</v>
      </c>
      <c r="C35" s="89"/>
      <c r="D35" s="89"/>
      <c r="E35" s="89"/>
      <c r="F35" s="89"/>
      <c r="G35" s="89"/>
      <c r="H35" s="89"/>
      <c r="I35" s="89"/>
      <c r="J35" s="89"/>
      <c r="K35" s="89"/>
      <c r="L35" s="89"/>
      <c r="N35" s="137"/>
      <c r="O35" s="7">
        <f>'Agile AR Aging &lt;-INPUT'!V381</f>
        <v>0</v>
      </c>
      <c r="P35" s="7">
        <f t="shared" si="0"/>
        <v>0</v>
      </c>
      <c r="Q35" s="7">
        <f>'Agile AR Aging &lt;-INPUT'!K381</f>
        <v>0</v>
      </c>
      <c r="R35" s="7">
        <f t="shared" si="1"/>
        <v>0</v>
      </c>
    </row>
    <row r="36" spans="1:18" hidden="1" x14ac:dyDescent="0.25">
      <c r="A36" s="81"/>
      <c r="B36" s="35" t="str">
        <f>'Reimbursement Rates &lt;-INPUT'!P7</f>
        <v>Clinic 15</v>
      </c>
      <c r="C36" s="89"/>
      <c r="D36" s="89"/>
      <c r="E36" s="89"/>
      <c r="F36" s="89"/>
      <c r="G36" s="89"/>
      <c r="H36" s="89"/>
      <c r="I36" s="89"/>
      <c r="J36" s="89"/>
      <c r="K36" s="89"/>
      <c r="L36" s="89"/>
      <c r="N36" s="137"/>
      <c r="O36" s="7">
        <f>'Agile AR Aging &lt;-INPUT'!V407</f>
        <v>0</v>
      </c>
      <c r="P36" s="7">
        <f t="shared" si="0"/>
        <v>0</v>
      </c>
      <c r="Q36" s="7">
        <f>'Agile AR Aging &lt;-INPUT'!K407</f>
        <v>0</v>
      </c>
      <c r="R36" s="7">
        <f t="shared" si="1"/>
        <v>0</v>
      </c>
    </row>
    <row r="37" spans="1:18" ht="15.75" thickBot="1" x14ac:dyDescent="0.3">
      <c r="C37" s="69">
        <f>SUM(C22:C36)</f>
        <v>0</v>
      </c>
      <c r="D37" s="69">
        <f>SUM(D22:D36)</f>
        <v>0</v>
      </c>
      <c r="E37" s="69">
        <f t="shared" ref="E37:L37" si="2">SUM(E22:E36)</f>
        <v>0</v>
      </c>
      <c r="F37" s="69">
        <f t="shared" si="2"/>
        <v>0</v>
      </c>
      <c r="G37" s="69">
        <f t="shared" si="2"/>
        <v>0</v>
      </c>
      <c r="H37" s="69">
        <f t="shared" si="2"/>
        <v>0</v>
      </c>
      <c r="I37" s="69">
        <f t="shared" si="2"/>
        <v>0</v>
      </c>
      <c r="J37" s="69">
        <f t="shared" si="2"/>
        <v>0</v>
      </c>
      <c r="K37" s="69">
        <f t="shared" si="2"/>
        <v>0</v>
      </c>
      <c r="L37" s="69">
        <f t="shared" si="2"/>
        <v>0</v>
      </c>
      <c r="M37" s="137"/>
      <c r="N37" s="137"/>
      <c r="O37" s="90">
        <f>SUM(O22:O36)</f>
        <v>-32252.74</v>
      </c>
      <c r="P37" s="90">
        <f t="shared" ref="P37:R37" si="3">SUM(P22:P36)</f>
        <v>-32252.74</v>
      </c>
      <c r="Q37" s="90">
        <f t="shared" si="3"/>
        <v>-32252.740000000005</v>
      </c>
      <c r="R37" s="90">
        <f t="shared" si="3"/>
        <v>0</v>
      </c>
    </row>
    <row r="39" spans="1:18" x14ac:dyDescent="0.25">
      <c r="D39" s="7"/>
      <c r="E39" s="7"/>
      <c r="F39" s="7"/>
      <c r="G39" s="7"/>
    </row>
    <row r="40" spans="1:18" x14ac:dyDescent="0.25">
      <c r="D40" s="7"/>
      <c r="E40" s="7"/>
      <c r="F40" s="7"/>
      <c r="G40" s="7"/>
    </row>
    <row r="41" spans="1:18" x14ac:dyDescent="0.25">
      <c r="E41" s="7"/>
    </row>
  </sheetData>
  <sortState xmlns:xlrd2="http://schemas.microsoft.com/office/spreadsheetml/2017/richdata2" ref="A22:R23">
    <sortCondition ref="B22:B23"/>
  </sortState>
  <mergeCells count="5">
    <mergeCell ref="A1:M1"/>
    <mergeCell ref="A2:M2"/>
    <mergeCell ref="A3:M3"/>
    <mergeCell ref="A5:Q5"/>
    <mergeCell ref="C20:L20"/>
  </mergeCells>
  <conditionalFormatting sqref="R22:R37">
    <cfRule type="cellIs" dxfId="20" priority="1" operator="lessThan">
      <formula>0</formula>
    </cfRule>
    <cfRule type="cellIs" dxfId="19" priority="2" operator="greaterThan">
      <formula>0</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6"/>
  </sheetPr>
  <dimension ref="A1:R58"/>
  <sheetViews>
    <sheetView topLeftCell="B1" zoomScale="85" zoomScaleNormal="85" workbookViewId="0">
      <selection activeCell="B1" sqref="B1:N1"/>
    </sheetView>
  </sheetViews>
  <sheetFormatPr defaultRowHeight="15" x14ac:dyDescent="0.25"/>
  <cols>
    <col min="1" max="1" width="24.140625" hidden="1" customWidth="1"/>
    <col min="2" max="2" width="20.7109375" customWidth="1"/>
    <col min="3" max="3" width="15.7109375" customWidth="1"/>
    <col min="4" max="4" width="20.7109375" customWidth="1"/>
    <col min="5" max="8" width="18.7109375" customWidth="1"/>
    <col min="9" max="10" width="15.7109375" customWidth="1"/>
    <col min="11" max="11" width="18.7109375" customWidth="1"/>
    <col min="12" max="12" width="15.7109375" customWidth="1"/>
    <col min="13" max="13" width="9.5703125" bestFit="1" customWidth="1"/>
    <col min="14" max="14" width="11.85546875" customWidth="1"/>
    <col min="15" max="18" width="12.7109375" customWidth="1"/>
  </cols>
  <sheetData>
    <row r="1" spans="2:18" ht="18.75" x14ac:dyDescent="0.3">
      <c r="B1" s="162" t="s">
        <v>17</v>
      </c>
      <c r="C1" s="162"/>
      <c r="D1" s="162"/>
      <c r="E1" s="162"/>
      <c r="F1" s="162"/>
      <c r="G1" s="162"/>
      <c r="H1" s="162"/>
      <c r="I1" s="162"/>
      <c r="J1" s="162"/>
      <c r="K1" s="162"/>
      <c r="L1" s="162"/>
      <c r="M1" s="162"/>
      <c r="N1" s="162"/>
    </row>
    <row r="2" spans="2:18" ht="15.75" x14ac:dyDescent="0.25">
      <c r="B2" s="163" t="str">
        <f>'Reimbursement Rates &lt;-INPUT'!A2</f>
        <v>Amato PT</v>
      </c>
      <c r="C2" s="163"/>
      <c r="D2" s="163"/>
      <c r="E2" s="163"/>
      <c r="F2" s="163"/>
      <c r="G2" s="163"/>
      <c r="H2" s="163"/>
      <c r="I2" s="163"/>
      <c r="J2" s="163"/>
      <c r="K2" s="163"/>
      <c r="L2" s="163"/>
      <c r="M2" s="163"/>
      <c r="N2" s="163"/>
    </row>
    <row r="3" spans="2:18" x14ac:dyDescent="0.25">
      <c r="B3" s="164" t="s">
        <v>229</v>
      </c>
      <c r="C3" s="164"/>
      <c r="D3" s="164"/>
      <c r="E3" s="164"/>
      <c r="F3" s="164"/>
      <c r="G3" s="164"/>
      <c r="H3" s="164"/>
      <c r="I3" s="164"/>
      <c r="J3" s="164"/>
      <c r="K3" s="164"/>
      <c r="L3" s="164"/>
      <c r="M3" s="164"/>
      <c r="N3" s="164"/>
    </row>
    <row r="4" spans="2:18" ht="15.75" thickBot="1" x14ac:dyDescent="0.3">
      <c r="B4" s="35"/>
      <c r="C4" s="35"/>
      <c r="D4" s="35"/>
      <c r="E4" s="35"/>
      <c r="F4" s="35"/>
      <c r="G4" s="35"/>
      <c r="H4" s="35"/>
      <c r="I4" s="35"/>
      <c r="J4" s="35"/>
      <c r="K4" s="35"/>
      <c r="L4" s="35"/>
      <c r="M4" s="35"/>
      <c r="N4" s="35"/>
    </row>
    <row r="5" spans="2:18" ht="15.75" thickBot="1" x14ac:dyDescent="0.3">
      <c r="B5" s="174" t="s">
        <v>131</v>
      </c>
      <c r="C5" s="175"/>
      <c r="D5" s="175"/>
      <c r="E5" s="175"/>
      <c r="F5" s="175"/>
      <c r="G5" s="175"/>
      <c r="H5" s="175"/>
      <c r="I5" s="175"/>
      <c r="J5" s="175"/>
      <c r="K5" s="175"/>
      <c r="L5" s="175"/>
      <c r="M5" s="175"/>
      <c r="N5" s="175"/>
      <c r="O5" s="175"/>
      <c r="P5" s="175"/>
      <c r="Q5" s="175"/>
      <c r="R5" s="176"/>
    </row>
    <row r="6" spans="2:18" x14ac:dyDescent="0.25">
      <c r="B6" s="35"/>
      <c r="C6" s="35"/>
      <c r="D6" s="35"/>
      <c r="E6" s="35"/>
      <c r="F6" s="35"/>
      <c r="G6" s="35"/>
      <c r="H6" s="35"/>
      <c r="I6" s="35"/>
      <c r="J6" s="35"/>
      <c r="K6" s="35"/>
      <c r="L6" s="35"/>
      <c r="M6" s="35"/>
      <c r="N6" s="35"/>
    </row>
    <row r="7" spans="2:18" x14ac:dyDescent="0.25">
      <c r="B7" s="65" t="s">
        <v>135</v>
      </c>
      <c r="C7" s="35"/>
      <c r="D7" s="35"/>
      <c r="E7" s="35"/>
      <c r="F7" s="35"/>
      <c r="G7" s="35"/>
      <c r="H7" s="35"/>
      <c r="I7" s="35"/>
      <c r="J7" s="35"/>
      <c r="K7" s="35"/>
      <c r="L7" s="35"/>
      <c r="M7" s="35"/>
      <c r="N7" s="35"/>
    </row>
    <row r="8" spans="2:18" x14ac:dyDescent="0.25">
      <c r="B8" s="84" t="s">
        <v>154</v>
      </c>
      <c r="C8" s="35"/>
      <c r="D8" s="35"/>
      <c r="E8" s="35"/>
      <c r="F8" s="35"/>
      <c r="G8" s="35"/>
      <c r="H8" s="35"/>
      <c r="I8" s="35"/>
      <c r="J8" s="35"/>
      <c r="K8" s="35"/>
      <c r="L8" s="35"/>
      <c r="M8" s="35"/>
      <c r="N8" s="35"/>
    </row>
    <row r="9" spans="2:18" x14ac:dyDescent="0.25">
      <c r="B9" s="84" t="s">
        <v>161</v>
      </c>
      <c r="C9" s="35"/>
      <c r="D9" s="35"/>
      <c r="E9" s="35"/>
      <c r="F9" s="35"/>
      <c r="G9" s="35"/>
      <c r="H9" s="35"/>
      <c r="I9" s="35"/>
      <c r="J9" s="35"/>
      <c r="K9" s="35"/>
      <c r="L9" s="35"/>
      <c r="M9" s="35"/>
      <c r="N9" s="35"/>
    </row>
    <row r="10" spans="2:18" x14ac:dyDescent="0.25">
      <c r="B10" s="84" t="s">
        <v>162</v>
      </c>
      <c r="C10" s="35"/>
      <c r="D10" s="35"/>
      <c r="E10" s="35"/>
      <c r="F10" s="35"/>
      <c r="G10" s="35"/>
      <c r="H10" s="35"/>
      <c r="I10" s="35"/>
      <c r="J10" s="35"/>
      <c r="K10" s="35"/>
      <c r="L10" s="35"/>
      <c r="M10" s="35"/>
      <c r="N10" s="35"/>
    </row>
    <row r="11" spans="2:18" x14ac:dyDescent="0.25">
      <c r="B11" s="84" t="s">
        <v>163</v>
      </c>
      <c r="C11" s="35"/>
      <c r="D11" s="35"/>
      <c r="E11" s="35"/>
      <c r="F11" s="35"/>
      <c r="G11" s="35"/>
      <c r="H11" s="35"/>
      <c r="I11" s="35"/>
      <c r="J11" s="35"/>
      <c r="K11" s="35"/>
      <c r="L11" s="35"/>
      <c r="M11" s="35"/>
      <c r="N11" s="35"/>
    </row>
    <row r="12" spans="2:18" x14ac:dyDescent="0.25">
      <c r="B12" s="84"/>
      <c r="C12" s="35"/>
      <c r="D12" s="35"/>
      <c r="E12" s="35"/>
      <c r="F12" s="35"/>
      <c r="G12" s="35"/>
      <c r="H12" s="35"/>
      <c r="I12" s="35"/>
      <c r="J12" s="35"/>
      <c r="K12" s="35"/>
      <c r="L12" s="35"/>
      <c r="M12" s="35"/>
      <c r="N12" s="35"/>
    </row>
    <row r="13" spans="2:18" x14ac:dyDescent="0.25">
      <c r="B13" s="87" t="s">
        <v>157</v>
      </c>
      <c r="C13" s="35"/>
      <c r="D13" s="35"/>
      <c r="E13" s="35"/>
      <c r="F13" s="35"/>
      <c r="G13" s="35"/>
      <c r="H13" s="35"/>
      <c r="I13" s="35"/>
      <c r="J13" s="35"/>
      <c r="K13" s="35"/>
      <c r="L13" s="35"/>
      <c r="M13" s="35"/>
      <c r="N13" s="35"/>
    </row>
    <row r="14" spans="2:18" x14ac:dyDescent="0.25">
      <c r="B14" s="84" t="s">
        <v>158</v>
      </c>
      <c r="C14" s="35"/>
      <c r="D14" s="35"/>
      <c r="E14" s="35"/>
      <c r="F14" s="35"/>
      <c r="G14" s="35"/>
      <c r="H14" s="35"/>
      <c r="I14" s="35"/>
      <c r="J14" s="35"/>
      <c r="K14" s="35"/>
      <c r="L14" s="35"/>
      <c r="M14" s="35"/>
      <c r="N14" s="35"/>
    </row>
    <row r="15" spans="2:18" x14ac:dyDescent="0.25">
      <c r="B15" s="84" t="s">
        <v>159</v>
      </c>
      <c r="C15" s="35"/>
      <c r="D15" s="35"/>
      <c r="E15" s="35"/>
      <c r="F15" s="35"/>
      <c r="G15" s="35"/>
      <c r="H15" s="35"/>
      <c r="I15" s="35"/>
      <c r="J15" s="35"/>
      <c r="K15" s="35"/>
      <c r="L15" s="35"/>
      <c r="M15" s="35"/>
      <c r="N15" s="35"/>
    </row>
    <row r="16" spans="2:18" x14ac:dyDescent="0.25">
      <c r="B16" s="84" t="s">
        <v>164</v>
      </c>
      <c r="C16" s="35"/>
      <c r="D16" s="35"/>
      <c r="E16" s="35"/>
      <c r="F16" s="35"/>
      <c r="G16" s="35"/>
      <c r="H16" s="35"/>
      <c r="I16" s="35"/>
      <c r="J16" s="35"/>
      <c r="K16" s="35"/>
      <c r="L16" s="35"/>
      <c r="M16" s="35"/>
      <c r="N16" s="35"/>
    </row>
    <row r="17" spans="2:14" x14ac:dyDescent="0.25">
      <c r="B17" s="91" t="s">
        <v>165</v>
      </c>
      <c r="C17" s="35"/>
      <c r="D17" s="35"/>
      <c r="E17" s="35"/>
      <c r="F17" s="35"/>
      <c r="G17" s="35"/>
      <c r="H17" s="35"/>
      <c r="I17" s="35"/>
      <c r="J17" s="35"/>
      <c r="K17" s="35"/>
      <c r="L17" s="35"/>
      <c r="M17" s="35"/>
      <c r="N17" s="35"/>
    </row>
    <row r="18" spans="2:14" x14ac:dyDescent="0.25">
      <c r="B18" s="91" t="s">
        <v>166</v>
      </c>
      <c r="C18" s="35"/>
      <c r="D18" s="35"/>
      <c r="E18" s="35"/>
      <c r="F18" s="35"/>
      <c r="G18" s="35"/>
      <c r="H18" s="35"/>
      <c r="I18" s="35"/>
      <c r="J18" s="35"/>
      <c r="K18" s="35"/>
      <c r="L18" s="35"/>
      <c r="M18" s="35"/>
      <c r="N18" s="35"/>
    </row>
    <row r="19" spans="2:14" x14ac:dyDescent="0.25">
      <c r="B19" s="91" t="s">
        <v>167</v>
      </c>
      <c r="C19" s="35"/>
      <c r="D19" s="35"/>
      <c r="E19" s="35"/>
      <c r="F19" s="35"/>
      <c r="G19" s="35"/>
      <c r="H19" s="35"/>
      <c r="I19" s="35"/>
      <c r="J19" s="35"/>
      <c r="K19" s="35"/>
      <c r="L19" s="35"/>
      <c r="M19" s="35"/>
      <c r="N19" s="35"/>
    </row>
    <row r="20" spans="2:14" x14ac:dyDescent="0.25">
      <c r="B20" s="91" t="s">
        <v>168</v>
      </c>
      <c r="C20" s="35"/>
      <c r="D20" s="35"/>
      <c r="E20" s="35"/>
      <c r="F20" s="35"/>
      <c r="G20" s="35"/>
      <c r="H20" s="35"/>
      <c r="I20" s="35"/>
      <c r="J20" s="35"/>
      <c r="K20" s="35"/>
      <c r="L20" s="35"/>
      <c r="M20" s="35"/>
      <c r="N20" s="35"/>
    </row>
    <row r="21" spans="2:14" x14ac:dyDescent="0.25">
      <c r="B21" s="91" t="s">
        <v>169</v>
      </c>
      <c r="C21" s="35"/>
      <c r="D21" s="35"/>
      <c r="E21" s="35"/>
      <c r="F21" s="35"/>
      <c r="G21" s="35"/>
      <c r="H21" s="35"/>
      <c r="I21" s="35"/>
      <c r="J21" s="35"/>
      <c r="K21" s="35"/>
      <c r="L21" s="35"/>
      <c r="M21" s="35"/>
      <c r="N21" s="35"/>
    </row>
    <row r="22" spans="2:14" x14ac:dyDescent="0.25">
      <c r="B22" s="92" t="s">
        <v>170</v>
      </c>
      <c r="C22" s="35"/>
      <c r="D22" s="35"/>
      <c r="E22" s="35"/>
      <c r="F22" s="35"/>
      <c r="G22" s="35"/>
      <c r="H22" s="35"/>
      <c r="I22" s="35"/>
      <c r="J22" s="35"/>
      <c r="K22" s="35"/>
      <c r="L22" s="35"/>
      <c r="M22" s="35"/>
      <c r="N22" s="35"/>
    </row>
    <row r="23" spans="2:14" x14ac:dyDescent="0.25">
      <c r="B23" s="92" t="s">
        <v>171</v>
      </c>
      <c r="C23" s="35"/>
      <c r="D23" s="35"/>
      <c r="E23" s="35"/>
      <c r="F23" s="35"/>
      <c r="G23" s="35"/>
      <c r="H23" s="35"/>
      <c r="I23" s="35"/>
      <c r="J23" s="35"/>
      <c r="K23" s="35"/>
      <c r="L23" s="35"/>
      <c r="M23" s="35"/>
      <c r="N23" s="35"/>
    </row>
    <row r="24" spans="2:14" x14ac:dyDescent="0.25">
      <c r="B24" s="92" t="s">
        <v>172</v>
      </c>
      <c r="C24" s="35"/>
      <c r="D24" s="35"/>
      <c r="E24" s="35"/>
      <c r="F24" s="35"/>
      <c r="G24" s="35"/>
      <c r="H24" s="35"/>
      <c r="I24" s="35"/>
      <c r="J24" s="35"/>
      <c r="K24" s="35"/>
      <c r="L24" s="35"/>
      <c r="M24" s="35"/>
      <c r="N24" s="35"/>
    </row>
    <row r="25" spans="2:14" x14ac:dyDescent="0.25">
      <c r="B25" s="91" t="s">
        <v>173</v>
      </c>
      <c r="C25" s="35"/>
      <c r="D25" s="35"/>
      <c r="E25" s="35"/>
      <c r="F25" s="35"/>
      <c r="G25" s="35"/>
      <c r="H25" s="35"/>
      <c r="I25" s="35"/>
      <c r="J25" s="35"/>
      <c r="K25" s="35"/>
      <c r="L25" s="35"/>
      <c r="M25" s="35"/>
      <c r="N25" s="35"/>
    </row>
    <row r="26" spans="2:14" x14ac:dyDescent="0.25">
      <c r="B26" s="91" t="s">
        <v>174</v>
      </c>
      <c r="C26" s="35"/>
      <c r="D26" s="35"/>
      <c r="E26" s="35"/>
      <c r="F26" s="35"/>
      <c r="G26" s="35"/>
      <c r="H26" s="35"/>
      <c r="I26" s="35"/>
      <c r="J26" s="35"/>
      <c r="K26" s="35"/>
      <c r="L26" s="35"/>
      <c r="M26" s="35"/>
      <c r="N26" s="35"/>
    </row>
    <row r="27" spans="2:14" x14ac:dyDescent="0.25">
      <c r="B27" s="91" t="s">
        <v>175</v>
      </c>
      <c r="C27" s="35"/>
      <c r="D27" s="35"/>
      <c r="E27" s="35"/>
      <c r="F27" s="35"/>
      <c r="G27" s="35"/>
      <c r="H27" s="35"/>
      <c r="I27" s="35"/>
      <c r="J27" s="35"/>
      <c r="K27" s="35"/>
      <c r="L27" s="35"/>
      <c r="M27" s="35"/>
      <c r="N27" s="35"/>
    </row>
    <row r="28" spans="2:14" x14ac:dyDescent="0.25">
      <c r="B28" s="91" t="s">
        <v>176</v>
      </c>
      <c r="C28" s="35"/>
      <c r="D28" s="35"/>
      <c r="E28" s="35"/>
      <c r="F28" s="35"/>
      <c r="G28" s="35"/>
      <c r="H28" s="35"/>
      <c r="I28" s="35"/>
      <c r="J28" s="35"/>
      <c r="K28" s="35"/>
      <c r="L28" s="35"/>
      <c r="M28" s="35"/>
      <c r="N28" s="35"/>
    </row>
    <row r="29" spans="2:14" x14ac:dyDescent="0.25">
      <c r="B29" s="91" t="s">
        <v>177</v>
      </c>
      <c r="C29" s="35"/>
      <c r="D29" s="35"/>
      <c r="E29" s="35"/>
      <c r="F29" s="35"/>
      <c r="G29" s="35"/>
      <c r="H29" s="35"/>
      <c r="I29" s="35"/>
      <c r="J29" s="35"/>
      <c r="K29" s="35"/>
      <c r="L29" s="35"/>
      <c r="M29" s="35"/>
      <c r="N29" s="35"/>
    </row>
    <row r="30" spans="2:14" x14ac:dyDescent="0.25">
      <c r="B30" s="84" t="s">
        <v>178</v>
      </c>
      <c r="C30" s="35"/>
      <c r="D30" s="35"/>
      <c r="E30" s="35"/>
      <c r="F30" s="35"/>
      <c r="G30" s="35"/>
      <c r="H30" s="35"/>
      <c r="I30" s="35"/>
      <c r="J30" s="35"/>
      <c r="K30" s="35"/>
      <c r="L30" s="35"/>
      <c r="M30" s="35"/>
      <c r="N30" s="35"/>
    </row>
    <row r="33" spans="1:18" hidden="1" x14ac:dyDescent="0.25">
      <c r="C33" t="s">
        <v>100</v>
      </c>
      <c r="D33" t="s">
        <v>382</v>
      </c>
      <c r="E33" t="s">
        <v>385</v>
      </c>
      <c r="F33" t="s">
        <v>103</v>
      </c>
      <c r="G33" t="s">
        <v>384</v>
      </c>
      <c r="H33" t="s">
        <v>381</v>
      </c>
      <c r="I33" t="s">
        <v>106</v>
      </c>
      <c r="J33" t="s">
        <v>107</v>
      </c>
      <c r="K33" t="s">
        <v>108</v>
      </c>
      <c r="L33" t="s">
        <v>109</v>
      </c>
    </row>
    <row r="34" spans="1:18" x14ac:dyDescent="0.25">
      <c r="C34" s="180" t="str">
        <f>'RF by Location &lt;-INPUT'!C20:L20</f>
        <v>09/01/2023-09/30/2023</v>
      </c>
      <c r="D34" s="180"/>
      <c r="E34" s="180"/>
      <c r="F34" s="180"/>
      <c r="G34" s="180"/>
      <c r="H34" s="180"/>
      <c r="I34" s="180"/>
      <c r="J34" s="180"/>
      <c r="K34" s="180"/>
      <c r="L34" s="180"/>
      <c r="O34" s="74" t="s">
        <v>114</v>
      </c>
      <c r="P34" s="74" t="s">
        <v>115</v>
      </c>
      <c r="Q34" s="74" t="s">
        <v>116</v>
      </c>
      <c r="R34" s="75"/>
    </row>
    <row r="35" spans="1:18" ht="15.75" thickBot="1" x14ac:dyDescent="0.3">
      <c r="B35" s="73" t="s">
        <v>117</v>
      </c>
      <c r="C35" s="73" t="s">
        <v>100</v>
      </c>
      <c r="D35" s="73" t="s">
        <v>101</v>
      </c>
      <c r="E35" s="73" t="s">
        <v>102</v>
      </c>
      <c r="F35" s="73" t="s">
        <v>103</v>
      </c>
      <c r="G35" s="73" t="s">
        <v>104</v>
      </c>
      <c r="H35" s="73" t="s">
        <v>105</v>
      </c>
      <c r="I35" s="73" t="s">
        <v>106</v>
      </c>
      <c r="J35" s="73" t="s">
        <v>107</v>
      </c>
      <c r="K35" s="73" t="s">
        <v>108</v>
      </c>
      <c r="L35" s="73" t="s">
        <v>109</v>
      </c>
      <c r="O35" s="76" t="s">
        <v>113</v>
      </c>
      <c r="P35" s="76" t="s">
        <v>113</v>
      </c>
      <c r="Q35" s="76" t="s">
        <v>113</v>
      </c>
      <c r="R35" s="76" t="s">
        <v>39</v>
      </c>
    </row>
    <row r="36" spans="1:18" x14ac:dyDescent="0.25">
      <c r="A36" t="s">
        <v>335</v>
      </c>
      <c r="B36" s="1" t="s">
        <v>49</v>
      </c>
      <c r="C36" s="33">
        <f>SUMIFS(CurrentMonthTransactionData!$R:$R,CurrentMonthTransactionData!$V:$V,C$33,CurrentMonthTransactionData!$W:$W,""&amp;$A36&amp;"")</f>
        <v>0</v>
      </c>
      <c r="D36" s="33">
        <f>SUMIFS(CurrentMonthTransactionData!$R:$R,CurrentMonthTransactionData!$V:$V,D$33,CurrentMonthTransactionData!$W:$W,""&amp;$A36&amp;"")</f>
        <v>0</v>
      </c>
      <c r="E36" s="33">
        <f>SUMIFS(CurrentMonthTransactionData!$R:$R,CurrentMonthTransactionData!$V:$V,E$33,CurrentMonthTransactionData!$W:$W,""&amp;$A36&amp;"")</f>
        <v>0</v>
      </c>
      <c r="F36" s="33">
        <f>SUMIFS(CurrentMonthTransactionData!$R:$R,CurrentMonthTransactionData!$V:$V,F$33,CurrentMonthTransactionData!$W:$W,""&amp;$A36&amp;"")</f>
        <v>0</v>
      </c>
      <c r="G36" s="33">
        <f>SUMIFS(CurrentMonthTransactionData!$R:$R,CurrentMonthTransactionData!$V:$V,G$33,CurrentMonthTransactionData!$W:$W,""&amp;$A36&amp;"")</f>
        <v>0</v>
      </c>
      <c r="H36" s="33">
        <f>SUMIFS(CurrentMonthTransactionData!$R:$R,CurrentMonthTransactionData!$V:$V,H$33,CurrentMonthTransactionData!$W:$W,""&amp;$A36&amp;"")</f>
        <v>0</v>
      </c>
      <c r="I36" s="33">
        <f>SUMIFS(CurrentMonthTransactionData!$R:$R,CurrentMonthTransactionData!$V:$V,I$33,CurrentMonthTransactionData!$W:$W,""&amp;$A36&amp;"")</f>
        <v>0</v>
      </c>
      <c r="J36" s="33">
        <f>SUMIFS(CurrentMonthTransactionData!$R:$R,CurrentMonthTransactionData!$V:$V,J$33,CurrentMonthTransactionData!$W:$W,""&amp;$A36&amp;"")</f>
        <v>0</v>
      </c>
      <c r="K36" s="33">
        <f>SUMIFS(CurrentMonthTransactionData!$R:$R,CurrentMonthTransactionData!$V:$V,K$33,CurrentMonthTransactionData!$W:$W,""&amp;$A36&amp;"")</f>
        <v>0</v>
      </c>
      <c r="L36" s="33">
        <f>SUMIFS(CurrentMonthTransactionData!$R:$R,CurrentMonthTransactionData!$V:$V,L$33,CurrentMonthTransactionData!$W:$W,""&amp;$A36&amp;"")</f>
        <v>0</v>
      </c>
      <c r="M36" s="7"/>
      <c r="N36" s="7"/>
      <c r="O36" s="7">
        <f>'Agile AR Aging &lt;-INPUT'!V413</f>
        <v>0</v>
      </c>
      <c r="P36" s="7">
        <f>O36+C36-D36-E36-F36-G36-H36+I36-J36-K36-L36</f>
        <v>0</v>
      </c>
      <c r="Q36" s="7">
        <f>'Agile AR Aging &lt;-INPUT'!K413</f>
        <v>0</v>
      </c>
      <c r="R36" s="7">
        <f>P36-Q36</f>
        <v>0</v>
      </c>
    </row>
    <row r="37" spans="1:18" x14ac:dyDescent="0.25">
      <c r="A37" t="s">
        <v>8</v>
      </c>
      <c r="B37" s="1" t="s">
        <v>8</v>
      </c>
      <c r="C37" s="2">
        <f>SUMIFS(CurrentMonthTransactionData!$R:$R,CurrentMonthTransactionData!$V:$V,C$33,CurrentMonthTransactionData!$W:$W,""&amp;$A37&amp;"")</f>
        <v>0</v>
      </c>
      <c r="D37" s="2">
        <f>SUMIFS(CurrentMonthTransactionData!$R:$R,CurrentMonthTransactionData!$V:$V,D$33,CurrentMonthTransactionData!$W:$W,""&amp;$A37&amp;"")</f>
        <v>0</v>
      </c>
      <c r="E37" s="2">
        <f>SUMIFS(CurrentMonthTransactionData!$R:$R,CurrentMonthTransactionData!$V:$V,E$33,CurrentMonthTransactionData!$W:$W,""&amp;$A37&amp;"")</f>
        <v>0</v>
      </c>
      <c r="F37" s="2">
        <f>SUMIFS(CurrentMonthTransactionData!$R:$R,CurrentMonthTransactionData!$V:$V,F$33,CurrentMonthTransactionData!$W:$W,""&amp;$A37&amp;"")</f>
        <v>0</v>
      </c>
      <c r="G37" s="2">
        <f>SUMIFS(CurrentMonthTransactionData!$R:$R,CurrentMonthTransactionData!$V:$V,G$33,CurrentMonthTransactionData!$W:$W,""&amp;$A37&amp;"")</f>
        <v>0</v>
      </c>
      <c r="H37" s="2">
        <f>SUMIFS(CurrentMonthTransactionData!$R:$R,CurrentMonthTransactionData!$V:$V,H$33,CurrentMonthTransactionData!$W:$W,""&amp;$A37&amp;"")</f>
        <v>0</v>
      </c>
      <c r="I37" s="2">
        <f>SUMIFS(CurrentMonthTransactionData!$R:$R,CurrentMonthTransactionData!$V:$V,I$33,CurrentMonthTransactionData!$W:$W,""&amp;$A37&amp;"")</f>
        <v>0</v>
      </c>
      <c r="J37" s="2">
        <f>SUMIFS(CurrentMonthTransactionData!$R:$R,CurrentMonthTransactionData!$V:$V,J$33,CurrentMonthTransactionData!$W:$W,""&amp;$A37&amp;"")</f>
        <v>0</v>
      </c>
      <c r="K37" s="33">
        <f>SUMIFS(CurrentMonthTransactionData!$R:$R,CurrentMonthTransactionData!$V:$V,K$33,CurrentMonthTransactionData!$W:$W,""&amp;$A37&amp;"")</f>
        <v>0</v>
      </c>
      <c r="L37" s="33">
        <f>SUMIFS(CurrentMonthTransactionData!$R:$R,CurrentMonthTransactionData!$V:$V,L$33,CurrentMonthTransactionData!$W:$W,""&amp;$A37&amp;"")</f>
        <v>0</v>
      </c>
      <c r="M37" s="7"/>
      <c r="N37" s="7"/>
      <c r="O37" s="7">
        <f>'Agile AR Aging &lt;-INPUT'!V414</f>
        <v>-501.87000000000006</v>
      </c>
      <c r="P37" s="7">
        <f t="shared" ref="P37:P55" si="0">O37+C37-D37-E37-F37-G37-H37+I37-J37-K37-L37</f>
        <v>-501.87000000000006</v>
      </c>
      <c r="Q37" s="7">
        <f>'Agile AR Aging &lt;-INPUT'!K414</f>
        <v>-501.87</v>
      </c>
      <c r="R37" s="7">
        <f t="shared" ref="R37:R55" si="1">P37-Q37</f>
        <v>0</v>
      </c>
    </row>
    <row r="38" spans="1:18" x14ac:dyDescent="0.25">
      <c r="A38" t="s">
        <v>336</v>
      </c>
      <c r="B38" s="1" t="s">
        <v>7</v>
      </c>
      <c r="C38" s="7">
        <f>SUMIFS(CurrentMonthTransactionData!$R:$R,CurrentMonthTransactionData!$V:$V,C$33,CurrentMonthTransactionData!$W:$W,""&amp;$A38&amp;"")</f>
        <v>0</v>
      </c>
      <c r="D38" s="7">
        <f>SUMIFS(CurrentMonthTransactionData!$R:$R,CurrentMonthTransactionData!$V:$V,D$33,CurrentMonthTransactionData!$W:$W,""&amp;$A38&amp;"")</f>
        <v>0</v>
      </c>
      <c r="E38" s="7">
        <f>SUMIFS(CurrentMonthTransactionData!$R:$R,CurrentMonthTransactionData!$V:$V,E$33,CurrentMonthTransactionData!$W:$W,""&amp;$A38&amp;"")</f>
        <v>0</v>
      </c>
      <c r="F38" s="7">
        <f>SUMIFS(CurrentMonthTransactionData!$R:$R,CurrentMonthTransactionData!$V:$V,F$33,CurrentMonthTransactionData!$W:$W,""&amp;$A38&amp;"")</f>
        <v>0</v>
      </c>
      <c r="G38" s="7">
        <f>SUMIFS(CurrentMonthTransactionData!$R:$R,CurrentMonthTransactionData!$V:$V,G$33,CurrentMonthTransactionData!$W:$W,""&amp;$A38&amp;"")</f>
        <v>0</v>
      </c>
      <c r="H38" s="7">
        <f>SUMIFS(CurrentMonthTransactionData!$R:$R,CurrentMonthTransactionData!$V:$V,H$33,CurrentMonthTransactionData!$W:$W,""&amp;$A38&amp;"")</f>
        <v>0</v>
      </c>
      <c r="I38" s="2">
        <f>SUMIFS(CurrentMonthTransactionData!$R:$R,CurrentMonthTransactionData!$V:$V,I$33,CurrentMonthTransactionData!$W:$W,""&amp;$A38&amp;"")</f>
        <v>0</v>
      </c>
      <c r="J38" s="2">
        <f>SUMIFS(CurrentMonthTransactionData!$R:$R,CurrentMonthTransactionData!$V:$V,J$33,CurrentMonthTransactionData!$W:$W,""&amp;$A38&amp;"")</f>
        <v>0</v>
      </c>
      <c r="K38" s="33">
        <f>SUMIFS(CurrentMonthTransactionData!$R:$R,CurrentMonthTransactionData!$V:$V,K$33,CurrentMonthTransactionData!$W:$W,""&amp;$A38&amp;"")</f>
        <v>0</v>
      </c>
      <c r="L38" s="33">
        <f>SUMIFS(CurrentMonthTransactionData!$R:$R,CurrentMonthTransactionData!$V:$V,L$33,CurrentMonthTransactionData!$W:$W,""&amp;$A38&amp;"")</f>
        <v>0</v>
      </c>
      <c r="M38" s="7"/>
      <c r="N38" s="7"/>
      <c r="O38" s="7">
        <f>'Agile AR Aging &lt;-INPUT'!V415</f>
        <v>-261.87</v>
      </c>
      <c r="P38" s="7">
        <f t="shared" si="0"/>
        <v>-261.87</v>
      </c>
      <c r="Q38" s="7">
        <f>'Agile AR Aging &lt;-INPUT'!K415</f>
        <v>-261.87</v>
      </c>
      <c r="R38" s="7">
        <f t="shared" si="1"/>
        <v>0</v>
      </c>
    </row>
    <row r="39" spans="1:18" x14ac:dyDescent="0.25">
      <c r="A39" t="s">
        <v>42</v>
      </c>
      <c r="B39" s="1" t="s">
        <v>42</v>
      </c>
      <c r="C39" s="33">
        <f>SUMIFS(CurrentMonthTransactionData!$R:$R,CurrentMonthTransactionData!$V:$V,C$33,CurrentMonthTransactionData!$W:$W,""&amp;$A39&amp;"")</f>
        <v>0</v>
      </c>
      <c r="D39" s="33">
        <f>SUMIFS(CurrentMonthTransactionData!$R:$R,CurrentMonthTransactionData!$V:$V,D$33,CurrentMonthTransactionData!$W:$W,""&amp;$A39&amp;"")</f>
        <v>0</v>
      </c>
      <c r="E39" s="33">
        <f>SUMIFS(CurrentMonthTransactionData!$R:$R,CurrentMonthTransactionData!$V:$V,E$33,CurrentMonthTransactionData!$W:$W,""&amp;$A39&amp;"")</f>
        <v>0</v>
      </c>
      <c r="F39" s="33">
        <f>SUMIFS(CurrentMonthTransactionData!$R:$R,CurrentMonthTransactionData!$V:$V,F$33,CurrentMonthTransactionData!$W:$W,""&amp;$A39&amp;"")</f>
        <v>0</v>
      </c>
      <c r="G39" s="33">
        <f>SUMIFS(CurrentMonthTransactionData!$R:$R,CurrentMonthTransactionData!$V:$V,G$33,CurrentMonthTransactionData!$W:$W,""&amp;$A39&amp;"")</f>
        <v>0</v>
      </c>
      <c r="H39" s="33">
        <f>SUMIFS(CurrentMonthTransactionData!$R:$R,CurrentMonthTransactionData!$V:$V,H$33,CurrentMonthTransactionData!$W:$W,""&amp;$A39&amp;"")</f>
        <v>0</v>
      </c>
      <c r="I39" s="33">
        <f>SUMIFS(CurrentMonthTransactionData!$R:$R,CurrentMonthTransactionData!$V:$V,I$33,CurrentMonthTransactionData!$W:$W,""&amp;$A39&amp;"")</f>
        <v>0</v>
      </c>
      <c r="J39" s="33">
        <f>SUMIFS(CurrentMonthTransactionData!$R:$R,CurrentMonthTransactionData!$V:$V,J$33,CurrentMonthTransactionData!$W:$W,""&amp;$A39&amp;"")</f>
        <v>0</v>
      </c>
      <c r="K39" s="33">
        <f>SUMIFS(CurrentMonthTransactionData!$R:$R,CurrentMonthTransactionData!$V:$V,K$33,CurrentMonthTransactionData!$W:$W,""&amp;$A39&amp;"")</f>
        <v>0</v>
      </c>
      <c r="L39" s="33">
        <f>SUMIFS(CurrentMonthTransactionData!$R:$R,CurrentMonthTransactionData!$V:$V,L$33,CurrentMonthTransactionData!$W:$W,""&amp;$A39&amp;"")</f>
        <v>0</v>
      </c>
      <c r="M39" s="7"/>
      <c r="N39" s="7"/>
      <c r="O39" s="7">
        <f>'Agile AR Aging &lt;-INPUT'!V416</f>
        <v>0</v>
      </c>
      <c r="P39" s="7">
        <f t="shared" si="0"/>
        <v>0</v>
      </c>
      <c r="Q39" s="7">
        <f>'Agile AR Aging &lt;-INPUT'!K416</f>
        <v>0</v>
      </c>
      <c r="R39" s="7">
        <f t="shared" si="1"/>
        <v>0</v>
      </c>
    </row>
    <row r="40" spans="1:18" x14ac:dyDescent="0.25">
      <c r="A40" t="s">
        <v>6</v>
      </c>
      <c r="B40" s="1" t="s">
        <v>6</v>
      </c>
      <c r="C40" s="7">
        <f>SUMIFS(CurrentMonthTransactionData!$R:$R,CurrentMonthTransactionData!$V:$V,C$33,CurrentMonthTransactionData!$W:$W,""&amp;$A40&amp;"")</f>
        <v>0</v>
      </c>
      <c r="D40" s="7">
        <f>SUMIFS(CurrentMonthTransactionData!$R:$R,CurrentMonthTransactionData!$V:$V,D$33,CurrentMonthTransactionData!$W:$W,""&amp;$A40&amp;"")</f>
        <v>0</v>
      </c>
      <c r="E40" s="7">
        <f>SUMIFS(CurrentMonthTransactionData!$R:$R,CurrentMonthTransactionData!$V:$V,E$33,CurrentMonthTransactionData!$W:$W,""&amp;$A40&amp;"")</f>
        <v>0</v>
      </c>
      <c r="F40" s="7">
        <f>SUMIFS(CurrentMonthTransactionData!$R:$R,CurrentMonthTransactionData!$V:$V,F$33,CurrentMonthTransactionData!$W:$W,""&amp;$A40&amp;"")</f>
        <v>0</v>
      </c>
      <c r="G40" s="7">
        <f>SUMIFS(CurrentMonthTransactionData!$R:$R,CurrentMonthTransactionData!$V:$V,G$33,CurrentMonthTransactionData!$W:$W,""&amp;$A40&amp;"")</f>
        <v>0</v>
      </c>
      <c r="H40" s="7">
        <f>SUMIFS(CurrentMonthTransactionData!$R:$R,CurrentMonthTransactionData!$V:$V,H$33,CurrentMonthTransactionData!$W:$W,""&amp;$A40&amp;"")</f>
        <v>0</v>
      </c>
      <c r="I40" s="2">
        <f>SUMIFS(CurrentMonthTransactionData!$R:$R,CurrentMonthTransactionData!$V:$V,I$33,CurrentMonthTransactionData!$W:$W,""&amp;$A40&amp;"")</f>
        <v>0</v>
      </c>
      <c r="J40" s="2">
        <f>SUMIFS(CurrentMonthTransactionData!$R:$R,CurrentMonthTransactionData!$V:$V,J$33,CurrentMonthTransactionData!$W:$W,""&amp;$A40&amp;"")</f>
        <v>0</v>
      </c>
      <c r="K40" s="2">
        <f>SUMIFS(CurrentMonthTransactionData!$R:$R,CurrentMonthTransactionData!$V:$V,K$33,CurrentMonthTransactionData!$W:$W,""&amp;$A40&amp;"")</f>
        <v>0</v>
      </c>
      <c r="L40" s="7">
        <f>SUMIFS(CurrentMonthTransactionData!$R:$R,CurrentMonthTransactionData!$V:$V,L$33,CurrentMonthTransactionData!$W:$W,""&amp;$A40&amp;"")</f>
        <v>0</v>
      </c>
      <c r="M40" s="7"/>
      <c r="N40" s="7"/>
      <c r="O40" s="7">
        <f>'Agile AR Aging &lt;-INPUT'!V417</f>
        <v>-152.89999999999998</v>
      </c>
      <c r="P40" s="7">
        <f t="shared" si="0"/>
        <v>-152.89999999999998</v>
      </c>
      <c r="Q40" s="7">
        <f>'Agile AR Aging &lt;-INPUT'!K417</f>
        <v>-152.89999999999998</v>
      </c>
      <c r="R40" s="7">
        <f t="shared" si="1"/>
        <v>0</v>
      </c>
    </row>
    <row r="41" spans="1:18" x14ac:dyDescent="0.25">
      <c r="B41" s="1" t="s">
        <v>90</v>
      </c>
      <c r="C41" s="7">
        <f>SUMIFS(CurrentMonthTransactionData!$R:$R,CurrentMonthTransactionData!$V:$V,C$33,CurrentMonthTransactionData!$W:$W,""&amp;$A41&amp;"")</f>
        <v>0</v>
      </c>
      <c r="D41" s="7">
        <f>SUMIFS(CurrentMonthTransactionData!$R:$R,CurrentMonthTransactionData!$V:$V,D$33,CurrentMonthTransactionData!$W:$W,""&amp;$A41&amp;"")</f>
        <v>0</v>
      </c>
      <c r="E41" s="7">
        <f>SUMIFS(CurrentMonthTransactionData!$R:$R,CurrentMonthTransactionData!$V:$V,E$33,CurrentMonthTransactionData!$W:$W,""&amp;$A41&amp;"")</f>
        <v>0</v>
      </c>
      <c r="F41" s="7">
        <f>SUMIFS(CurrentMonthTransactionData!$R:$R,CurrentMonthTransactionData!$V:$V,F$33,CurrentMonthTransactionData!$W:$W,""&amp;$A41&amp;"")</f>
        <v>0</v>
      </c>
      <c r="G41" s="7">
        <f>SUMIFS(CurrentMonthTransactionData!$R:$R,CurrentMonthTransactionData!$V:$V,G$33,CurrentMonthTransactionData!$W:$W,""&amp;$A41&amp;"")</f>
        <v>0</v>
      </c>
      <c r="H41" s="7">
        <f>SUMIFS(CurrentMonthTransactionData!$R:$R,CurrentMonthTransactionData!$V:$V,H$33,CurrentMonthTransactionData!$W:$W,""&amp;$A41&amp;"")</f>
        <v>0</v>
      </c>
      <c r="I41" s="2">
        <f>SUMIFS(CurrentMonthTransactionData!$R:$R,CurrentMonthTransactionData!$V:$V,I$33,CurrentMonthTransactionData!$W:$W,""&amp;$A41&amp;"")</f>
        <v>0</v>
      </c>
      <c r="J41" s="2">
        <f>SUMIFS(CurrentMonthTransactionData!$R:$R,CurrentMonthTransactionData!$V:$V,J$33,CurrentMonthTransactionData!$W:$W,""&amp;$A41&amp;"")</f>
        <v>0</v>
      </c>
      <c r="K41" s="33">
        <f>SUMIFS(CurrentMonthTransactionData!$R:$R,CurrentMonthTransactionData!$V:$V,K$33,CurrentMonthTransactionData!$W:$W,""&amp;$A41&amp;"")</f>
        <v>0</v>
      </c>
      <c r="L41" s="33">
        <f>SUMIFS(CurrentMonthTransactionData!$R:$R,CurrentMonthTransactionData!$V:$V,L$33,CurrentMonthTransactionData!$W:$W,""&amp;$A41&amp;"")</f>
        <v>0</v>
      </c>
      <c r="M41" s="7"/>
      <c r="N41" s="7"/>
      <c r="O41" s="7">
        <f>'Agile AR Aging &lt;-INPUT'!V418</f>
        <v>0</v>
      </c>
      <c r="P41" s="7">
        <f t="shared" si="0"/>
        <v>0</v>
      </c>
      <c r="Q41" s="7">
        <f>'Agile AR Aging &lt;-INPUT'!K418</f>
        <v>0</v>
      </c>
      <c r="R41" s="7">
        <f t="shared" si="1"/>
        <v>0</v>
      </c>
    </row>
    <row r="42" spans="1:18" x14ac:dyDescent="0.25">
      <c r="A42" t="s">
        <v>337</v>
      </c>
      <c r="B42" s="1" t="s">
        <v>50</v>
      </c>
      <c r="C42" s="7">
        <f>SUMIFS(CurrentMonthTransactionData!$R:$R,CurrentMonthTransactionData!$V:$V,C$33,CurrentMonthTransactionData!$W:$W,""&amp;$A42&amp;"")</f>
        <v>0</v>
      </c>
      <c r="D42" s="7">
        <f>SUMIFS(CurrentMonthTransactionData!$R:$R,CurrentMonthTransactionData!$V:$V,D$33,CurrentMonthTransactionData!$W:$W,""&amp;$A42&amp;"")</f>
        <v>0</v>
      </c>
      <c r="E42" s="7">
        <f>SUMIFS(CurrentMonthTransactionData!$R:$R,CurrentMonthTransactionData!$V:$V,E$33,CurrentMonthTransactionData!$W:$W,""&amp;$A42&amp;"")</f>
        <v>0</v>
      </c>
      <c r="F42" s="7">
        <f>SUMIFS(CurrentMonthTransactionData!$R:$R,CurrentMonthTransactionData!$V:$V,F$33,CurrentMonthTransactionData!$W:$W,""&amp;$A42&amp;"")</f>
        <v>0</v>
      </c>
      <c r="G42" s="7">
        <f>SUMIFS(CurrentMonthTransactionData!$R:$R,CurrentMonthTransactionData!$V:$V,G$33,CurrentMonthTransactionData!$W:$W,""&amp;$A42&amp;"")</f>
        <v>0</v>
      </c>
      <c r="H42" s="7">
        <f>SUMIFS(CurrentMonthTransactionData!$R:$R,CurrentMonthTransactionData!$V:$V,H$33,CurrentMonthTransactionData!$W:$W,""&amp;$A42&amp;"")</f>
        <v>0</v>
      </c>
      <c r="I42" s="2">
        <f>SUMIFS(CurrentMonthTransactionData!$R:$R,CurrentMonthTransactionData!$V:$V,I$33,CurrentMonthTransactionData!$W:$W,""&amp;$A42&amp;"")</f>
        <v>0</v>
      </c>
      <c r="J42" s="2">
        <f>SUMIFS(CurrentMonthTransactionData!$R:$R,CurrentMonthTransactionData!$V:$V,J$33,CurrentMonthTransactionData!$W:$W,""&amp;$A42&amp;"")</f>
        <v>0</v>
      </c>
      <c r="K42" s="33">
        <f>SUMIFS(CurrentMonthTransactionData!$R:$R,CurrentMonthTransactionData!$V:$V,K$33,CurrentMonthTransactionData!$W:$W,""&amp;$A42&amp;"")</f>
        <v>0</v>
      </c>
      <c r="L42" s="33">
        <f>SUMIFS(CurrentMonthTransactionData!$R:$R,CurrentMonthTransactionData!$V:$V,L$33,CurrentMonthTransactionData!$W:$W,""&amp;$A42&amp;"")</f>
        <v>0</v>
      </c>
      <c r="M42" s="7"/>
      <c r="N42" s="7"/>
      <c r="O42" s="7">
        <f>'Agile AR Aging &lt;-INPUT'!V419</f>
        <v>0</v>
      </c>
      <c r="P42" s="7">
        <f t="shared" si="0"/>
        <v>0</v>
      </c>
      <c r="Q42" s="7">
        <f>'Agile AR Aging &lt;-INPUT'!K419</f>
        <v>0</v>
      </c>
      <c r="R42" s="7">
        <f t="shared" si="1"/>
        <v>0</v>
      </c>
    </row>
    <row r="43" spans="1:18" x14ac:dyDescent="0.25">
      <c r="A43" t="s">
        <v>89</v>
      </c>
      <c r="B43" s="1" t="s">
        <v>89</v>
      </c>
      <c r="C43" s="33">
        <f>SUMIFS(CurrentMonthTransactionData!$R:$R,CurrentMonthTransactionData!$V:$V,C$33,CurrentMonthTransactionData!$W:$W,""&amp;$A43&amp;"")</f>
        <v>0</v>
      </c>
      <c r="D43" s="33">
        <f>SUMIFS(CurrentMonthTransactionData!$R:$R,CurrentMonthTransactionData!$V:$V,D$33,CurrentMonthTransactionData!$W:$W,""&amp;$A43&amp;"")</f>
        <v>0</v>
      </c>
      <c r="E43" s="33">
        <f>SUMIFS(CurrentMonthTransactionData!$R:$R,CurrentMonthTransactionData!$V:$V,E$33,CurrentMonthTransactionData!$W:$W,""&amp;$A43&amp;"")</f>
        <v>0</v>
      </c>
      <c r="F43" s="33">
        <f>SUMIFS(CurrentMonthTransactionData!$R:$R,CurrentMonthTransactionData!$V:$V,F$33,CurrentMonthTransactionData!$W:$W,""&amp;$A43&amp;"")</f>
        <v>0</v>
      </c>
      <c r="G43" s="33">
        <f>SUMIFS(CurrentMonthTransactionData!$R:$R,CurrentMonthTransactionData!$V:$V,G$33,CurrentMonthTransactionData!$W:$W,""&amp;$A43&amp;"")</f>
        <v>0</v>
      </c>
      <c r="H43" s="33">
        <f>SUMIFS(CurrentMonthTransactionData!$R:$R,CurrentMonthTransactionData!$V:$V,H$33,CurrentMonthTransactionData!$W:$W,""&amp;$A43&amp;"")</f>
        <v>0</v>
      </c>
      <c r="I43" s="33">
        <f>SUMIFS(CurrentMonthTransactionData!$R:$R,CurrentMonthTransactionData!$V:$V,I$33,CurrentMonthTransactionData!$W:$W,""&amp;$A43&amp;"")</f>
        <v>0</v>
      </c>
      <c r="J43" s="33">
        <f>SUMIFS(CurrentMonthTransactionData!$R:$R,CurrentMonthTransactionData!$V:$V,J$33,CurrentMonthTransactionData!$W:$W,""&amp;$A43&amp;"")</f>
        <v>0</v>
      </c>
      <c r="K43" s="33">
        <f>SUMIFS(CurrentMonthTransactionData!$R:$R,CurrentMonthTransactionData!$V:$V,K$33,CurrentMonthTransactionData!$W:$W,""&amp;$A43&amp;"")</f>
        <v>0</v>
      </c>
      <c r="L43" s="33">
        <f>SUMIFS(CurrentMonthTransactionData!$R:$R,CurrentMonthTransactionData!$V:$V,L$33,CurrentMonthTransactionData!$W:$W,""&amp;$A43&amp;"")</f>
        <v>0</v>
      </c>
      <c r="M43" s="7"/>
      <c r="N43" s="7"/>
      <c r="O43" s="7">
        <f>'Agile AR Aging &lt;-INPUT'!V420</f>
        <v>0</v>
      </c>
      <c r="P43" s="7">
        <f t="shared" si="0"/>
        <v>0</v>
      </c>
      <c r="Q43" s="7">
        <f>'Agile AR Aging &lt;-INPUT'!K420</f>
        <v>0</v>
      </c>
      <c r="R43" s="7">
        <f t="shared" si="1"/>
        <v>0</v>
      </c>
    </row>
    <row r="44" spans="1:18" x14ac:dyDescent="0.25">
      <c r="A44" t="s">
        <v>5</v>
      </c>
      <c r="B44" s="1" t="s">
        <v>5</v>
      </c>
      <c r="C44" s="7">
        <f>SUMIFS(CurrentMonthTransactionData!$R:$R,CurrentMonthTransactionData!$V:$V,C$33,CurrentMonthTransactionData!$W:$W,""&amp;$A44&amp;"")</f>
        <v>0</v>
      </c>
      <c r="D44" s="7">
        <f>SUMIFS(CurrentMonthTransactionData!$R:$R,CurrentMonthTransactionData!$V:$V,D$33,CurrentMonthTransactionData!$W:$W,""&amp;$A44&amp;"")</f>
        <v>0</v>
      </c>
      <c r="E44" s="7">
        <f>SUMIFS(CurrentMonthTransactionData!$R:$R,CurrentMonthTransactionData!$V:$V,E$33,CurrentMonthTransactionData!$W:$W,""&amp;$A44&amp;"")</f>
        <v>0</v>
      </c>
      <c r="F44" s="7">
        <f>SUMIFS(CurrentMonthTransactionData!$R:$R,CurrentMonthTransactionData!$V:$V,F$33,CurrentMonthTransactionData!$W:$W,""&amp;$A44&amp;"")</f>
        <v>0</v>
      </c>
      <c r="G44" s="7">
        <f>SUMIFS(CurrentMonthTransactionData!$R:$R,CurrentMonthTransactionData!$V:$V,G$33,CurrentMonthTransactionData!$W:$W,""&amp;$A44&amp;"")</f>
        <v>0</v>
      </c>
      <c r="H44" s="2">
        <f>SUMIFS(CurrentMonthTransactionData!$R:$R,CurrentMonthTransactionData!$V:$V,H$33,CurrentMonthTransactionData!$W:$W,""&amp;$A44&amp;"")</f>
        <v>0</v>
      </c>
      <c r="I44" s="2">
        <f>SUMIFS(CurrentMonthTransactionData!$R:$R,CurrentMonthTransactionData!$V:$V,I$33,CurrentMonthTransactionData!$W:$W,""&amp;$A44&amp;"")</f>
        <v>0</v>
      </c>
      <c r="J44" s="2">
        <f>SUMIFS(CurrentMonthTransactionData!$R:$R,CurrentMonthTransactionData!$V:$V,J$33,CurrentMonthTransactionData!$W:$W,""&amp;$A44&amp;"")</f>
        <v>0</v>
      </c>
      <c r="K44" s="33">
        <f>SUMIFS(CurrentMonthTransactionData!$R:$R,CurrentMonthTransactionData!$V:$V,K$33,CurrentMonthTransactionData!$W:$W,""&amp;$A44&amp;"")</f>
        <v>0</v>
      </c>
      <c r="L44" s="33">
        <f>SUMIFS(CurrentMonthTransactionData!$R:$R,CurrentMonthTransactionData!$V:$V,L$33,CurrentMonthTransactionData!$W:$W,""&amp;$A44&amp;"")</f>
        <v>0</v>
      </c>
      <c r="M44" s="7"/>
      <c r="N44" s="7"/>
      <c r="O44" s="7">
        <f>'Agile AR Aging &lt;-INPUT'!V421</f>
        <v>0</v>
      </c>
      <c r="P44" s="7">
        <f t="shared" si="0"/>
        <v>0</v>
      </c>
      <c r="Q44" s="7">
        <f>'Agile AR Aging &lt;-INPUT'!K421</f>
        <v>0</v>
      </c>
      <c r="R44" s="7">
        <f t="shared" si="1"/>
        <v>0</v>
      </c>
    </row>
    <row r="45" spans="1:18" x14ac:dyDescent="0.25">
      <c r="A45" t="s">
        <v>84</v>
      </c>
      <c r="B45" s="1" t="s">
        <v>84</v>
      </c>
      <c r="C45" s="7">
        <f>SUMIFS(CurrentMonthTransactionData!$R:$R,CurrentMonthTransactionData!$V:$V,C$33,CurrentMonthTransactionData!$W:$W,""&amp;$A45&amp;"")</f>
        <v>0</v>
      </c>
      <c r="D45" s="7">
        <f>SUMIFS(CurrentMonthTransactionData!$R:$R,CurrentMonthTransactionData!$V:$V,D$33,CurrentMonthTransactionData!$W:$W,""&amp;$A45&amp;"")</f>
        <v>0</v>
      </c>
      <c r="E45" s="7">
        <f>SUMIFS(CurrentMonthTransactionData!$R:$R,CurrentMonthTransactionData!$V:$V,E$33,CurrentMonthTransactionData!$W:$W,""&amp;$A45&amp;"")</f>
        <v>0</v>
      </c>
      <c r="F45" s="7">
        <f>SUMIFS(CurrentMonthTransactionData!$R:$R,CurrentMonthTransactionData!$V:$V,F$33,CurrentMonthTransactionData!$W:$W,""&amp;$A45&amp;"")</f>
        <v>0</v>
      </c>
      <c r="G45" s="2">
        <f>SUMIFS(CurrentMonthTransactionData!$R:$R,CurrentMonthTransactionData!$V:$V,G$33,CurrentMonthTransactionData!$W:$W,""&amp;$A45&amp;"")</f>
        <v>0</v>
      </c>
      <c r="H45" s="2">
        <f>SUMIFS(CurrentMonthTransactionData!$R:$R,CurrentMonthTransactionData!$V:$V,H$33,CurrentMonthTransactionData!$W:$W,""&amp;$A45&amp;"")</f>
        <v>0</v>
      </c>
      <c r="I45" s="2">
        <f>SUMIFS(CurrentMonthTransactionData!$R:$R,CurrentMonthTransactionData!$V:$V,I$33,CurrentMonthTransactionData!$W:$W,""&amp;$A45&amp;"")</f>
        <v>0</v>
      </c>
      <c r="J45" s="2">
        <f>SUMIFS(CurrentMonthTransactionData!$R:$R,CurrentMonthTransactionData!$V:$V,J$33,CurrentMonthTransactionData!$W:$W,""&amp;$A45&amp;"")</f>
        <v>0</v>
      </c>
      <c r="K45" s="33">
        <f>SUMIFS(CurrentMonthTransactionData!$R:$R,CurrentMonthTransactionData!$V:$V,K$33,CurrentMonthTransactionData!$W:$W,""&amp;$A45&amp;"")</f>
        <v>0</v>
      </c>
      <c r="L45" s="33">
        <f>SUMIFS(CurrentMonthTransactionData!$R:$R,CurrentMonthTransactionData!$V:$V,L$33,CurrentMonthTransactionData!$W:$W,""&amp;$A45&amp;"")</f>
        <v>0</v>
      </c>
      <c r="M45" s="7"/>
      <c r="N45" s="7"/>
      <c r="O45" s="7">
        <f>'Agile AR Aging &lt;-INPUT'!V422</f>
        <v>-13.600000000000001</v>
      </c>
      <c r="P45" s="7">
        <f t="shared" si="0"/>
        <v>-13.600000000000001</v>
      </c>
      <c r="Q45" s="7">
        <f>'Agile AR Aging &lt;-INPUT'!K422</f>
        <v>-13.600000000000001</v>
      </c>
      <c r="R45" s="7">
        <f t="shared" si="1"/>
        <v>0</v>
      </c>
    </row>
    <row r="46" spans="1:18" x14ac:dyDescent="0.25">
      <c r="A46" t="s">
        <v>4</v>
      </c>
      <c r="B46" s="1" t="s">
        <v>4</v>
      </c>
      <c r="C46" s="7">
        <f>SUMIFS(CurrentMonthTransactionData!$R:$R,CurrentMonthTransactionData!$V:$V,C$33,CurrentMonthTransactionData!$W:$W,""&amp;$A46&amp;"")</f>
        <v>0</v>
      </c>
      <c r="D46" s="7">
        <f>SUMIFS(CurrentMonthTransactionData!$R:$R,CurrentMonthTransactionData!$V:$V,D$33,CurrentMonthTransactionData!$W:$W,""&amp;$A46&amp;"")</f>
        <v>0</v>
      </c>
      <c r="E46" s="7">
        <f>SUMIFS(CurrentMonthTransactionData!$R:$R,CurrentMonthTransactionData!$V:$V,E$33,CurrentMonthTransactionData!$W:$W,""&amp;$A46&amp;"")</f>
        <v>0</v>
      </c>
      <c r="F46" s="7">
        <f>SUMIFS(CurrentMonthTransactionData!$R:$R,CurrentMonthTransactionData!$V:$V,F$33,CurrentMonthTransactionData!$W:$W,""&amp;$A46&amp;"")</f>
        <v>0</v>
      </c>
      <c r="G46" s="7">
        <f>SUMIFS(CurrentMonthTransactionData!$R:$R,CurrentMonthTransactionData!$V:$V,G$33,CurrentMonthTransactionData!$W:$W,""&amp;$A46&amp;"")</f>
        <v>0</v>
      </c>
      <c r="H46" s="7">
        <f>SUMIFS(CurrentMonthTransactionData!$R:$R,CurrentMonthTransactionData!$V:$V,H$33,CurrentMonthTransactionData!$W:$W,""&amp;$A46&amp;"")</f>
        <v>0</v>
      </c>
      <c r="I46" s="2">
        <f>SUMIFS(CurrentMonthTransactionData!$R:$R,CurrentMonthTransactionData!$V:$V,I$33,CurrentMonthTransactionData!$W:$W,""&amp;$A46&amp;"")</f>
        <v>0</v>
      </c>
      <c r="J46" s="2">
        <f>SUMIFS(CurrentMonthTransactionData!$R:$R,CurrentMonthTransactionData!$V:$V,J$33,CurrentMonthTransactionData!$W:$W,""&amp;$A46&amp;"")</f>
        <v>0</v>
      </c>
      <c r="K46" s="33">
        <f>SUMIFS(CurrentMonthTransactionData!$R:$R,CurrentMonthTransactionData!$V:$V,K$33,CurrentMonthTransactionData!$W:$W,""&amp;$A46&amp;"")</f>
        <v>0</v>
      </c>
      <c r="L46" s="33">
        <f>SUMIFS(CurrentMonthTransactionData!$R:$R,CurrentMonthTransactionData!$V:$V,L$33,CurrentMonthTransactionData!$W:$W,""&amp;$A46&amp;"")</f>
        <v>0</v>
      </c>
      <c r="M46" s="7"/>
      <c r="N46" s="7"/>
      <c r="O46" s="7">
        <f>'Agile AR Aging &lt;-INPUT'!V423</f>
        <v>-233.56</v>
      </c>
      <c r="P46" s="7">
        <f t="shared" si="0"/>
        <v>-233.56</v>
      </c>
      <c r="Q46" s="7">
        <f>'Agile AR Aging &lt;-INPUT'!K423</f>
        <v>-233.56000000000003</v>
      </c>
      <c r="R46" s="7">
        <f t="shared" si="1"/>
        <v>0</v>
      </c>
    </row>
    <row r="47" spans="1:18" x14ac:dyDescent="0.25">
      <c r="A47" t="s">
        <v>51</v>
      </c>
      <c r="B47" s="1" t="s">
        <v>51</v>
      </c>
      <c r="C47" s="7">
        <f>SUMIFS(CurrentMonthTransactionData!$R:$R,CurrentMonthTransactionData!$V:$V,C$33,CurrentMonthTransactionData!$W:$W,""&amp;$A47&amp;"")</f>
        <v>0</v>
      </c>
      <c r="D47" s="7">
        <f>SUMIFS(CurrentMonthTransactionData!$R:$R,CurrentMonthTransactionData!$V:$V,D$33,CurrentMonthTransactionData!$W:$W,""&amp;$A47&amp;"")</f>
        <v>0</v>
      </c>
      <c r="E47" s="7">
        <f>SUMIFS(CurrentMonthTransactionData!$R:$R,CurrentMonthTransactionData!$V:$V,E$33,CurrentMonthTransactionData!$W:$W,""&amp;$A47&amp;"")</f>
        <v>0</v>
      </c>
      <c r="F47" s="7">
        <f>SUMIFS(CurrentMonthTransactionData!$R:$R,CurrentMonthTransactionData!$V:$V,F$33,CurrentMonthTransactionData!$W:$W,""&amp;$A47&amp;"")</f>
        <v>0</v>
      </c>
      <c r="G47" s="7">
        <f>SUMIFS(CurrentMonthTransactionData!$R:$R,CurrentMonthTransactionData!$V:$V,G$33,CurrentMonthTransactionData!$W:$W,""&amp;$A47&amp;"")</f>
        <v>0</v>
      </c>
      <c r="H47" s="7">
        <f>SUMIFS(CurrentMonthTransactionData!$R:$R,CurrentMonthTransactionData!$V:$V,H$33,CurrentMonthTransactionData!$W:$W,""&amp;$A47&amp;"")</f>
        <v>0</v>
      </c>
      <c r="I47" s="2">
        <f>SUMIFS(CurrentMonthTransactionData!$R:$R,CurrentMonthTransactionData!$V:$V,I$33,CurrentMonthTransactionData!$W:$W,""&amp;$A47&amp;"")</f>
        <v>0</v>
      </c>
      <c r="J47" s="2">
        <f>SUMIFS(CurrentMonthTransactionData!$R:$R,CurrentMonthTransactionData!$V:$V,J$33,CurrentMonthTransactionData!$W:$W,""&amp;$A47&amp;"")</f>
        <v>0</v>
      </c>
      <c r="K47" s="33">
        <f>SUMIFS(CurrentMonthTransactionData!$R:$R,CurrentMonthTransactionData!$V:$V,K$33,CurrentMonthTransactionData!$W:$W,""&amp;$A47&amp;"")</f>
        <v>0</v>
      </c>
      <c r="L47" s="33">
        <f>SUMIFS(CurrentMonthTransactionData!$R:$R,CurrentMonthTransactionData!$V:$V,L$33,CurrentMonthTransactionData!$W:$W,""&amp;$A47&amp;"")</f>
        <v>0</v>
      </c>
      <c r="M47" s="7"/>
      <c r="N47" s="7"/>
      <c r="O47" s="7">
        <f>'Agile AR Aging &lt;-INPUT'!V424</f>
        <v>0</v>
      </c>
      <c r="P47" s="7">
        <f t="shared" si="0"/>
        <v>0</v>
      </c>
      <c r="Q47" s="7">
        <f>'Agile AR Aging &lt;-INPUT'!K424</f>
        <v>0</v>
      </c>
      <c r="R47" s="7">
        <f t="shared" si="1"/>
        <v>0</v>
      </c>
    </row>
    <row r="48" spans="1:18" x14ac:dyDescent="0.25">
      <c r="A48" t="s">
        <v>87</v>
      </c>
      <c r="B48" s="1" t="s">
        <v>87</v>
      </c>
      <c r="C48" s="2">
        <f>SUMIFS(CurrentMonthTransactionData!$R:$R,CurrentMonthTransactionData!$V:$V,C$33,CurrentMonthTransactionData!$W:$W,""&amp;$A48&amp;"")</f>
        <v>0</v>
      </c>
      <c r="D48" s="2">
        <f>SUMIFS(CurrentMonthTransactionData!$R:$R,CurrentMonthTransactionData!$V:$V,D$33,CurrentMonthTransactionData!$W:$W,""&amp;$A48&amp;"")</f>
        <v>0</v>
      </c>
      <c r="E48" s="2">
        <f>SUMIFS(CurrentMonthTransactionData!$R:$R,CurrentMonthTransactionData!$V:$V,E$33,CurrentMonthTransactionData!$W:$W,""&amp;$A48&amp;"")</f>
        <v>0</v>
      </c>
      <c r="F48" s="2">
        <f>SUMIFS(CurrentMonthTransactionData!$R:$R,CurrentMonthTransactionData!$V:$V,F$33,CurrentMonthTransactionData!$W:$W,""&amp;$A48&amp;"")</f>
        <v>0</v>
      </c>
      <c r="G48" s="2">
        <f>SUMIFS(CurrentMonthTransactionData!$R:$R,CurrentMonthTransactionData!$V:$V,G$33,CurrentMonthTransactionData!$W:$W,""&amp;$A48&amp;"")</f>
        <v>0</v>
      </c>
      <c r="H48" s="2">
        <f>SUMIFS(CurrentMonthTransactionData!$R:$R,CurrentMonthTransactionData!$V:$V,H$33,CurrentMonthTransactionData!$W:$W,""&amp;$A48&amp;"")</f>
        <v>0</v>
      </c>
      <c r="I48" s="33">
        <f>SUMIFS(CurrentMonthTransactionData!$R:$R,CurrentMonthTransactionData!$V:$V,I$33,CurrentMonthTransactionData!$W:$W,""&amp;$A48&amp;"")</f>
        <v>0</v>
      </c>
      <c r="J48" s="33">
        <f>SUMIFS(CurrentMonthTransactionData!$R:$R,CurrentMonthTransactionData!$V:$V,J$33,CurrentMonthTransactionData!$W:$W,""&amp;$A48&amp;"")</f>
        <v>0</v>
      </c>
      <c r="K48" s="33">
        <f>SUMIFS(CurrentMonthTransactionData!$R:$R,CurrentMonthTransactionData!$V:$V,K$33,CurrentMonthTransactionData!$W:$W,""&amp;$A48&amp;"")</f>
        <v>0</v>
      </c>
      <c r="L48" s="33">
        <f>SUMIFS(CurrentMonthTransactionData!$R:$R,CurrentMonthTransactionData!$V:$V,L$33,CurrentMonthTransactionData!$W:$W,""&amp;$A48&amp;"")</f>
        <v>0</v>
      </c>
      <c r="M48" s="7"/>
      <c r="N48" s="7"/>
      <c r="O48" s="7">
        <f>'Agile AR Aging &lt;-INPUT'!V425</f>
        <v>0</v>
      </c>
      <c r="P48" s="7">
        <f t="shared" si="0"/>
        <v>0</v>
      </c>
      <c r="Q48" s="7">
        <f>'Agile AR Aging &lt;-INPUT'!K425</f>
        <v>0</v>
      </c>
      <c r="R48" s="7">
        <f t="shared" si="1"/>
        <v>0</v>
      </c>
    </row>
    <row r="49" spans="1:18" x14ac:dyDescent="0.25">
      <c r="A49" t="s">
        <v>85</v>
      </c>
      <c r="B49" s="1" t="s">
        <v>85</v>
      </c>
      <c r="C49" s="33">
        <f>SUMIFS(CurrentMonthTransactionData!$R:$R,CurrentMonthTransactionData!$V:$V,C$33,CurrentMonthTransactionData!$W:$W,""&amp;$A49&amp;"")</f>
        <v>0</v>
      </c>
      <c r="D49" s="33">
        <f>SUMIFS(CurrentMonthTransactionData!$R:$R,CurrentMonthTransactionData!$V:$V,D$33,CurrentMonthTransactionData!$W:$W,""&amp;$A49&amp;"")</f>
        <v>0</v>
      </c>
      <c r="E49" s="33">
        <f>SUMIFS(CurrentMonthTransactionData!$R:$R,CurrentMonthTransactionData!$V:$V,E$33,CurrentMonthTransactionData!$W:$W,""&amp;$A49&amp;"")</f>
        <v>0</v>
      </c>
      <c r="F49" s="33">
        <f>SUMIFS(CurrentMonthTransactionData!$R:$R,CurrentMonthTransactionData!$V:$V,F$33,CurrentMonthTransactionData!$W:$W,""&amp;$A49&amp;"")</f>
        <v>0</v>
      </c>
      <c r="G49" s="33">
        <f>SUMIFS(CurrentMonthTransactionData!$R:$R,CurrentMonthTransactionData!$V:$V,G$33,CurrentMonthTransactionData!$W:$W,""&amp;$A49&amp;"")</f>
        <v>0</v>
      </c>
      <c r="H49" s="33">
        <f>SUMIFS(CurrentMonthTransactionData!$R:$R,CurrentMonthTransactionData!$V:$V,H$33,CurrentMonthTransactionData!$W:$W,""&amp;$A49&amp;"")</f>
        <v>0</v>
      </c>
      <c r="I49" s="33">
        <f>SUMIFS(CurrentMonthTransactionData!$R:$R,CurrentMonthTransactionData!$V:$V,I$33,CurrentMonthTransactionData!$W:$W,""&amp;$A49&amp;"")</f>
        <v>0</v>
      </c>
      <c r="J49" s="33">
        <f>SUMIFS(CurrentMonthTransactionData!$R:$R,CurrentMonthTransactionData!$V:$V,J$33,CurrentMonthTransactionData!$W:$W,""&amp;$A49&amp;"")</f>
        <v>0</v>
      </c>
      <c r="K49" s="33">
        <f>SUMIFS(CurrentMonthTransactionData!$R:$R,CurrentMonthTransactionData!$V:$V,K$33,CurrentMonthTransactionData!$W:$W,""&amp;$A49&amp;"")</f>
        <v>0</v>
      </c>
      <c r="L49" s="33">
        <f>SUMIFS(CurrentMonthTransactionData!$R:$R,CurrentMonthTransactionData!$V:$V,L$33,CurrentMonthTransactionData!$W:$W,""&amp;$A49&amp;"")</f>
        <v>0</v>
      </c>
      <c r="M49" s="7"/>
      <c r="N49" s="7"/>
      <c r="O49" s="7">
        <f>'Agile AR Aging &lt;-INPUT'!V426</f>
        <v>0</v>
      </c>
      <c r="P49" s="7">
        <f t="shared" si="0"/>
        <v>0</v>
      </c>
      <c r="Q49" s="7">
        <f>'Agile AR Aging &lt;-INPUT'!K426</f>
        <v>0</v>
      </c>
      <c r="R49" s="7">
        <f t="shared" si="1"/>
        <v>0</v>
      </c>
    </row>
    <row r="50" spans="1:18" x14ac:dyDescent="0.25">
      <c r="A50" t="s">
        <v>2</v>
      </c>
      <c r="B50" s="1" t="s">
        <v>2</v>
      </c>
      <c r="C50" s="7">
        <f>SUMIFS(CurrentMonthTransactionData!$R:$R,CurrentMonthTransactionData!$V:$V,C$33,CurrentMonthTransactionData!$W:$W,""&amp;$A50&amp;"")</f>
        <v>0</v>
      </c>
      <c r="D50" s="7">
        <f>SUMIFS(CurrentMonthTransactionData!$R:$R,CurrentMonthTransactionData!$V:$V,D$33,CurrentMonthTransactionData!$W:$W,""&amp;$A50&amp;"")</f>
        <v>0</v>
      </c>
      <c r="E50" s="7">
        <f>SUMIFS(CurrentMonthTransactionData!$R:$R,CurrentMonthTransactionData!$V:$V,E$33,CurrentMonthTransactionData!$W:$W,""&amp;$A50&amp;"")</f>
        <v>0</v>
      </c>
      <c r="F50" s="7">
        <f>SUMIFS(CurrentMonthTransactionData!$R:$R,CurrentMonthTransactionData!$V:$V,F$33,CurrentMonthTransactionData!$W:$W,""&amp;$A50&amp;"")</f>
        <v>0</v>
      </c>
      <c r="G50" s="7">
        <f>SUMIFS(CurrentMonthTransactionData!$R:$R,CurrentMonthTransactionData!$V:$V,G$33,CurrentMonthTransactionData!$W:$W,""&amp;$A50&amp;"")</f>
        <v>0</v>
      </c>
      <c r="H50" s="7">
        <f>SUMIFS(CurrentMonthTransactionData!$R:$R,CurrentMonthTransactionData!$V:$V,H$33,CurrentMonthTransactionData!$W:$W,""&amp;$A50&amp;"")</f>
        <v>0</v>
      </c>
      <c r="I50" s="2">
        <f>SUMIFS(CurrentMonthTransactionData!$R:$R,CurrentMonthTransactionData!$V:$V,I$33,CurrentMonthTransactionData!$W:$W,""&amp;$A50&amp;"")</f>
        <v>0</v>
      </c>
      <c r="J50" s="2">
        <f>SUMIFS(CurrentMonthTransactionData!$R:$R,CurrentMonthTransactionData!$V:$V,J$33,CurrentMonthTransactionData!$W:$W,""&amp;$A50&amp;"")</f>
        <v>0</v>
      </c>
      <c r="K50" s="2">
        <f>SUMIFS(CurrentMonthTransactionData!$R:$R,CurrentMonthTransactionData!$V:$V,K$33,CurrentMonthTransactionData!$W:$W,""&amp;$A50&amp;"")</f>
        <v>0</v>
      </c>
      <c r="L50" s="7">
        <f>SUMIFS(CurrentMonthTransactionData!$R:$R,CurrentMonthTransactionData!$V:$V,L$33,CurrentMonthTransactionData!$W:$W,""&amp;$A50&amp;"")</f>
        <v>0</v>
      </c>
      <c r="M50" s="7"/>
      <c r="N50" s="7"/>
      <c r="O50" s="7">
        <f>'Agile AR Aging &lt;-INPUT'!V427</f>
        <v>-26227.899999999998</v>
      </c>
      <c r="P50" s="7">
        <f t="shared" si="0"/>
        <v>-26227.899999999998</v>
      </c>
      <c r="Q50" s="7">
        <f>'Agile AR Aging &lt;-INPUT'!K427</f>
        <v>-26227.9</v>
      </c>
      <c r="R50" s="7">
        <f t="shared" si="1"/>
        <v>0</v>
      </c>
    </row>
    <row r="51" spans="1:18" x14ac:dyDescent="0.25">
      <c r="A51" t="s">
        <v>86</v>
      </c>
      <c r="B51" s="1" t="s">
        <v>86</v>
      </c>
      <c r="C51" s="7">
        <f>SUMIFS(CurrentMonthTransactionData!$R:$R,CurrentMonthTransactionData!$V:$V,C$33,CurrentMonthTransactionData!$W:$W,""&amp;$A51&amp;"")</f>
        <v>0</v>
      </c>
      <c r="D51" s="7">
        <f>SUMIFS(CurrentMonthTransactionData!$R:$R,CurrentMonthTransactionData!$V:$V,D$33,CurrentMonthTransactionData!$W:$W,""&amp;$A51&amp;"")</f>
        <v>0</v>
      </c>
      <c r="E51" s="7">
        <f>SUMIFS(CurrentMonthTransactionData!$R:$R,CurrentMonthTransactionData!$V:$V,E$33,CurrentMonthTransactionData!$W:$W,""&amp;$A51&amp;"")</f>
        <v>0</v>
      </c>
      <c r="F51" s="7">
        <f>SUMIFS(CurrentMonthTransactionData!$R:$R,CurrentMonthTransactionData!$V:$V,F$33,CurrentMonthTransactionData!$W:$W,""&amp;$A51&amp;"")</f>
        <v>0</v>
      </c>
      <c r="G51" s="7">
        <f>SUMIFS(CurrentMonthTransactionData!$R:$R,CurrentMonthTransactionData!$V:$V,G$33,CurrentMonthTransactionData!$W:$W,""&amp;$A51&amp;"")</f>
        <v>0</v>
      </c>
      <c r="H51" s="7">
        <f>SUMIFS(CurrentMonthTransactionData!$R:$R,CurrentMonthTransactionData!$V:$V,H$33,CurrentMonthTransactionData!$W:$W,""&amp;$A51&amp;"")</f>
        <v>0</v>
      </c>
      <c r="I51" s="2">
        <f>SUMIFS(CurrentMonthTransactionData!$R:$R,CurrentMonthTransactionData!$V:$V,I$33,CurrentMonthTransactionData!$W:$W,""&amp;$A51&amp;"")</f>
        <v>0</v>
      </c>
      <c r="J51" s="2">
        <f>SUMIFS(CurrentMonthTransactionData!$R:$R,CurrentMonthTransactionData!$V:$V,J$33,CurrentMonthTransactionData!$W:$W,""&amp;$A51&amp;"")</f>
        <v>0</v>
      </c>
      <c r="K51" s="33">
        <f>SUMIFS(CurrentMonthTransactionData!$R:$R,CurrentMonthTransactionData!$V:$V,K$33,CurrentMonthTransactionData!$W:$W,""&amp;$A51&amp;"")</f>
        <v>0</v>
      </c>
      <c r="L51" s="33">
        <f>SUMIFS(CurrentMonthTransactionData!$R:$R,CurrentMonthTransactionData!$V:$V,L$33,CurrentMonthTransactionData!$W:$W,""&amp;$A51&amp;"")</f>
        <v>0</v>
      </c>
      <c r="M51" s="7"/>
      <c r="N51" s="7"/>
      <c r="O51" s="7">
        <f>'Agile AR Aging &lt;-INPUT'!V428</f>
        <v>8.25</v>
      </c>
      <c r="P51" s="7">
        <f t="shared" si="0"/>
        <v>8.25</v>
      </c>
      <c r="Q51" s="7">
        <f>'Agile AR Aging &lt;-INPUT'!K428</f>
        <v>8.25</v>
      </c>
      <c r="R51" s="7">
        <f t="shared" si="1"/>
        <v>0</v>
      </c>
    </row>
    <row r="52" spans="1:18" x14ac:dyDescent="0.25">
      <c r="A52" t="s">
        <v>29</v>
      </c>
      <c r="B52" s="1" t="s">
        <v>29</v>
      </c>
      <c r="C52" s="7">
        <f>SUMIFS(CurrentMonthTransactionData!$R:$R,CurrentMonthTransactionData!$V:$V,C$33,CurrentMonthTransactionData!$W:$W,""&amp;$A52&amp;"")</f>
        <v>0</v>
      </c>
      <c r="D52" s="7">
        <f>SUMIFS(CurrentMonthTransactionData!$R:$R,CurrentMonthTransactionData!$V:$V,D$33,CurrentMonthTransactionData!$W:$W,""&amp;$A52&amp;"")</f>
        <v>0</v>
      </c>
      <c r="E52" s="7">
        <f>SUMIFS(CurrentMonthTransactionData!$R:$R,CurrentMonthTransactionData!$V:$V,E$33,CurrentMonthTransactionData!$W:$W,""&amp;$A52&amp;"")</f>
        <v>0</v>
      </c>
      <c r="F52" s="7">
        <f>SUMIFS(CurrentMonthTransactionData!$R:$R,CurrentMonthTransactionData!$V:$V,F$33,CurrentMonthTransactionData!$W:$W,""&amp;$A52&amp;"")</f>
        <v>0</v>
      </c>
      <c r="G52" s="7">
        <f>SUMIFS(CurrentMonthTransactionData!$R:$R,CurrentMonthTransactionData!$V:$V,G$33,CurrentMonthTransactionData!$W:$W,""&amp;$A52&amp;"")</f>
        <v>0</v>
      </c>
      <c r="H52" s="7">
        <f>SUMIFS(CurrentMonthTransactionData!$R:$R,CurrentMonthTransactionData!$V:$V,H$33,CurrentMonthTransactionData!$W:$W,""&amp;$A52&amp;"")</f>
        <v>0</v>
      </c>
      <c r="I52" s="2">
        <f>SUMIFS(CurrentMonthTransactionData!$R:$R,CurrentMonthTransactionData!$V:$V,I$33,CurrentMonthTransactionData!$W:$W,""&amp;$A52&amp;"")</f>
        <v>0</v>
      </c>
      <c r="J52" s="2">
        <f>SUMIFS(CurrentMonthTransactionData!$R:$R,CurrentMonthTransactionData!$V:$V,J$33,CurrentMonthTransactionData!$W:$W,""&amp;$A52&amp;"")</f>
        <v>0</v>
      </c>
      <c r="K52" s="33">
        <f>SUMIFS(CurrentMonthTransactionData!$R:$R,CurrentMonthTransactionData!$V:$V,K$33,CurrentMonthTransactionData!$W:$W,""&amp;$A52&amp;"")</f>
        <v>0</v>
      </c>
      <c r="L52" s="33">
        <f>SUMIFS(CurrentMonthTransactionData!$R:$R,CurrentMonthTransactionData!$V:$V,L$33,CurrentMonthTransactionData!$W:$W,""&amp;$A52&amp;"")</f>
        <v>0</v>
      </c>
      <c r="M52" s="7"/>
      <c r="N52" s="7"/>
      <c r="O52" s="7">
        <f>'Agile AR Aging &lt;-INPUT'!V429</f>
        <v>-650.59999999999991</v>
      </c>
      <c r="P52" s="7">
        <f t="shared" si="0"/>
        <v>-650.59999999999991</v>
      </c>
      <c r="Q52" s="7">
        <f>'Agile AR Aging &lt;-INPUT'!K429</f>
        <v>-650.6</v>
      </c>
      <c r="R52" s="7">
        <f t="shared" si="1"/>
        <v>0</v>
      </c>
    </row>
    <row r="53" spans="1:18" x14ac:dyDescent="0.25">
      <c r="A53" t="s">
        <v>88</v>
      </c>
      <c r="B53" s="1" t="s">
        <v>88</v>
      </c>
      <c r="C53" s="7">
        <f>SUMIFS(CurrentMonthTransactionData!$R:$R,CurrentMonthTransactionData!$V:$V,C$33,CurrentMonthTransactionData!$W:$W,""&amp;$A53&amp;"")</f>
        <v>0</v>
      </c>
      <c r="D53" s="7">
        <f>SUMIFS(CurrentMonthTransactionData!$R:$R,CurrentMonthTransactionData!$V:$V,D$33,CurrentMonthTransactionData!$W:$W,""&amp;$A53&amp;"")</f>
        <v>0</v>
      </c>
      <c r="E53" s="7">
        <f>SUMIFS(CurrentMonthTransactionData!$R:$R,CurrentMonthTransactionData!$V:$V,E$33,CurrentMonthTransactionData!$W:$W,""&amp;$A53&amp;"")</f>
        <v>0</v>
      </c>
      <c r="F53" s="7">
        <f>SUMIFS(CurrentMonthTransactionData!$R:$R,CurrentMonthTransactionData!$V:$V,F$33,CurrentMonthTransactionData!$W:$W,""&amp;$A53&amp;"")</f>
        <v>0</v>
      </c>
      <c r="G53" s="2">
        <f>SUMIFS(CurrentMonthTransactionData!$R:$R,CurrentMonthTransactionData!$V:$V,G$33,CurrentMonthTransactionData!$W:$W,""&amp;$A53&amp;"")</f>
        <v>0</v>
      </c>
      <c r="H53" s="2">
        <f>SUMIFS(CurrentMonthTransactionData!$R:$R,CurrentMonthTransactionData!$V:$V,H$33,CurrentMonthTransactionData!$W:$W,""&amp;$A53&amp;"")</f>
        <v>0</v>
      </c>
      <c r="I53" s="2">
        <f>SUMIFS(CurrentMonthTransactionData!$R:$R,CurrentMonthTransactionData!$V:$V,I$33,CurrentMonthTransactionData!$W:$W,""&amp;$A53&amp;"")</f>
        <v>0</v>
      </c>
      <c r="J53" s="2">
        <f>SUMIFS(CurrentMonthTransactionData!$R:$R,CurrentMonthTransactionData!$V:$V,J$33,CurrentMonthTransactionData!$W:$W,""&amp;$A53&amp;"")</f>
        <v>0</v>
      </c>
      <c r="K53" s="2">
        <f>SUMIFS(CurrentMonthTransactionData!$R:$R,CurrentMonthTransactionData!$V:$V,K$33,CurrentMonthTransactionData!$W:$W,""&amp;$A53&amp;"")</f>
        <v>0</v>
      </c>
      <c r="L53" s="2">
        <f>SUMIFS(CurrentMonthTransactionData!$R:$R,CurrentMonthTransactionData!$V:$V,L$33,CurrentMonthTransactionData!$W:$W,""&amp;$A53&amp;"")</f>
        <v>0</v>
      </c>
      <c r="M53" s="7"/>
      <c r="N53" s="7"/>
      <c r="O53" s="7">
        <f>'Agile AR Aging &lt;-INPUT'!V430</f>
        <v>-2120.3600000000006</v>
      </c>
      <c r="P53" s="7">
        <f>O53+C53-D53-E53-F53-G53-H53+I53-J53-K53-L53</f>
        <v>-2120.3600000000006</v>
      </c>
      <c r="Q53" s="7">
        <f>'Agile AR Aging &lt;-INPUT'!K430</f>
        <v>-2120.3600000000006</v>
      </c>
      <c r="R53" s="7">
        <f>P53-Q53</f>
        <v>0</v>
      </c>
    </row>
    <row r="54" spans="1:18" x14ac:dyDescent="0.25">
      <c r="A54" t="s">
        <v>341</v>
      </c>
      <c r="B54" s="1" t="s">
        <v>52</v>
      </c>
      <c r="C54" s="2">
        <f>SUMIFS(CurrentMonthTransactionData!$R:$R,CurrentMonthTransactionData!$V:$V,C$33,CurrentMonthTransactionData!$W:$W,""&amp;$A54&amp;"")</f>
        <v>0</v>
      </c>
      <c r="D54" s="2">
        <f>SUMIFS(CurrentMonthTransactionData!$R:$R,CurrentMonthTransactionData!$V:$V,D$33,CurrentMonthTransactionData!$W:$W,""&amp;$A54&amp;"")</f>
        <v>0</v>
      </c>
      <c r="E54" s="2">
        <f>SUMIFS(CurrentMonthTransactionData!$R:$R,CurrentMonthTransactionData!$V:$V,E$33,CurrentMonthTransactionData!$W:$W,""&amp;$A54&amp;"")</f>
        <v>0</v>
      </c>
      <c r="F54" s="2">
        <f>SUMIFS(CurrentMonthTransactionData!$R:$R,CurrentMonthTransactionData!$V:$V,F$33,CurrentMonthTransactionData!$W:$W,""&amp;$A54&amp;"")</f>
        <v>0</v>
      </c>
      <c r="G54" s="2">
        <f>SUMIFS(CurrentMonthTransactionData!$R:$R,CurrentMonthTransactionData!$V:$V,G$33,CurrentMonthTransactionData!$W:$W,""&amp;$A54&amp;"")</f>
        <v>0</v>
      </c>
      <c r="H54" s="2">
        <f>SUMIFS(CurrentMonthTransactionData!$R:$R,CurrentMonthTransactionData!$V:$V,H$33,CurrentMonthTransactionData!$W:$W,""&amp;$A54&amp;"")</f>
        <v>0</v>
      </c>
      <c r="I54" s="2">
        <f>SUMIFS(CurrentMonthTransactionData!$R:$R,CurrentMonthTransactionData!$V:$V,I$33,CurrentMonthTransactionData!$W:$W,""&amp;$A54&amp;"")</f>
        <v>0</v>
      </c>
      <c r="J54" s="2">
        <f>SUMIFS(CurrentMonthTransactionData!$R:$R,CurrentMonthTransactionData!$V:$V,J$33,CurrentMonthTransactionData!$W:$W,""&amp;$A54&amp;"")</f>
        <v>0</v>
      </c>
      <c r="K54" s="33">
        <f>SUMIFS(CurrentMonthTransactionData!$R:$R,CurrentMonthTransactionData!$V:$V,K$33,CurrentMonthTransactionData!$W:$W,""&amp;$A54&amp;"")</f>
        <v>0</v>
      </c>
      <c r="L54" s="33">
        <f>SUMIFS(CurrentMonthTransactionData!$R:$R,CurrentMonthTransactionData!$V:$V,L$33,CurrentMonthTransactionData!$W:$W,""&amp;$A54&amp;"")</f>
        <v>0</v>
      </c>
      <c r="M54" s="7"/>
      <c r="N54" s="7"/>
      <c r="O54" s="7">
        <f>'Agile AR Aging &lt;-INPUT'!V431</f>
        <v>0</v>
      </c>
      <c r="P54" s="7">
        <f t="shared" si="0"/>
        <v>0</v>
      </c>
      <c r="Q54" s="7">
        <f>'Agile AR Aging &lt;-INPUT'!K431</f>
        <v>0</v>
      </c>
      <c r="R54" s="7">
        <f t="shared" si="1"/>
        <v>0</v>
      </c>
    </row>
    <row r="55" spans="1:18" x14ac:dyDescent="0.25">
      <c r="A55" t="s">
        <v>340</v>
      </c>
      <c r="B55" s="1" t="s">
        <v>1</v>
      </c>
      <c r="C55" s="7">
        <f>SUMIFS(CurrentMonthTransactionData!$R:$R,CurrentMonthTransactionData!$V:$V,C$33,CurrentMonthTransactionData!$W:$W,""&amp;$A55&amp;"")</f>
        <v>0</v>
      </c>
      <c r="D55" s="7">
        <f>SUMIFS(CurrentMonthTransactionData!$R:$R,CurrentMonthTransactionData!$V:$V,D$33,CurrentMonthTransactionData!$W:$W,""&amp;$A55&amp;"")</f>
        <v>0</v>
      </c>
      <c r="E55" s="7">
        <f>SUMIFS(CurrentMonthTransactionData!$R:$R,CurrentMonthTransactionData!$V:$V,E$33,CurrentMonthTransactionData!$W:$W,""&amp;$A55&amp;"")</f>
        <v>0</v>
      </c>
      <c r="F55" s="7">
        <f>SUMIFS(CurrentMonthTransactionData!$R:$R,CurrentMonthTransactionData!$V:$V,F$33,CurrentMonthTransactionData!$W:$W,""&amp;$A55&amp;"")</f>
        <v>0</v>
      </c>
      <c r="G55" s="7">
        <f>SUMIFS(CurrentMonthTransactionData!$R:$R,CurrentMonthTransactionData!$V:$V,G$33,CurrentMonthTransactionData!$W:$W,""&amp;$A55&amp;"")</f>
        <v>0</v>
      </c>
      <c r="H55" s="7">
        <f>SUMIFS(CurrentMonthTransactionData!$R:$R,CurrentMonthTransactionData!$V:$V,H$33,CurrentMonthTransactionData!$W:$W,""&amp;$A55&amp;"")</f>
        <v>0</v>
      </c>
      <c r="I55" s="2">
        <f>SUMIFS(CurrentMonthTransactionData!$R:$R,CurrentMonthTransactionData!$V:$V,I$33,CurrentMonthTransactionData!$W:$W,""&amp;$A55&amp;"")</f>
        <v>0</v>
      </c>
      <c r="J55" s="2">
        <f>SUMIFS(CurrentMonthTransactionData!$R:$R,CurrentMonthTransactionData!$V:$V,J$33,CurrentMonthTransactionData!$W:$W,""&amp;$A55&amp;"")</f>
        <v>0</v>
      </c>
      <c r="K55" s="2">
        <f>SUMIFS(CurrentMonthTransactionData!$R:$R,CurrentMonthTransactionData!$V:$V,K$33,CurrentMonthTransactionData!$W:$W,""&amp;$A55&amp;"")</f>
        <v>0</v>
      </c>
      <c r="L55" s="2">
        <f>SUMIFS(CurrentMonthTransactionData!$R:$R,CurrentMonthTransactionData!$V:$V,L$33,CurrentMonthTransactionData!$W:$W,""&amp;$A55&amp;"")</f>
        <v>0</v>
      </c>
      <c r="M55" s="7"/>
      <c r="N55" s="7"/>
      <c r="O55" s="7">
        <f>'Agile AR Aging &lt;-INPUT'!V432</f>
        <v>-2098.3300000000004</v>
      </c>
      <c r="P55" s="7">
        <f t="shared" si="0"/>
        <v>-2098.3300000000004</v>
      </c>
      <c r="Q55" s="7">
        <f>'Agile AR Aging &lt;-INPUT'!K432</f>
        <v>-2098.3300000000004</v>
      </c>
      <c r="R55" s="7">
        <f t="shared" si="1"/>
        <v>0</v>
      </c>
    </row>
    <row r="56" spans="1:18" ht="15.75" thickBot="1" x14ac:dyDescent="0.3">
      <c r="C56" s="69">
        <f t="shared" ref="C56:L56" si="2">SUM(C36:C55)</f>
        <v>0</v>
      </c>
      <c r="D56" s="69">
        <f t="shared" si="2"/>
        <v>0</v>
      </c>
      <c r="E56" s="69">
        <f t="shared" si="2"/>
        <v>0</v>
      </c>
      <c r="F56" s="69">
        <f t="shared" si="2"/>
        <v>0</v>
      </c>
      <c r="G56" s="69">
        <f t="shared" si="2"/>
        <v>0</v>
      </c>
      <c r="H56" s="69">
        <f t="shared" si="2"/>
        <v>0</v>
      </c>
      <c r="I56" s="69">
        <f t="shared" si="2"/>
        <v>0</v>
      </c>
      <c r="J56" s="69">
        <f t="shared" si="2"/>
        <v>0</v>
      </c>
      <c r="K56" s="69">
        <f t="shared" si="2"/>
        <v>0</v>
      </c>
      <c r="L56" s="69">
        <f t="shared" si="2"/>
        <v>0</v>
      </c>
      <c r="M56" s="7"/>
      <c r="N56" s="7"/>
      <c r="O56" s="90">
        <f>SUM(O36:O55)</f>
        <v>-32252.739999999998</v>
      </c>
      <c r="P56" s="90">
        <f>SUM(P36:P55)</f>
        <v>-32252.739999999998</v>
      </c>
      <c r="Q56" s="90">
        <f>SUM(Q36:Q55)</f>
        <v>-32252.74</v>
      </c>
      <c r="R56" s="90">
        <f>SUM(R36:R55)</f>
        <v>0</v>
      </c>
    </row>
    <row r="57" spans="1:18" x14ac:dyDescent="0.25">
      <c r="C57" s="7">
        <f>C56-'RF by Location &lt;-INPUT'!C37</f>
        <v>0</v>
      </c>
      <c r="D57" s="7">
        <f>D56-'RF by Location &lt;-INPUT'!D37</f>
        <v>0</v>
      </c>
      <c r="E57" s="7">
        <f>E56-'RF by Location &lt;-INPUT'!E37</f>
        <v>0</v>
      </c>
      <c r="F57" s="7">
        <f>F56-'RF by Location &lt;-INPUT'!F37</f>
        <v>0</v>
      </c>
      <c r="G57" s="7">
        <f>G56-'RF by Location &lt;-INPUT'!G37</f>
        <v>0</v>
      </c>
      <c r="H57" s="7">
        <f>H56-'RF by Location &lt;-INPUT'!H37</f>
        <v>0</v>
      </c>
      <c r="I57" s="7">
        <f>I56-'RF by Location &lt;-INPUT'!I37</f>
        <v>0</v>
      </c>
      <c r="J57" s="7">
        <f>J56-'RF by Location &lt;-INPUT'!J37</f>
        <v>0</v>
      </c>
      <c r="K57" s="7">
        <f>K56-'RF by Location &lt;-INPUT'!K37</f>
        <v>0</v>
      </c>
      <c r="L57" s="7">
        <f>L56-'RF by Location &lt;-INPUT'!L37</f>
        <v>0</v>
      </c>
      <c r="M57" s="7"/>
      <c r="N57" s="7"/>
    </row>
    <row r="58" spans="1:18" x14ac:dyDescent="0.25">
      <c r="O58" s="7"/>
    </row>
  </sheetData>
  <mergeCells count="5">
    <mergeCell ref="B1:N1"/>
    <mergeCell ref="B2:N2"/>
    <mergeCell ref="B3:N3"/>
    <mergeCell ref="B5:R5"/>
    <mergeCell ref="C34:L34"/>
  </mergeCells>
  <conditionalFormatting sqref="R36:R56">
    <cfRule type="cellIs" dxfId="18" priority="1" operator="lessThan">
      <formula>0</formula>
    </cfRule>
    <cfRule type="cellIs" dxfId="17" priority="2" operator="greaterThan">
      <formula>0</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theme="6"/>
  </sheetPr>
  <dimension ref="A1:T71"/>
  <sheetViews>
    <sheetView topLeftCell="B1" zoomScale="85" zoomScaleNormal="85" workbookViewId="0">
      <selection activeCell="B1" sqref="B1:N1"/>
    </sheetView>
  </sheetViews>
  <sheetFormatPr defaultRowHeight="15" x14ac:dyDescent="0.25"/>
  <cols>
    <col min="1" max="1" width="43.85546875" hidden="1" customWidth="1"/>
    <col min="2" max="2" width="40.7109375" customWidth="1"/>
    <col min="3" max="3" width="17" bestFit="1" customWidth="1"/>
    <col min="4" max="4" width="18" bestFit="1" customWidth="1"/>
    <col min="5" max="17" width="10.7109375" hidden="1" customWidth="1"/>
    <col min="18" max="18" width="15.7109375" customWidth="1"/>
    <col min="19" max="19" width="14.7109375" customWidth="1"/>
  </cols>
  <sheetData>
    <row r="1" spans="2:19" ht="18.75" x14ac:dyDescent="0.3">
      <c r="B1" s="162" t="s">
        <v>17</v>
      </c>
      <c r="C1" s="162"/>
      <c r="D1" s="162"/>
      <c r="E1" s="162"/>
      <c r="F1" s="162"/>
      <c r="G1" s="162"/>
      <c r="H1" s="162"/>
      <c r="I1" s="162"/>
      <c r="J1" s="162"/>
      <c r="K1" s="162"/>
      <c r="L1" s="162"/>
      <c r="M1" s="162"/>
      <c r="N1" s="162"/>
      <c r="O1" s="79"/>
      <c r="P1" s="79"/>
      <c r="Q1" s="79"/>
      <c r="S1" s="31"/>
    </row>
    <row r="2" spans="2:19" ht="15.75" x14ac:dyDescent="0.25">
      <c r="B2" s="163" t="str">
        <f>'Reimbursement Rates &lt;-INPUT'!A2</f>
        <v>Amato PT</v>
      </c>
      <c r="C2" s="163"/>
      <c r="D2" s="163"/>
      <c r="E2" s="163"/>
      <c r="F2" s="163"/>
      <c r="G2" s="163"/>
      <c r="H2" s="163"/>
      <c r="I2" s="163"/>
      <c r="J2" s="163"/>
      <c r="K2" s="163"/>
      <c r="L2" s="163"/>
      <c r="M2" s="163"/>
      <c r="N2" s="163"/>
      <c r="O2" s="86"/>
      <c r="P2" s="86"/>
      <c r="Q2" s="86"/>
      <c r="S2" s="31"/>
    </row>
    <row r="3" spans="2:19" x14ac:dyDescent="0.25">
      <c r="B3" s="164" t="s">
        <v>179</v>
      </c>
      <c r="C3" s="164"/>
      <c r="D3" s="164"/>
      <c r="E3" s="164"/>
      <c r="F3" s="164"/>
      <c r="G3" s="164"/>
      <c r="H3" s="164"/>
      <c r="I3" s="164"/>
      <c r="J3" s="164"/>
      <c r="K3" s="164"/>
      <c r="L3" s="164"/>
      <c r="M3" s="164"/>
      <c r="N3" s="164"/>
      <c r="O3" s="35"/>
      <c r="P3" s="35"/>
      <c r="Q3" s="35"/>
      <c r="S3" s="31"/>
    </row>
    <row r="4" spans="2:19" ht="15.75" thickBot="1" x14ac:dyDescent="0.3">
      <c r="S4" s="31"/>
    </row>
    <row r="5" spans="2:19" ht="15.75" thickBot="1" x14ac:dyDescent="0.3">
      <c r="B5" s="174" t="s">
        <v>131</v>
      </c>
      <c r="C5" s="175"/>
      <c r="D5" s="175"/>
      <c r="E5" s="175"/>
      <c r="F5" s="175"/>
      <c r="G5" s="175"/>
      <c r="H5" s="175"/>
      <c r="I5" s="175"/>
      <c r="J5" s="175"/>
      <c r="K5" s="175"/>
      <c r="L5" s="175"/>
      <c r="M5" s="175"/>
      <c r="N5" s="175"/>
      <c r="O5" s="175"/>
      <c r="P5" s="175"/>
      <c r="Q5" s="175"/>
      <c r="R5" s="176"/>
      <c r="S5" s="31"/>
    </row>
    <row r="6" spans="2:19" x14ac:dyDescent="0.25">
      <c r="S6" s="31"/>
    </row>
    <row r="7" spans="2:19" x14ac:dyDescent="0.25">
      <c r="B7" s="65" t="s">
        <v>135</v>
      </c>
      <c r="S7" s="31"/>
    </row>
    <row r="8" spans="2:19" x14ac:dyDescent="0.25">
      <c r="B8" s="84" t="s">
        <v>211</v>
      </c>
      <c r="S8" s="31"/>
    </row>
    <row r="9" spans="2:19" x14ac:dyDescent="0.25">
      <c r="B9" s="84" t="s">
        <v>230</v>
      </c>
      <c r="S9" s="31"/>
    </row>
    <row r="10" spans="2:19" x14ac:dyDescent="0.25">
      <c r="B10" s="84" t="s">
        <v>146</v>
      </c>
      <c r="S10" s="31"/>
    </row>
    <row r="11" spans="2:19" x14ac:dyDescent="0.25">
      <c r="B11" s="84" t="s">
        <v>156</v>
      </c>
      <c r="S11" s="31"/>
    </row>
    <row r="12" spans="2:19" x14ac:dyDescent="0.25">
      <c r="B12" s="84" t="s">
        <v>139</v>
      </c>
      <c r="S12" s="31"/>
    </row>
    <row r="13" spans="2:19" x14ac:dyDescent="0.25">
      <c r="B13" s="84"/>
      <c r="S13" s="31"/>
    </row>
    <row r="14" spans="2:19" x14ac:dyDescent="0.25">
      <c r="B14" s="87" t="s">
        <v>212</v>
      </c>
      <c r="S14" s="31"/>
    </row>
    <row r="15" spans="2:19" x14ac:dyDescent="0.25">
      <c r="B15" s="84" t="s">
        <v>158</v>
      </c>
      <c r="S15" s="31"/>
    </row>
    <row r="16" spans="2:19" x14ac:dyDescent="0.25">
      <c r="B16" s="84" t="s">
        <v>213</v>
      </c>
      <c r="S16" s="31"/>
    </row>
    <row r="17" spans="2:19" x14ac:dyDescent="0.25">
      <c r="B17" s="84" t="s">
        <v>214</v>
      </c>
      <c r="S17" s="31"/>
    </row>
    <row r="18" spans="2:19" x14ac:dyDescent="0.25">
      <c r="B18" s="91" t="s">
        <v>165</v>
      </c>
      <c r="S18" s="31"/>
    </row>
    <row r="19" spans="2:19" x14ac:dyDescent="0.25">
      <c r="B19" s="91" t="s">
        <v>166</v>
      </c>
      <c r="S19" s="31"/>
    </row>
    <row r="20" spans="2:19" x14ac:dyDescent="0.25">
      <c r="B20" s="91" t="s">
        <v>167</v>
      </c>
      <c r="S20" s="31"/>
    </row>
    <row r="21" spans="2:19" x14ac:dyDescent="0.25">
      <c r="B21" s="91" t="s">
        <v>168</v>
      </c>
      <c r="S21" s="31"/>
    </row>
    <row r="22" spans="2:19" x14ac:dyDescent="0.25">
      <c r="B22" s="91" t="s">
        <v>169</v>
      </c>
      <c r="S22" s="31"/>
    </row>
    <row r="23" spans="2:19" x14ac:dyDescent="0.25">
      <c r="B23" s="92" t="s">
        <v>215</v>
      </c>
      <c r="S23" s="31"/>
    </row>
    <row r="24" spans="2:19" x14ac:dyDescent="0.25">
      <c r="B24" s="92" t="s">
        <v>171</v>
      </c>
      <c r="S24" s="31"/>
    </row>
    <row r="25" spans="2:19" x14ac:dyDescent="0.25">
      <c r="B25" s="92" t="s">
        <v>216</v>
      </c>
      <c r="S25" s="31"/>
    </row>
    <row r="26" spans="2:19" x14ac:dyDescent="0.25">
      <c r="B26" s="91" t="s">
        <v>173</v>
      </c>
      <c r="S26" s="31"/>
    </row>
    <row r="27" spans="2:19" x14ac:dyDescent="0.25">
      <c r="B27" s="91" t="s">
        <v>217</v>
      </c>
      <c r="S27" s="31"/>
    </row>
    <row r="28" spans="2:19" x14ac:dyDescent="0.25">
      <c r="B28" s="91" t="s">
        <v>175</v>
      </c>
      <c r="S28" s="31"/>
    </row>
    <row r="29" spans="2:19" x14ac:dyDescent="0.25">
      <c r="B29" s="91" t="s">
        <v>218</v>
      </c>
      <c r="S29" s="31"/>
    </row>
    <row r="30" spans="2:19" x14ac:dyDescent="0.25">
      <c r="B30" s="91" t="s">
        <v>177</v>
      </c>
      <c r="S30" s="31"/>
    </row>
    <row r="31" spans="2:19" x14ac:dyDescent="0.25">
      <c r="B31" s="84" t="s">
        <v>219</v>
      </c>
      <c r="S31" s="31"/>
    </row>
    <row r="32" spans="2:19" x14ac:dyDescent="0.25">
      <c r="B32" s="84" t="s">
        <v>220</v>
      </c>
      <c r="S32" s="31"/>
    </row>
    <row r="33" spans="1:20" x14ac:dyDescent="0.25">
      <c r="S33" s="31"/>
    </row>
    <row r="34" spans="1:20" x14ac:dyDescent="0.25">
      <c r="S34" s="31"/>
    </row>
    <row r="35" spans="1:20" hidden="1" x14ac:dyDescent="0.25">
      <c r="C35" t="s">
        <v>233</v>
      </c>
      <c r="D35" t="s">
        <v>264</v>
      </c>
    </row>
    <row r="36" spans="1:20" x14ac:dyDescent="0.25">
      <c r="C36" s="177" t="str">
        <f>'RF by Payor &lt;-INPUT'!C34:L34</f>
        <v>09/01/2023-09/30/2023</v>
      </c>
      <c r="D36" s="177"/>
      <c r="E36" s="177"/>
      <c r="F36" s="177"/>
      <c r="G36" s="177"/>
      <c r="H36" s="177"/>
      <c r="I36" s="177"/>
      <c r="J36" s="177"/>
      <c r="K36" s="177"/>
      <c r="L36" s="177"/>
      <c r="M36" s="177"/>
      <c r="N36" s="177"/>
      <c r="O36" s="177"/>
      <c r="P36" s="177"/>
      <c r="Q36" s="177"/>
      <c r="R36" s="177"/>
      <c r="S36" s="93"/>
    </row>
    <row r="37" spans="1:20" ht="15.75" thickBot="1" x14ac:dyDescent="0.3">
      <c r="B37" s="43" t="s">
        <v>201</v>
      </c>
      <c r="C37" s="43" t="str">
        <f>'Reimbursement Rates &lt;-INPUT'!C7</f>
        <v>Central West End</v>
      </c>
      <c r="D37" s="43" t="str">
        <f>'Reimbursement Rates &lt;-INPUT'!B7</f>
        <v>Creve Coeur</v>
      </c>
      <c r="E37" s="43" t="str">
        <f>'Reimbursement Rates &lt;-INPUT'!D7</f>
        <v>Clinic 3</v>
      </c>
      <c r="F37" s="43" t="str">
        <f>'Reimbursement Rates &lt;-INPUT'!E7</f>
        <v>Clinic 4</v>
      </c>
      <c r="G37" s="43" t="str">
        <f>'Reimbursement Rates &lt;-INPUT'!F7</f>
        <v>Clinic 5</v>
      </c>
      <c r="H37" s="43" t="str">
        <f>'Reimbursement Rates &lt;-INPUT'!G7</f>
        <v>Clinic 6</v>
      </c>
      <c r="I37" s="43" t="str">
        <f>'Reimbursement Rates &lt;-INPUT'!H7</f>
        <v>Clinic 7</v>
      </c>
      <c r="J37" s="43" t="str">
        <f>'Reimbursement Rates &lt;-INPUT'!I7</f>
        <v>Clinic 8</v>
      </c>
      <c r="K37" s="43" t="str">
        <f>'Reimbursement Rates &lt;-INPUT'!J7</f>
        <v>Clinic 9</v>
      </c>
      <c r="L37" s="43" t="str">
        <f>'Reimbursement Rates &lt;-INPUT'!K7</f>
        <v>Clinic 10</v>
      </c>
      <c r="M37" s="43" t="str">
        <f>'Reimbursement Rates &lt;-INPUT'!L7</f>
        <v>Clinic 11</v>
      </c>
      <c r="N37" s="43" t="str">
        <f>'Reimbursement Rates &lt;-INPUT'!M7</f>
        <v>Clinic 12</v>
      </c>
      <c r="O37" s="43" t="str">
        <f>'Reimbursement Rates &lt;-INPUT'!N7</f>
        <v>Clinic 13</v>
      </c>
      <c r="P37" s="43" t="str">
        <f>'Reimbursement Rates &lt;-INPUT'!O7</f>
        <v>Clinic 14</v>
      </c>
      <c r="Q37" s="43" t="str">
        <f>'Reimbursement Rates &lt;-INPUT'!P7</f>
        <v>Clinic 15</v>
      </c>
      <c r="R37" s="43" t="s">
        <v>0</v>
      </c>
    </row>
    <row r="38" spans="1:20" x14ac:dyDescent="0.25">
      <c r="A38" t="s">
        <v>76</v>
      </c>
      <c r="B38" t="s">
        <v>76</v>
      </c>
      <c r="C38" s="7">
        <f>SUMIFS(CurrentMonthTransactionData!$R:$R,CurrentMonthTransactionData!$H:$H,""&amp;C$35&amp;"",CurrentMonthTransactionData!$AK:$AK,""&amp;$A38&amp;"",CurrentMonthTransactionData!$AP:$AP,"Y")</f>
        <v>0</v>
      </c>
      <c r="D38" s="7">
        <f>SUMIFS(CurrentMonthTransactionData!$R:$R,CurrentMonthTransactionData!$H:$H,""&amp;D$35&amp;"",CurrentMonthTransactionData!$AK:$AK,""&amp;$A38&amp;"",CurrentMonthTransactionData!$AP:$AP,"Y")</f>
        <v>0</v>
      </c>
      <c r="E38" s="89"/>
      <c r="F38" s="89"/>
      <c r="G38" s="89"/>
      <c r="H38" s="89"/>
      <c r="I38" s="89"/>
      <c r="J38" s="89"/>
      <c r="K38" s="89"/>
      <c r="L38" s="89"/>
      <c r="M38" s="89"/>
      <c r="N38" s="89"/>
      <c r="O38" s="89"/>
      <c r="P38" s="89"/>
      <c r="Q38" s="89"/>
      <c r="R38" s="2">
        <f>SUM(C38:Q38)</f>
        <v>0</v>
      </c>
      <c r="T38" s="7"/>
    </row>
    <row r="39" spans="1:20" x14ac:dyDescent="0.25">
      <c r="A39" t="s">
        <v>180</v>
      </c>
      <c r="B39" t="s">
        <v>180</v>
      </c>
      <c r="C39" s="7">
        <f>SUMIFS(CurrentMonthTransactionData!$R:$R,CurrentMonthTransactionData!$H:$H,""&amp;C$35&amp;"",CurrentMonthTransactionData!$AK:$AK,""&amp;$A39&amp;"",CurrentMonthTransactionData!$AP:$AP,"Y")</f>
        <v>0</v>
      </c>
      <c r="D39" s="7">
        <f>SUMIFS(CurrentMonthTransactionData!$R:$R,CurrentMonthTransactionData!$H:$H,""&amp;D$35&amp;"",CurrentMonthTransactionData!$AK:$AK,""&amp;$A39&amp;"",CurrentMonthTransactionData!$AP:$AP,"Y")</f>
        <v>0</v>
      </c>
      <c r="E39" s="89"/>
      <c r="F39" s="89"/>
      <c r="G39" s="89"/>
      <c r="H39" s="89"/>
      <c r="I39" s="89"/>
      <c r="J39" s="89"/>
      <c r="K39" s="89"/>
      <c r="L39" s="89"/>
      <c r="M39" s="89"/>
      <c r="N39" s="89"/>
      <c r="O39" s="89"/>
      <c r="P39" s="89"/>
      <c r="Q39" s="89"/>
      <c r="R39" s="2">
        <f t="shared" ref="R39:R68" si="0">SUM(C39:Q39)</f>
        <v>0</v>
      </c>
      <c r="T39" s="7"/>
    </row>
    <row r="40" spans="1:20" x14ac:dyDescent="0.25">
      <c r="A40" t="s">
        <v>190</v>
      </c>
      <c r="B40" t="s">
        <v>190</v>
      </c>
      <c r="C40" s="89">
        <f>SUMIFS(CurrentMonthTransactionData!$R:$R,CurrentMonthTransactionData!$H:$H,""&amp;C$35&amp;"",CurrentMonthTransactionData!$AK:$AK,""&amp;$A40&amp;"",CurrentMonthTransactionData!$AP:$AP,"Y")</f>
        <v>0</v>
      </c>
      <c r="D40" s="89">
        <f>SUMIFS(CurrentMonthTransactionData!$R:$R,CurrentMonthTransactionData!$H:$H,""&amp;D$35&amp;"",CurrentMonthTransactionData!$AK:$AK,""&amp;$A40&amp;"",CurrentMonthTransactionData!$AP:$AP,"Y")</f>
        <v>0</v>
      </c>
      <c r="E40" s="89"/>
      <c r="F40" s="89"/>
      <c r="G40" s="89"/>
      <c r="H40" s="89"/>
      <c r="I40" s="89"/>
      <c r="J40" s="89"/>
      <c r="K40" s="89"/>
      <c r="L40" s="89"/>
      <c r="M40" s="89"/>
      <c r="N40" s="89"/>
      <c r="O40" s="89"/>
      <c r="P40" s="89"/>
      <c r="Q40" s="89"/>
      <c r="R40" s="2">
        <f t="shared" si="0"/>
        <v>0</v>
      </c>
      <c r="T40" s="7"/>
    </row>
    <row r="41" spans="1:20" x14ac:dyDescent="0.25">
      <c r="A41" t="s">
        <v>181</v>
      </c>
      <c r="B41" t="s">
        <v>181</v>
      </c>
      <c r="C41" s="89">
        <f>SUMIFS(CurrentMonthTransactionData!$R:$R,CurrentMonthTransactionData!$H:$H,""&amp;C$35&amp;"",CurrentMonthTransactionData!$AK:$AK,""&amp;$A41&amp;"",CurrentMonthTransactionData!$AP:$AP,"Y")</f>
        <v>0</v>
      </c>
      <c r="D41" s="89">
        <f>SUMIFS(CurrentMonthTransactionData!$R:$R,CurrentMonthTransactionData!$H:$H,""&amp;D$35&amp;"",CurrentMonthTransactionData!$AK:$AK,""&amp;$A41&amp;"",CurrentMonthTransactionData!$AP:$AP,"Y")</f>
        <v>0</v>
      </c>
      <c r="E41" s="89"/>
      <c r="F41" s="89"/>
      <c r="G41" s="89"/>
      <c r="H41" s="89"/>
      <c r="I41" s="89"/>
      <c r="J41" s="89"/>
      <c r="K41" s="89"/>
      <c r="L41" s="89"/>
      <c r="M41" s="89"/>
      <c r="N41" s="89"/>
      <c r="O41" s="89"/>
      <c r="P41" s="89"/>
      <c r="Q41" s="89"/>
      <c r="R41" s="2">
        <f t="shared" si="0"/>
        <v>0</v>
      </c>
      <c r="T41" s="7"/>
    </row>
    <row r="42" spans="1:20" x14ac:dyDescent="0.25">
      <c r="A42" s="144" t="s">
        <v>397</v>
      </c>
      <c r="B42" t="s">
        <v>192</v>
      </c>
      <c r="C42" s="7">
        <f>SUMIFS(CurrentMonthTransactionData!$R:$R,CurrentMonthTransactionData!$H:$H,""&amp;C$35&amp;"",CurrentMonthTransactionData!$AK:$AK,""&amp;$A42&amp;"",CurrentMonthTransactionData!$AP:$AP,"Y")</f>
        <v>0</v>
      </c>
      <c r="D42" s="7">
        <f>SUMIFS(CurrentMonthTransactionData!$R:$R,CurrentMonthTransactionData!$H:$H,""&amp;D$35&amp;"",CurrentMonthTransactionData!$AK:$AK,""&amp;$A42&amp;"",CurrentMonthTransactionData!$AP:$AP,"Y")</f>
        <v>0</v>
      </c>
      <c r="E42" s="89"/>
      <c r="F42" s="89"/>
      <c r="G42" s="89"/>
      <c r="H42" s="89"/>
      <c r="I42" s="89"/>
      <c r="J42" s="89"/>
      <c r="K42" s="89"/>
      <c r="L42" s="89"/>
      <c r="M42" s="89"/>
      <c r="N42" s="89"/>
      <c r="O42" s="89"/>
      <c r="P42" s="89"/>
      <c r="Q42" s="89"/>
      <c r="R42" s="2">
        <f t="shared" si="0"/>
        <v>0</v>
      </c>
      <c r="T42" s="7"/>
    </row>
    <row r="43" spans="1:20" x14ac:dyDescent="0.25">
      <c r="A43" t="s">
        <v>182</v>
      </c>
      <c r="B43" t="s">
        <v>182</v>
      </c>
      <c r="C43" s="2">
        <f>SUMIFS(CurrentMonthTransactionData!$R:$R,CurrentMonthTransactionData!$H:$H,""&amp;C$35&amp;"",CurrentMonthTransactionData!$AK:$AK,""&amp;$A43&amp;"",CurrentMonthTransactionData!$AP:$AP,"Y")</f>
        <v>0</v>
      </c>
      <c r="D43" s="2">
        <f>SUMIFS(CurrentMonthTransactionData!$R:$R,CurrentMonthTransactionData!$H:$H,""&amp;D$35&amp;"",CurrentMonthTransactionData!$AK:$AK,""&amp;$A43&amp;"",CurrentMonthTransactionData!$AP:$AP,"Y")</f>
        <v>0</v>
      </c>
      <c r="E43" s="89"/>
      <c r="F43" s="89"/>
      <c r="G43" s="89"/>
      <c r="H43" s="89"/>
      <c r="I43" s="89"/>
      <c r="J43" s="89"/>
      <c r="K43" s="89"/>
      <c r="L43" s="89"/>
      <c r="M43" s="89"/>
      <c r="N43" s="89"/>
      <c r="O43" s="89"/>
      <c r="P43" s="89"/>
      <c r="Q43" s="89"/>
      <c r="R43" s="2">
        <f t="shared" si="0"/>
        <v>0</v>
      </c>
      <c r="T43" s="7"/>
    </row>
    <row r="44" spans="1:20" x14ac:dyDescent="0.25">
      <c r="A44" t="s">
        <v>183</v>
      </c>
      <c r="B44" t="s">
        <v>183</v>
      </c>
      <c r="C44" s="7">
        <f>SUMIFS(CurrentMonthTransactionData!$R:$R,CurrentMonthTransactionData!$H:$H,""&amp;C$35&amp;"",CurrentMonthTransactionData!$AK:$AK,""&amp;$A44&amp;"",CurrentMonthTransactionData!$AP:$AP,"Y")</f>
        <v>0</v>
      </c>
      <c r="D44" s="7">
        <f>SUMIFS(CurrentMonthTransactionData!$R:$R,CurrentMonthTransactionData!$H:$H,""&amp;D$35&amp;"",CurrentMonthTransactionData!$AK:$AK,""&amp;$A44&amp;"",CurrentMonthTransactionData!$AP:$AP,"Y")</f>
        <v>0</v>
      </c>
      <c r="E44" s="89"/>
      <c r="F44" s="89"/>
      <c r="G44" s="89"/>
      <c r="H44" s="89"/>
      <c r="I44" s="89"/>
      <c r="J44" s="89"/>
      <c r="K44" s="89"/>
      <c r="L44" s="89"/>
      <c r="M44" s="89"/>
      <c r="N44" s="89"/>
      <c r="O44" s="89"/>
      <c r="P44" s="89"/>
      <c r="Q44" s="89"/>
      <c r="R44" s="2">
        <f t="shared" si="0"/>
        <v>0</v>
      </c>
      <c r="T44" s="7"/>
    </row>
    <row r="45" spans="1:20" x14ac:dyDescent="0.25">
      <c r="A45" t="s">
        <v>184</v>
      </c>
      <c r="B45" t="s">
        <v>184</v>
      </c>
      <c r="C45" s="7">
        <f>SUMIFS(CurrentMonthTransactionData!$R:$R,CurrentMonthTransactionData!$H:$H,""&amp;C$35&amp;"",CurrentMonthTransactionData!$AK:$AK,""&amp;$A45&amp;"",CurrentMonthTransactionData!$AP:$AP,"Y")</f>
        <v>0</v>
      </c>
      <c r="D45" s="7">
        <f>SUMIFS(CurrentMonthTransactionData!$R:$R,CurrentMonthTransactionData!$H:$H,""&amp;D$35&amp;"",CurrentMonthTransactionData!$AK:$AK,""&amp;$A45&amp;"",CurrentMonthTransactionData!$AP:$AP,"Y")</f>
        <v>0</v>
      </c>
      <c r="E45" s="89"/>
      <c r="F45" s="89"/>
      <c r="G45" s="89"/>
      <c r="H45" s="89"/>
      <c r="I45" s="89"/>
      <c r="J45" s="89"/>
      <c r="K45" s="89"/>
      <c r="L45" s="89"/>
      <c r="M45" s="89"/>
      <c r="N45" s="89"/>
      <c r="O45" s="89"/>
      <c r="P45" s="89"/>
      <c r="Q45" s="89"/>
      <c r="R45" s="2">
        <f t="shared" si="0"/>
        <v>0</v>
      </c>
      <c r="T45" s="7"/>
    </row>
    <row r="46" spans="1:20" x14ac:dyDescent="0.25">
      <c r="A46" t="s">
        <v>191</v>
      </c>
      <c r="B46" t="s">
        <v>191</v>
      </c>
      <c r="C46" s="2">
        <f>SUMIFS(CurrentMonthTransactionData!$R:$R,CurrentMonthTransactionData!$H:$H,""&amp;C$35&amp;"",CurrentMonthTransactionData!$AK:$AK,""&amp;$A46&amp;"",CurrentMonthTransactionData!$AP:$AP,"Y")</f>
        <v>0</v>
      </c>
      <c r="D46" s="2">
        <f>SUMIFS(CurrentMonthTransactionData!$R:$R,CurrentMonthTransactionData!$H:$H,""&amp;D$35&amp;"",CurrentMonthTransactionData!$AK:$AK,""&amp;$A46&amp;"",CurrentMonthTransactionData!$AP:$AP,"Y")</f>
        <v>0</v>
      </c>
      <c r="E46" s="89"/>
      <c r="F46" s="89"/>
      <c r="G46" s="89"/>
      <c r="H46" s="89"/>
      <c r="I46" s="89"/>
      <c r="J46" s="89"/>
      <c r="K46" s="89"/>
      <c r="L46" s="89"/>
      <c r="M46" s="89"/>
      <c r="N46" s="89"/>
      <c r="O46" s="89"/>
      <c r="P46" s="89"/>
      <c r="Q46" s="89"/>
      <c r="R46" s="2">
        <f t="shared" si="0"/>
        <v>0</v>
      </c>
      <c r="T46" s="7"/>
    </row>
    <row r="47" spans="1:20" x14ac:dyDescent="0.25">
      <c r="A47" t="s">
        <v>185</v>
      </c>
      <c r="B47" t="s">
        <v>185</v>
      </c>
      <c r="C47" s="7">
        <f>SUMIFS(CurrentMonthTransactionData!$R:$R,CurrentMonthTransactionData!$H:$H,""&amp;C$35&amp;"",CurrentMonthTransactionData!$AK:$AK,""&amp;$A47&amp;"",CurrentMonthTransactionData!$AP:$AP,"Y")</f>
        <v>0</v>
      </c>
      <c r="D47" s="2">
        <f>SUMIFS(CurrentMonthTransactionData!$R:$R,CurrentMonthTransactionData!$H:$H,""&amp;D$35&amp;"",CurrentMonthTransactionData!$AK:$AK,""&amp;$A47&amp;"",CurrentMonthTransactionData!$AP:$AP,"Y")</f>
        <v>0</v>
      </c>
      <c r="E47" s="89"/>
      <c r="F47" s="89"/>
      <c r="G47" s="89"/>
      <c r="H47" s="89"/>
      <c r="I47" s="89"/>
      <c r="J47" s="89"/>
      <c r="K47" s="89"/>
      <c r="L47" s="89"/>
      <c r="M47" s="89"/>
      <c r="N47" s="89"/>
      <c r="O47" s="89"/>
      <c r="P47" s="89"/>
      <c r="Q47" s="89"/>
      <c r="R47" s="2">
        <f t="shared" si="0"/>
        <v>0</v>
      </c>
      <c r="T47" s="7"/>
    </row>
    <row r="48" spans="1:20" x14ac:dyDescent="0.25">
      <c r="A48" t="s">
        <v>193</v>
      </c>
      <c r="B48" t="s">
        <v>193</v>
      </c>
      <c r="C48" s="7">
        <f>SUMIFS(CurrentMonthTransactionData!$R:$R,CurrentMonthTransactionData!$H:$H,""&amp;C$35&amp;"",CurrentMonthTransactionData!$AK:$AK,""&amp;$A48&amp;"",CurrentMonthTransactionData!$AP:$AP,"Y")</f>
        <v>0</v>
      </c>
      <c r="D48" s="7">
        <f>SUMIFS(CurrentMonthTransactionData!$R:$R,CurrentMonthTransactionData!$H:$H,""&amp;D$35&amp;"",CurrentMonthTransactionData!$AK:$AK,""&amp;$A48&amp;"",CurrentMonthTransactionData!$AP:$AP,"Y")</f>
        <v>0</v>
      </c>
      <c r="E48" s="89"/>
      <c r="F48" s="89"/>
      <c r="G48" s="89"/>
      <c r="H48" s="89"/>
      <c r="I48" s="89"/>
      <c r="J48" s="89"/>
      <c r="K48" s="89"/>
      <c r="L48" s="89"/>
      <c r="M48" s="89"/>
      <c r="N48" s="89"/>
      <c r="O48" s="89"/>
      <c r="P48" s="89"/>
      <c r="Q48" s="89"/>
      <c r="R48" s="2">
        <f t="shared" si="0"/>
        <v>0</v>
      </c>
      <c r="T48" s="7"/>
    </row>
    <row r="49" spans="1:20" x14ac:dyDescent="0.25">
      <c r="A49" t="s">
        <v>186</v>
      </c>
      <c r="B49" t="s">
        <v>186</v>
      </c>
      <c r="C49" s="2">
        <f>SUMIFS(CurrentMonthTransactionData!$R:$R,CurrentMonthTransactionData!$H:$H,""&amp;C$35&amp;"",CurrentMonthTransactionData!$AK:$AK,""&amp;$A49&amp;"",CurrentMonthTransactionData!$AP:$AP,"Y")</f>
        <v>0</v>
      </c>
      <c r="D49" s="2">
        <f>SUMIFS(CurrentMonthTransactionData!$R:$R,CurrentMonthTransactionData!$H:$H,""&amp;D$35&amp;"",CurrentMonthTransactionData!$AK:$AK,""&amp;$A49&amp;"",CurrentMonthTransactionData!$AP:$AP,"Y")</f>
        <v>0</v>
      </c>
      <c r="E49" s="89"/>
      <c r="F49" s="89"/>
      <c r="G49" s="89"/>
      <c r="H49" s="89"/>
      <c r="I49" s="89"/>
      <c r="J49" s="89"/>
      <c r="K49" s="89"/>
      <c r="L49" s="89"/>
      <c r="M49" s="89"/>
      <c r="N49" s="89"/>
      <c r="O49" s="89"/>
      <c r="P49" s="89"/>
      <c r="Q49" s="89"/>
      <c r="R49" s="2">
        <f t="shared" si="0"/>
        <v>0</v>
      </c>
      <c r="T49" s="7"/>
    </row>
    <row r="50" spans="1:20" ht="30" x14ac:dyDescent="0.25">
      <c r="A50" t="s">
        <v>187</v>
      </c>
      <c r="B50" s="94" t="s">
        <v>187</v>
      </c>
      <c r="C50" s="2">
        <f>SUMIFS(CurrentMonthTransactionData!$R:$R,CurrentMonthTransactionData!$H:$H,""&amp;C$35&amp;"",CurrentMonthTransactionData!$AK:$AK,""&amp;$A50&amp;"",CurrentMonthTransactionData!$AP:$AP,"Y")</f>
        <v>0</v>
      </c>
      <c r="D50" s="33">
        <f>SUMIFS(CurrentMonthTransactionData!$R:$R,CurrentMonthTransactionData!$H:$H,""&amp;D$35&amp;"",CurrentMonthTransactionData!$AK:$AK,""&amp;$A50&amp;"",CurrentMonthTransactionData!$AP:$AP,"Y")</f>
        <v>0</v>
      </c>
      <c r="E50" s="89"/>
      <c r="F50" s="89"/>
      <c r="G50" s="89"/>
      <c r="H50" s="89"/>
      <c r="I50" s="89"/>
      <c r="J50" s="89"/>
      <c r="K50" s="89"/>
      <c r="L50" s="89"/>
      <c r="M50" s="89"/>
      <c r="N50" s="89"/>
      <c r="O50" s="89"/>
      <c r="P50" s="89"/>
      <c r="Q50" s="89"/>
      <c r="R50" s="2">
        <f t="shared" si="0"/>
        <v>0</v>
      </c>
      <c r="T50" s="7"/>
    </row>
    <row r="51" spans="1:20" x14ac:dyDescent="0.25">
      <c r="A51" t="s">
        <v>188</v>
      </c>
      <c r="B51" t="s">
        <v>188</v>
      </c>
      <c r="C51" s="7">
        <f>SUMIFS(CurrentMonthTransactionData!$R:$R,CurrentMonthTransactionData!$H:$H,""&amp;C$35&amp;"",CurrentMonthTransactionData!$AK:$AK,""&amp;$A51&amp;"",CurrentMonthTransactionData!$AP:$AP,"Y")</f>
        <v>0</v>
      </c>
      <c r="D51" s="7">
        <f>SUMIFS(CurrentMonthTransactionData!$R:$R,CurrentMonthTransactionData!$H:$H,""&amp;D$35&amp;"",CurrentMonthTransactionData!$AK:$AK,""&amp;$A51&amp;"",CurrentMonthTransactionData!$AP:$AP,"Y")</f>
        <v>0</v>
      </c>
      <c r="E51" s="89"/>
      <c r="F51" s="89"/>
      <c r="G51" s="89"/>
      <c r="H51" s="89"/>
      <c r="I51" s="89"/>
      <c r="J51" s="89"/>
      <c r="K51" s="89"/>
      <c r="L51" s="89"/>
      <c r="M51" s="89"/>
      <c r="N51" s="89"/>
      <c r="O51" s="89"/>
      <c r="P51" s="89"/>
      <c r="Q51" s="89"/>
      <c r="R51" s="2">
        <f t="shared" si="0"/>
        <v>0</v>
      </c>
      <c r="T51" s="7"/>
    </row>
    <row r="52" spans="1:20" ht="30" x14ac:dyDescent="0.25">
      <c r="A52" s="143" t="s">
        <v>393</v>
      </c>
      <c r="B52" s="94" t="s">
        <v>189</v>
      </c>
      <c r="C52" s="7">
        <f>SUMIFS(CurrentMonthTransactionData!$R:$R,CurrentMonthTransactionData!$H:$H,""&amp;C$35&amp;"",CurrentMonthTransactionData!$AK:$AK,""&amp;$A52&amp;"",CurrentMonthTransactionData!$AP:$AP,"Y")</f>
        <v>0</v>
      </c>
      <c r="D52" s="7">
        <f>SUMIFS(CurrentMonthTransactionData!$R:$R,CurrentMonthTransactionData!$H:$H,""&amp;D$35&amp;"",CurrentMonthTransactionData!$AK:$AK,""&amp;$A52&amp;"",CurrentMonthTransactionData!$AP:$AP,"Y")</f>
        <v>0</v>
      </c>
      <c r="E52" s="89"/>
      <c r="F52" s="89"/>
      <c r="G52" s="89"/>
      <c r="H52" s="89"/>
      <c r="I52" s="89"/>
      <c r="J52" s="89"/>
      <c r="K52" s="89"/>
      <c r="L52" s="89"/>
      <c r="M52" s="89"/>
      <c r="N52" s="89"/>
      <c r="O52" s="89"/>
      <c r="P52" s="89"/>
      <c r="Q52" s="89"/>
      <c r="R52" s="2">
        <f t="shared" si="0"/>
        <v>0</v>
      </c>
      <c r="T52" s="7"/>
    </row>
    <row r="53" spans="1:20" x14ac:dyDescent="0.25">
      <c r="A53" s="143" t="s">
        <v>396</v>
      </c>
      <c r="B53" t="s">
        <v>194</v>
      </c>
      <c r="C53" s="7">
        <f>SUMIFS(CurrentMonthTransactionData!$R:$R,CurrentMonthTransactionData!$H:$H,""&amp;C$35&amp;"",CurrentMonthTransactionData!$AK:$AK,""&amp;$A53&amp;"",CurrentMonthTransactionData!$AP:$AP,"Y")</f>
        <v>0</v>
      </c>
      <c r="D53" s="7">
        <f>SUMIFS(CurrentMonthTransactionData!$R:$R,CurrentMonthTransactionData!$H:$H,""&amp;D$35&amp;"",CurrentMonthTransactionData!$AK:$AK,""&amp;$A53&amp;"",CurrentMonthTransactionData!$AP:$AP,"Y")</f>
        <v>0</v>
      </c>
      <c r="E53" s="89"/>
      <c r="F53" s="89"/>
      <c r="G53" s="89"/>
      <c r="H53" s="89"/>
      <c r="I53" s="89"/>
      <c r="J53" s="89"/>
      <c r="K53" s="89"/>
      <c r="L53" s="89"/>
      <c r="M53" s="89"/>
      <c r="N53" s="89"/>
      <c r="O53" s="89"/>
      <c r="P53" s="89"/>
      <c r="Q53" s="89"/>
      <c r="R53" s="2">
        <f t="shared" si="0"/>
        <v>0</v>
      </c>
      <c r="T53" s="7"/>
    </row>
    <row r="54" spans="1:20" x14ac:dyDescent="0.25">
      <c r="A54" s="143" t="s">
        <v>398</v>
      </c>
      <c r="B54" s="94" t="s">
        <v>247</v>
      </c>
      <c r="C54" s="2">
        <f>SUMIFS(CurrentMonthTransactionData!$R:$R,CurrentMonthTransactionData!$H:$H,""&amp;C$35&amp;"",CurrentMonthTransactionData!$AK:$AK,""&amp;$A54&amp;"",CurrentMonthTransactionData!$AP:$AP,"Y")</f>
        <v>0</v>
      </c>
      <c r="D54" s="2">
        <f>SUMIFS(CurrentMonthTransactionData!$R:$R,CurrentMonthTransactionData!$H:$H,""&amp;D$35&amp;"",CurrentMonthTransactionData!$AK:$AK,""&amp;$A54&amp;"",CurrentMonthTransactionData!$AP:$AP,"Y")</f>
        <v>0</v>
      </c>
      <c r="E54" s="89"/>
      <c r="F54" s="89"/>
      <c r="G54" s="89"/>
      <c r="H54" s="89"/>
      <c r="I54" s="89"/>
      <c r="J54" s="89"/>
      <c r="K54" s="89"/>
      <c r="L54" s="89"/>
      <c r="M54" s="89"/>
      <c r="N54" s="89"/>
      <c r="O54" s="89"/>
      <c r="P54" s="89"/>
      <c r="Q54" s="89"/>
      <c r="R54" s="2">
        <f t="shared" si="0"/>
        <v>0</v>
      </c>
      <c r="T54" s="7"/>
    </row>
    <row r="55" spans="1:20" x14ac:dyDescent="0.25">
      <c r="A55" s="143" t="s">
        <v>395</v>
      </c>
      <c r="B55" t="s">
        <v>195</v>
      </c>
      <c r="C55" s="89">
        <f>SUMIFS(CurrentMonthTransactionData!$R:$R,CurrentMonthTransactionData!$H:$H,""&amp;C$35&amp;"",CurrentMonthTransactionData!$AK:$AK,""&amp;$A55&amp;"",CurrentMonthTransactionData!$AP:$AP,"Y")</f>
        <v>0</v>
      </c>
      <c r="D55" s="2">
        <f>SUMIFS(CurrentMonthTransactionData!$R:$R,CurrentMonthTransactionData!$H:$H,""&amp;D$35&amp;"",CurrentMonthTransactionData!$AK:$AK,""&amp;$A55&amp;"",CurrentMonthTransactionData!$AP:$AP,"Y")</f>
        <v>0</v>
      </c>
      <c r="E55" s="89"/>
      <c r="F55" s="89"/>
      <c r="G55" s="89"/>
      <c r="H55" s="89"/>
      <c r="I55" s="89"/>
      <c r="J55" s="89"/>
      <c r="K55" s="89"/>
      <c r="L55" s="89"/>
      <c r="M55" s="89"/>
      <c r="N55" s="89"/>
      <c r="O55" s="89"/>
      <c r="P55" s="89"/>
      <c r="Q55" s="89"/>
      <c r="R55" s="2">
        <f t="shared" si="0"/>
        <v>0</v>
      </c>
      <c r="T55" s="7"/>
    </row>
    <row r="56" spans="1:20" x14ac:dyDescent="0.25">
      <c r="A56" s="143" t="s">
        <v>383</v>
      </c>
      <c r="B56" s="94" t="s">
        <v>272</v>
      </c>
      <c r="C56" s="7">
        <f>SUMIFS(CurrentMonthTransactionData!$R:$R,CurrentMonthTransactionData!$H:$H,""&amp;C$35&amp;"",CurrentMonthTransactionData!$AK:$AK,""&amp;$A56&amp;"",CurrentMonthTransactionData!$AP:$AP,"Y")</f>
        <v>0</v>
      </c>
      <c r="D56" s="7">
        <f>SUMIFS(CurrentMonthTransactionData!$R:$R,CurrentMonthTransactionData!$H:$H,""&amp;D$35&amp;"",CurrentMonthTransactionData!$AK:$AK,""&amp;$A56&amp;"",CurrentMonthTransactionData!$AP:$AP,"Y")</f>
        <v>0</v>
      </c>
      <c r="E56" s="89"/>
      <c r="F56" s="89"/>
      <c r="G56" s="89"/>
      <c r="H56" s="89"/>
      <c r="I56" s="89"/>
      <c r="J56" s="89"/>
      <c r="K56" s="89"/>
      <c r="L56" s="89"/>
      <c r="M56" s="89"/>
      <c r="N56" s="89"/>
      <c r="O56" s="89"/>
      <c r="P56" s="89"/>
      <c r="Q56" s="89"/>
      <c r="R56" s="2">
        <f t="shared" si="0"/>
        <v>0</v>
      </c>
      <c r="T56" s="7"/>
    </row>
    <row r="57" spans="1:20" x14ac:dyDescent="0.25">
      <c r="A57" s="143" t="s">
        <v>394</v>
      </c>
      <c r="B57" t="s">
        <v>196</v>
      </c>
      <c r="C57" s="7">
        <f>SUMIFS(CurrentMonthTransactionData!$R:$R,CurrentMonthTransactionData!$H:$H,""&amp;C$35&amp;"",CurrentMonthTransactionData!$AK:$AK,""&amp;$A57&amp;"",CurrentMonthTransactionData!$AP:$AP,"Y")</f>
        <v>0</v>
      </c>
      <c r="D57" s="7">
        <f>SUMIFS(CurrentMonthTransactionData!$R:$R,CurrentMonthTransactionData!$H:$H,""&amp;D$35&amp;"",CurrentMonthTransactionData!$AK:$AK,""&amp;$A57&amp;"",CurrentMonthTransactionData!$AP:$AP,"Y")</f>
        <v>0</v>
      </c>
      <c r="E57" s="89"/>
      <c r="F57" s="89"/>
      <c r="G57" s="89"/>
      <c r="H57" s="89"/>
      <c r="I57" s="89"/>
      <c r="J57" s="89"/>
      <c r="K57" s="89"/>
      <c r="L57" s="89"/>
      <c r="M57" s="89"/>
      <c r="N57" s="89"/>
      <c r="O57" s="89"/>
      <c r="P57" s="89"/>
      <c r="Q57" s="89"/>
      <c r="R57" s="2">
        <f t="shared" si="0"/>
        <v>0</v>
      </c>
      <c r="T57" s="7"/>
    </row>
    <row r="58" spans="1:20" ht="45" x14ac:dyDescent="0.25">
      <c r="A58" s="143" t="s">
        <v>388</v>
      </c>
      <c r="B58" s="94" t="s">
        <v>197</v>
      </c>
      <c r="C58" s="89">
        <f>SUMIFS(CurrentMonthTransactionData!$R:$R,CurrentMonthTransactionData!$H:$H,""&amp;C$35&amp;"",CurrentMonthTransactionData!$AK:$AK,""&amp;$A58&amp;"",CurrentMonthTransactionData!$AP:$AP,"Y")</f>
        <v>0</v>
      </c>
      <c r="D58" s="2">
        <f>SUMIFS(CurrentMonthTransactionData!$R:$R,CurrentMonthTransactionData!$H:$H,""&amp;D$35&amp;"",CurrentMonthTransactionData!$AK:$AK,""&amp;$A58&amp;"",CurrentMonthTransactionData!$AP:$AP,"Y")</f>
        <v>0</v>
      </c>
      <c r="E58" s="89"/>
      <c r="F58" s="89"/>
      <c r="G58" s="89"/>
      <c r="H58" s="89"/>
      <c r="I58" s="89"/>
      <c r="J58" s="89"/>
      <c r="K58" s="89"/>
      <c r="L58" s="89"/>
      <c r="M58" s="89"/>
      <c r="N58" s="89"/>
      <c r="O58" s="89"/>
      <c r="P58" s="89"/>
      <c r="Q58" s="89"/>
      <c r="R58" s="2">
        <f t="shared" si="0"/>
        <v>0</v>
      </c>
      <c r="T58" s="7"/>
    </row>
    <row r="59" spans="1:20" ht="30" x14ac:dyDescent="0.25">
      <c r="A59" s="143" t="s">
        <v>389</v>
      </c>
      <c r="B59" s="94" t="s">
        <v>198</v>
      </c>
      <c r="C59" s="2">
        <f>SUMIFS(CurrentMonthTransactionData!$R:$R,CurrentMonthTransactionData!$H:$H,""&amp;C$35&amp;"",CurrentMonthTransactionData!$AK:$AK,""&amp;$A59&amp;"",CurrentMonthTransactionData!$AP:$AP,"Y")</f>
        <v>0</v>
      </c>
      <c r="D59" s="2">
        <f>SUMIFS(CurrentMonthTransactionData!$R:$R,CurrentMonthTransactionData!$H:$H,""&amp;D$35&amp;"",CurrentMonthTransactionData!$AK:$AK,""&amp;$A59&amp;"",CurrentMonthTransactionData!$AP:$AP,"Y")</f>
        <v>0</v>
      </c>
      <c r="E59" s="89"/>
      <c r="F59" s="89"/>
      <c r="G59" s="89"/>
      <c r="H59" s="89"/>
      <c r="I59" s="89"/>
      <c r="J59" s="89"/>
      <c r="K59" s="89"/>
      <c r="L59" s="89"/>
      <c r="M59" s="89"/>
      <c r="N59" s="89"/>
      <c r="O59" s="89"/>
      <c r="P59" s="89"/>
      <c r="Q59" s="89"/>
      <c r="R59" s="2">
        <f t="shared" si="0"/>
        <v>0</v>
      </c>
      <c r="T59" s="7"/>
    </row>
    <row r="60" spans="1:20" ht="30" x14ac:dyDescent="0.25">
      <c r="A60" s="143" t="s">
        <v>386</v>
      </c>
      <c r="B60" s="94" t="s">
        <v>204</v>
      </c>
      <c r="C60" s="7">
        <f>SUMIFS(CurrentMonthTransactionData!$R:$R,CurrentMonthTransactionData!$H:$H,""&amp;C$35&amp;"",CurrentMonthTransactionData!$AK:$AK,""&amp;$A60&amp;"",CurrentMonthTransactionData!$AP:$AP,"Y")</f>
        <v>0</v>
      </c>
      <c r="D60" s="7">
        <f>SUMIFS(CurrentMonthTransactionData!$R:$R,CurrentMonthTransactionData!$H:$H,""&amp;D$35&amp;"",CurrentMonthTransactionData!$AK:$AK,""&amp;$A60&amp;"",CurrentMonthTransactionData!$AP:$AP,"Y")</f>
        <v>0</v>
      </c>
      <c r="E60" s="89"/>
      <c r="F60" s="89"/>
      <c r="G60" s="89"/>
      <c r="H60" s="89"/>
      <c r="I60" s="89"/>
      <c r="J60" s="89"/>
      <c r="K60" s="89"/>
      <c r="L60" s="89"/>
      <c r="M60" s="89"/>
      <c r="N60" s="89"/>
      <c r="O60" s="89"/>
      <c r="P60" s="89"/>
      <c r="Q60" s="89"/>
      <c r="R60" s="2">
        <f t="shared" si="0"/>
        <v>0</v>
      </c>
      <c r="T60" s="7"/>
    </row>
    <row r="61" spans="1:20" ht="30" x14ac:dyDescent="0.25">
      <c r="A61" s="143" t="s">
        <v>391</v>
      </c>
      <c r="B61" s="94" t="s">
        <v>199</v>
      </c>
      <c r="C61" s="2">
        <f>SUMIFS(CurrentMonthTransactionData!$R:$R,CurrentMonthTransactionData!$H:$H,""&amp;C$35&amp;"",CurrentMonthTransactionData!$AK:$AK,""&amp;$A61&amp;"",CurrentMonthTransactionData!$AP:$AP,"Y")</f>
        <v>0</v>
      </c>
      <c r="D61" s="2">
        <f>SUMIFS(CurrentMonthTransactionData!$R:$R,CurrentMonthTransactionData!$H:$H,""&amp;D$35&amp;"",CurrentMonthTransactionData!$AK:$AK,""&amp;$A61&amp;"",CurrentMonthTransactionData!$AP:$AP,"Y")</f>
        <v>0</v>
      </c>
      <c r="E61" s="89"/>
      <c r="F61" s="89"/>
      <c r="G61" s="89"/>
      <c r="H61" s="89"/>
      <c r="I61" s="89"/>
      <c r="J61" s="89"/>
      <c r="K61" s="89"/>
      <c r="L61" s="89"/>
      <c r="M61" s="89"/>
      <c r="N61" s="89"/>
      <c r="O61" s="89"/>
      <c r="P61" s="89"/>
      <c r="Q61" s="89"/>
      <c r="R61" s="2">
        <f t="shared" si="0"/>
        <v>0</v>
      </c>
      <c r="T61" s="7"/>
    </row>
    <row r="62" spans="1:20" ht="30" x14ac:dyDescent="0.25">
      <c r="A62" s="143" t="s">
        <v>392</v>
      </c>
      <c r="B62" s="94" t="s">
        <v>200</v>
      </c>
      <c r="C62" s="2">
        <f>SUMIFS(CurrentMonthTransactionData!$R:$R,CurrentMonthTransactionData!$H:$H,""&amp;C$35&amp;"",CurrentMonthTransactionData!$AK:$AK,""&amp;$A62&amp;"",CurrentMonthTransactionData!$AP:$AP,"Y")</f>
        <v>0</v>
      </c>
      <c r="D62" s="2">
        <f>SUMIFS(CurrentMonthTransactionData!$R:$R,CurrentMonthTransactionData!$H:$H,""&amp;D$35&amp;"",CurrentMonthTransactionData!$AK:$AK,""&amp;$A62&amp;"",CurrentMonthTransactionData!$AP:$AP,"Y")</f>
        <v>0</v>
      </c>
      <c r="E62" s="89"/>
      <c r="F62" s="89"/>
      <c r="G62" s="89"/>
      <c r="H62" s="89"/>
      <c r="I62" s="89"/>
      <c r="J62" s="89"/>
      <c r="K62" s="89"/>
      <c r="L62" s="89"/>
      <c r="M62" s="89"/>
      <c r="N62" s="89"/>
      <c r="O62" s="89"/>
      <c r="P62" s="89"/>
      <c r="Q62" s="89"/>
      <c r="R62" s="2">
        <f t="shared" si="0"/>
        <v>0</v>
      </c>
      <c r="T62" s="7"/>
    </row>
    <row r="63" spans="1:20" ht="30" x14ac:dyDescent="0.25">
      <c r="A63" s="143" t="s">
        <v>387</v>
      </c>
      <c r="B63" s="94" t="s">
        <v>202</v>
      </c>
      <c r="C63" s="2">
        <f>SUMIFS(CurrentMonthTransactionData!$R:$R,CurrentMonthTransactionData!$H:$H,""&amp;C$35&amp;"",CurrentMonthTransactionData!$AK:$AK,""&amp;$A63&amp;"",CurrentMonthTransactionData!$AP:$AP,"Y")</f>
        <v>0</v>
      </c>
      <c r="D63" s="2">
        <f>SUMIFS(CurrentMonthTransactionData!$R:$R,CurrentMonthTransactionData!$H:$H,""&amp;D$35&amp;"",CurrentMonthTransactionData!$AK:$AK,""&amp;$A63&amp;"",CurrentMonthTransactionData!$AP:$AP,"Y")</f>
        <v>0</v>
      </c>
      <c r="E63" s="89"/>
      <c r="F63" s="89"/>
      <c r="G63" s="89"/>
      <c r="H63" s="89"/>
      <c r="I63" s="89"/>
      <c r="J63" s="89"/>
      <c r="K63" s="89"/>
      <c r="L63" s="89"/>
      <c r="M63" s="89"/>
      <c r="N63" s="89"/>
      <c r="O63" s="89"/>
      <c r="P63" s="89"/>
      <c r="Q63" s="89"/>
      <c r="R63" s="2">
        <f t="shared" si="0"/>
        <v>0</v>
      </c>
      <c r="T63" s="7"/>
    </row>
    <row r="64" spans="1:20" ht="60" x14ac:dyDescent="0.25">
      <c r="A64" s="143" t="s">
        <v>390</v>
      </c>
      <c r="B64" s="94" t="s">
        <v>203</v>
      </c>
      <c r="C64" s="89">
        <f>SUMIFS(CurrentMonthTransactionData!$R:$R,CurrentMonthTransactionData!$H:$H,""&amp;C$35&amp;"",CurrentMonthTransactionData!$AK:$AK,""&amp;$A64&amp;"",CurrentMonthTransactionData!$AP:$AP,"Y")</f>
        <v>0</v>
      </c>
      <c r="D64" s="89">
        <f>SUMIFS(CurrentMonthTransactionData!$R:$R,CurrentMonthTransactionData!$H:$H,""&amp;D$35&amp;"",CurrentMonthTransactionData!$AK:$AK,""&amp;$A64&amp;"",CurrentMonthTransactionData!$AP:$AP,"Y")</f>
        <v>0</v>
      </c>
      <c r="E64" s="89"/>
      <c r="F64" s="89"/>
      <c r="G64" s="89"/>
      <c r="H64" s="89"/>
      <c r="I64" s="89"/>
      <c r="J64" s="89"/>
      <c r="K64" s="89"/>
      <c r="L64" s="89"/>
      <c r="M64" s="89"/>
      <c r="N64" s="89"/>
      <c r="O64" s="89"/>
      <c r="P64" s="89"/>
      <c r="Q64" s="89"/>
      <c r="R64" s="2">
        <f t="shared" si="0"/>
        <v>0</v>
      </c>
      <c r="T64" s="7"/>
    </row>
    <row r="65" spans="1:20" x14ac:dyDescent="0.25">
      <c r="A65" t="s">
        <v>254</v>
      </c>
      <c r="B65" s="94" t="s">
        <v>254</v>
      </c>
      <c r="C65" s="2">
        <f>SUMIFS(CurrentMonthTransactionData!$R:$R,CurrentMonthTransactionData!$H:$H,""&amp;C$35&amp;"",CurrentMonthTransactionData!$AK:$AK,""&amp;$A65&amp;"",CurrentMonthTransactionData!$AP:$AP,"Y")</f>
        <v>0</v>
      </c>
      <c r="D65" s="2">
        <f>SUMIFS(CurrentMonthTransactionData!$R:$R,CurrentMonthTransactionData!$H:$H,""&amp;D$35&amp;"",CurrentMonthTransactionData!$AK:$AK,""&amp;$A65&amp;"",CurrentMonthTransactionData!$AP:$AP,"Y")</f>
        <v>0</v>
      </c>
      <c r="E65" s="89"/>
      <c r="F65" s="89"/>
      <c r="G65" s="89"/>
      <c r="H65" s="89"/>
      <c r="I65" s="89"/>
      <c r="J65" s="89"/>
      <c r="K65" s="89"/>
      <c r="L65" s="89"/>
      <c r="M65" s="89"/>
      <c r="N65" s="89"/>
      <c r="O65" s="89"/>
      <c r="P65" s="89"/>
      <c r="Q65" s="89"/>
      <c r="R65" s="2">
        <f t="shared" si="0"/>
        <v>0</v>
      </c>
      <c r="T65" s="7"/>
    </row>
    <row r="66" spans="1:20" x14ac:dyDescent="0.25">
      <c r="A66" t="s">
        <v>255</v>
      </c>
      <c r="B66" s="94" t="s">
        <v>255</v>
      </c>
      <c r="C66" s="2">
        <f>SUMIFS(CurrentMonthTransactionData!$R:$R,CurrentMonthTransactionData!$H:$H,""&amp;C$35&amp;"",CurrentMonthTransactionData!$AK:$AK,""&amp;$A66&amp;"",CurrentMonthTransactionData!$AP:$AP,"Y")</f>
        <v>0</v>
      </c>
      <c r="D66" s="2">
        <f>SUMIFS(CurrentMonthTransactionData!$R:$R,CurrentMonthTransactionData!$H:$H,""&amp;D$35&amp;"",CurrentMonthTransactionData!$AK:$AK,""&amp;$A66&amp;"",CurrentMonthTransactionData!$AP:$AP,"Y")</f>
        <v>0</v>
      </c>
      <c r="E66" s="89"/>
      <c r="F66" s="89"/>
      <c r="G66" s="89"/>
      <c r="H66" s="89"/>
      <c r="I66" s="89"/>
      <c r="J66" s="89"/>
      <c r="K66" s="89"/>
      <c r="L66" s="89"/>
      <c r="M66" s="89"/>
      <c r="N66" s="89"/>
      <c r="O66" s="89"/>
      <c r="P66" s="89"/>
      <c r="Q66" s="89"/>
      <c r="R66" s="2">
        <f t="shared" si="0"/>
        <v>0</v>
      </c>
      <c r="T66" s="7"/>
    </row>
    <row r="67" spans="1:20" x14ac:dyDescent="0.25">
      <c r="A67" t="s">
        <v>256</v>
      </c>
      <c r="B67" s="94" t="s">
        <v>256</v>
      </c>
      <c r="C67" s="7">
        <f>SUMIFS(CurrentMonthTransactionData!$R:$R,CurrentMonthTransactionData!$H:$H,""&amp;C$35&amp;"",CurrentMonthTransactionData!$AK:$AK,""&amp;$A67&amp;"",CurrentMonthTransactionData!$AP:$AP,"Y")</f>
        <v>0</v>
      </c>
      <c r="D67" s="7">
        <f>SUMIFS(CurrentMonthTransactionData!$R:$R,CurrentMonthTransactionData!$H:$H,""&amp;D$35&amp;"",CurrentMonthTransactionData!$AK:$AK,""&amp;$A67&amp;"",CurrentMonthTransactionData!$AP:$AP,"Y")</f>
        <v>0</v>
      </c>
      <c r="E67" s="89"/>
      <c r="F67" s="89"/>
      <c r="G67" s="89"/>
      <c r="H67" s="89"/>
      <c r="I67" s="89"/>
      <c r="J67" s="89"/>
      <c r="K67" s="89"/>
      <c r="L67" s="89"/>
      <c r="M67" s="89"/>
      <c r="N67" s="89"/>
      <c r="O67" s="89"/>
      <c r="P67" s="89"/>
      <c r="Q67" s="89"/>
      <c r="R67" s="2">
        <f t="shared" si="0"/>
        <v>0</v>
      </c>
      <c r="T67" s="7"/>
    </row>
    <row r="68" spans="1:20" x14ac:dyDescent="0.25">
      <c r="B68" s="94"/>
      <c r="C68" s="2">
        <f>SUMIFS(CurrentMonthTransactionData!$R:$R,CurrentMonthTransactionData!$H:$H,""&amp;C$35&amp;"",CurrentMonthTransactionData!$AK:$AK,""&amp;$A68&amp;"",CurrentMonthTransactionData!$AP:$AP,"Y")</f>
        <v>0</v>
      </c>
      <c r="D68" s="2">
        <f>SUMIFS(CurrentMonthTransactionData!$R:$R,CurrentMonthTransactionData!$H:$H,""&amp;D$35&amp;"",CurrentMonthTransactionData!$AK:$AK,""&amp;$A68&amp;"",CurrentMonthTransactionData!$AP:$AP,"Y")</f>
        <v>0</v>
      </c>
      <c r="E68" s="89"/>
      <c r="F68" s="89"/>
      <c r="G68" s="89"/>
      <c r="H68" s="89"/>
      <c r="I68" s="89"/>
      <c r="J68" s="89"/>
      <c r="K68" s="89"/>
      <c r="L68" s="89"/>
      <c r="M68" s="89"/>
      <c r="N68" s="89"/>
      <c r="O68" s="89"/>
      <c r="P68" s="89"/>
      <c r="Q68" s="89"/>
      <c r="R68" s="2">
        <f t="shared" si="0"/>
        <v>0</v>
      </c>
      <c r="T68" s="7"/>
    </row>
    <row r="69" spans="1:20" ht="15.75" thickBot="1" x14ac:dyDescent="0.3">
      <c r="C69" s="69">
        <f>SUM(C38:C68)</f>
        <v>0</v>
      </c>
      <c r="D69" s="69">
        <f>SUM(D38:D68)</f>
        <v>0</v>
      </c>
      <c r="E69" s="69">
        <f t="shared" ref="E69:Q69" si="1">SUM(E38:E65)</f>
        <v>0</v>
      </c>
      <c r="F69" s="69">
        <f t="shared" si="1"/>
        <v>0</v>
      </c>
      <c r="G69" s="69">
        <f t="shared" si="1"/>
        <v>0</v>
      </c>
      <c r="H69" s="69">
        <f t="shared" si="1"/>
        <v>0</v>
      </c>
      <c r="I69" s="69">
        <f t="shared" si="1"/>
        <v>0</v>
      </c>
      <c r="J69" s="69">
        <f t="shared" si="1"/>
        <v>0</v>
      </c>
      <c r="K69" s="69">
        <f t="shared" si="1"/>
        <v>0</v>
      </c>
      <c r="L69" s="69">
        <f t="shared" si="1"/>
        <v>0</v>
      </c>
      <c r="M69" s="69">
        <f t="shared" si="1"/>
        <v>0</v>
      </c>
      <c r="N69" s="69">
        <f t="shared" si="1"/>
        <v>0</v>
      </c>
      <c r="O69" s="69">
        <f t="shared" si="1"/>
        <v>0</v>
      </c>
      <c r="P69" s="69">
        <f t="shared" si="1"/>
        <v>0</v>
      </c>
      <c r="Q69" s="69">
        <f t="shared" si="1"/>
        <v>0</v>
      </c>
      <c r="R69" s="69">
        <f>SUM(R38:R68)</f>
        <v>0</v>
      </c>
      <c r="T69" s="7"/>
    </row>
    <row r="70" spans="1:20" x14ac:dyDescent="0.25">
      <c r="C70" s="132"/>
      <c r="D70" s="132"/>
      <c r="E70" s="132"/>
      <c r="F70" s="132"/>
      <c r="G70" s="132"/>
      <c r="H70" s="132"/>
      <c r="I70" s="132"/>
      <c r="J70" s="132"/>
      <c r="K70" s="132"/>
      <c r="L70" s="132"/>
      <c r="M70" s="132"/>
      <c r="N70" s="132"/>
      <c r="O70" s="132"/>
      <c r="P70" s="132"/>
      <c r="Q70" s="132"/>
      <c r="R70" s="132"/>
    </row>
    <row r="71" spans="1:20" x14ac:dyDescent="0.25">
      <c r="C71" s="7"/>
      <c r="D71" s="7"/>
      <c r="E71" s="7"/>
      <c r="F71" s="7"/>
      <c r="G71" s="7"/>
      <c r="H71" s="7"/>
      <c r="I71" s="7"/>
      <c r="J71" s="7"/>
      <c r="K71" s="7"/>
      <c r="L71" s="7"/>
      <c r="M71" s="7"/>
      <c r="N71" s="7"/>
      <c r="O71" s="7"/>
      <c r="P71" s="7"/>
      <c r="Q71" s="7"/>
      <c r="R71" s="7"/>
    </row>
  </sheetData>
  <mergeCells count="5">
    <mergeCell ref="B1:N1"/>
    <mergeCell ref="B2:N2"/>
    <mergeCell ref="B3:N3"/>
    <mergeCell ref="B5:R5"/>
    <mergeCell ref="C36:R36"/>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tabColor theme="9"/>
    <pageSetUpPr fitToPage="1"/>
  </sheetPr>
  <dimension ref="A1:L27"/>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 min="9" max="9" width="23.5703125" bestFit="1" customWidth="1"/>
    <col min="10" max="10" width="12.85546875" bestFit="1" customWidth="1"/>
    <col min="11" max="12" width="9.5703125" bestFit="1" customWidth="1"/>
  </cols>
  <sheetData>
    <row r="1" spans="1:12" x14ac:dyDescent="0.25">
      <c r="B1" s="35"/>
      <c r="F1" s="64"/>
      <c r="G1" s="31"/>
    </row>
    <row r="2" spans="1:12" ht="15.75" thickBot="1" x14ac:dyDescent="0.3">
      <c r="B2" s="35"/>
      <c r="D2" s="44" t="s">
        <v>65</v>
      </c>
      <c r="E2" s="43" t="str">
        <f>'Reimbursement Rates &lt;-INPUT'!A2</f>
        <v>Amato PT</v>
      </c>
      <c r="G2" s="31"/>
    </row>
    <row r="3" spans="1:12" x14ac:dyDescent="0.25">
      <c r="B3" s="35"/>
      <c r="E3" s="35"/>
      <c r="G3" s="31"/>
    </row>
    <row r="4" spans="1:12" ht="15.75" thickBot="1" x14ac:dyDescent="0.3">
      <c r="B4" s="35"/>
      <c r="D4" s="44" t="s">
        <v>66</v>
      </c>
      <c r="E4" s="45">
        <f>'Agile AR Aging &lt;-INPUT'!C20</f>
        <v>45199</v>
      </c>
    </row>
    <row r="5" spans="1:12" x14ac:dyDescent="0.25">
      <c r="B5" s="35"/>
    </row>
    <row r="6" spans="1:12" ht="15.75" thickBot="1" x14ac:dyDescent="0.3">
      <c r="B6" s="35"/>
      <c r="D6" s="44" t="s">
        <v>67</v>
      </c>
      <c r="E6" s="114" t="s">
        <v>404</v>
      </c>
    </row>
    <row r="7" spans="1:12" ht="18" x14ac:dyDescent="0.25">
      <c r="A7" s="46" t="s">
        <v>68</v>
      </c>
      <c r="B7" s="35"/>
    </row>
    <row r="8" spans="1:12" ht="15.75" thickBot="1" x14ac:dyDescent="0.3">
      <c r="B8" s="35"/>
      <c r="D8" s="44" t="s">
        <v>69</v>
      </c>
      <c r="E8" s="104">
        <v>23332</v>
      </c>
    </row>
    <row r="9" spans="1:12" x14ac:dyDescent="0.25">
      <c r="B9" s="35"/>
      <c r="E9" t="s">
        <v>53</v>
      </c>
    </row>
    <row r="10" spans="1:12" x14ac:dyDescent="0.25">
      <c r="A10" s="48" t="s">
        <v>70</v>
      </c>
      <c r="B10" s="49" t="s">
        <v>71</v>
      </c>
      <c r="C10" s="49" t="s">
        <v>72</v>
      </c>
      <c r="D10" s="49" t="s">
        <v>73</v>
      </c>
      <c r="E10" s="49" t="s">
        <v>74</v>
      </c>
      <c r="F10" s="50"/>
    </row>
    <row r="11" spans="1:12" x14ac:dyDescent="0.25">
      <c r="A11" s="51"/>
      <c r="B11" s="52"/>
      <c r="C11" s="53"/>
      <c r="D11" s="54"/>
      <c r="E11" s="54"/>
      <c r="I11" s="101" t="s">
        <v>269</v>
      </c>
    </row>
    <row r="12" spans="1:12" x14ac:dyDescent="0.25">
      <c r="A12" s="51">
        <f>E4</f>
        <v>45199</v>
      </c>
      <c r="B12" s="52" t="s">
        <v>239</v>
      </c>
      <c r="C12" s="53" t="s">
        <v>252</v>
      </c>
      <c r="D12" s="88">
        <f>-'Creve Coeur'!L45</f>
        <v>3139.6000000000004</v>
      </c>
      <c r="E12" s="88"/>
      <c r="I12" s="2" t="s">
        <v>271</v>
      </c>
      <c r="J12" s="2" t="s">
        <v>239</v>
      </c>
      <c r="K12" s="2">
        <v>3139.5999999999995</v>
      </c>
      <c r="L12" s="2"/>
    </row>
    <row r="13" spans="1:12" x14ac:dyDescent="0.25">
      <c r="A13" s="51"/>
      <c r="B13" s="52" t="s">
        <v>243</v>
      </c>
      <c r="C13" s="53" t="s">
        <v>253</v>
      </c>
      <c r="D13" s="88">
        <f>-CWE!L45</f>
        <v>3410.3300000000008</v>
      </c>
      <c r="E13" s="88"/>
      <c r="I13" s="2" t="s">
        <v>271</v>
      </c>
      <c r="J13" s="2" t="s">
        <v>243</v>
      </c>
      <c r="K13" s="2">
        <v>3410.33</v>
      </c>
      <c r="L13" s="2"/>
    </row>
    <row r="14" spans="1:12" x14ac:dyDescent="0.25">
      <c r="A14" s="51"/>
      <c r="B14" s="52" t="s">
        <v>238</v>
      </c>
      <c r="C14" s="53" t="s">
        <v>221</v>
      </c>
      <c r="D14" s="88"/>
      <c r="E14" s="88">
        <f>D12+D13</f>
        <v>6549.9300000000012</v>
      </c>
      <c r="F14" s="149">
        <f>-E14-'Company Summary'!J66</f>
        <v>0</v>
      </c>
      <c r="I14" s="2" t="s">
        <v>271</v>
      </c>
      <c r="J14" s="2" t="s">
        <v>238</v>
      </c>
      <c r="K14" s="2"/>
      <c r="L14" s="2">
        <v>6549.9299999999994</v>
      </c>
    </row>
    <row r="15" spans="1:12" x14ac:dyDescent="0.25">
      <c r="A15" s="51"/>
      <c r="B15" s="52"/>
      <c r="C15" s="53"/>
      <c r="D15" s="88"/>
      <c r="E15" s="88"/>
    </row>
    <row r="16" spans="1:12" x14ac:dyDescent="0.25">
      <c r="A16" s="51"/>
      <c r="B16" s="52"/>
      <c r="C16" s="53"/>
      <c r="D16" s="54"/>
      <c r="E16" s="54"/>
      <c r="K16" s="7">
        <f>SUM(K12:K14)</f>
        <v>6549.9299999999994</v>
      </c>
      <c r="L16" s="7">
        <f>SUM(L12:L14)</f>
        <v>6549.9299999999994</v>
      </c>
    </row>
    <row r="17" spans="1:5" x14ac:dyDescent="0.25">
      <c r="A17" s="51"/>
      <c r="B17" s="52"/>
      <c r="C17" s="53"/>
      <c r="D17" s="54"/>
      <c r="E17" s="54"/>
    </row>
    <row r="18" spans="1:5" x14ac:dyDescent="0.25">
      <c r="A18" s="52"/>
      <c r="B18" s="52"/>
      <c r="C18" s="53"/>
      <c r="D18" s="54"/>
      <c r="E18" s="54"/>
    </row>
    <row r="19" spans="1:5" x14ac:dyDescent="0.25">
      <c r="B19" s="35"/>
      <c r="C19" s="57" t="s">
        <v>80</v>
      </c>
      <c r="D19" s="58">
        <f>SUM(D11:D18)</f>
        <v>6549.9300000000012</v>
      </c>
      <c r="E19" s="58">
        <f>SUM(E11:E18)</f>
        <v>6549.9300000000012</v>
      </c>
    </row>
    <row r="20" spans="1:5" x14ac:dyDescent="0.25">
      <c r="B20" s="35"/>
      <c r="E20" s="2">
        <f>E19-D19</f>
        <v>0</v>
      </c>
    </row>
    <row r="21" spans="1:5" x14ac:dyDescent="0.25">
      <c r="A21" s="44" t="s">
        <v>81</v>
      </c>
      <c r="B21" s="35"/>
    </row>
    <row r="22" spans="1:5" x14ac:dyDescent="0.25">
      <c r="B22" s="59"/>
      <c r="C22" s="15"/>
      <c r="D22" s="15"/>
    </row>
    <row r="23" spans="1:5" x14ac:dyDescent="0.25">
      <c r="B23" s="60"/>
      <c r="C23" s="61"/>
      <c r="D23" s="61"/>
    </row>
    <row r="24" spans="1:5" x14ac:dyDescent="0.25">
      <c r="B24" s="60"/>
      <c r="C24" s="61"/>
      <c r="D24" s="61"/>
    </row>
    <row r="25" spans="1:5" x14ac:dyDescent="0.25">
      <c r="B25" s="35"/>
    </row>
    <row r="26" spans="1:5" x14ac:dyDescent="0.25">
      <c r="A26" s="62" t="s">
        <v>82</v>
      </c>
      <c r="B26" s="63"/>
    </row>
    <row r="27" spans="1:5" x14ac:dyDescent="0.25">
      <c r="A27" s="65" t="s">
        <v>83</v>
      </c>
      <c r="B27" s="61"/>
    </row>
  </sheetData>
  <pageMargins left="0.7" right="0.7" top="0.75" bottom="0.75" header="0.3" footer="0.3"/>
  <pageSetup scale="88"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D631-0A77-4562-823F-6E2C7D031BD3}">
  <sheetPr codeName="Sheet27">
    <tabColor theme="9"/>
  </sheetPr>
  <dimension ref="A1:M26"/>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 min="6" max="6" width="15.28515625" bestFit="1" customWidth="1"/>
    <col min="7" max="8" width="10.140625" bestFit="1" customWidth="1"/>
    <col min="12" max="13" width="10.7109375" style="2" customWidth="1"/>
  </cols>
  <sheetData>
    <row r="1" spans="1:13" x14ac:dyDescent="0.25">
      <c r="B1" s="35"/>
      <c r="F1" s="64"/>
      <c r="H1" s="31"/>
    </row>
    <row r="2" spans="1:13" ht="15.75" thickBot="1" x14ac:dyDescent="0.3">
      <c r="B2" s="35"/>
      <c r="D2" s="44" t="s">
        <v>65</v>
      </c>
      <c r="E2" s="43" t="str">
        <f>'CC Rev Entry'!F2</f>
        <v>Amato PT</v>
      </c>
      <c r="H2" s="31"/>
    </row>
    <row r="3" spans="1:13" x14ac:dyDescent="0.25">
      <c r="B3" s="35"/>
      <c r="E3" s="35"/>
      <c r="H3" s="31"/>
    </row>
    <row r="4" spans="1:13" ht="15.75" thickBot="1" x14ac:dyDescent="0.3">
      <c r="B4" s="35"/>
      <c r="D4" s="44" t="s">
        <v>66</v>
      </c>
      <c r="E4" s="45">
        <f>'CC Rev Entry'!F4</f>
        <v>45199</v>
      </c>
    </row>
    <row r="5" spans="1:13" x14ac:dyDescent="0.25">
      <c r="B5" s="35"/>
    </row>
    <row r="6" spans="1:13" ht="15.75" thickBot="1" x14ac:dyDescent="0.3">
      <c r="B6" s="35"/>
      <c r="D6" s="44" t="s">
        <v>67</v>
      </c>
      <c r="E6" s="43" t="s">
        <v>150</v>
      </c>
    </row>
    <row r="7" spans="1:13" ht="18" x14ac:dyDescent="0.25">
      <c r="A7" s="46" t="s">
        <v>68</v>
      </c>
      <c r="B7" s="35"/>
    </row>
    <row r="8" spans="1:13" ht="15.75" thickBot="1" x14ac:dyDescent="0.3">
      <c r="B8" s="35"/>
      <c r="D8" s="44" t="s">
        <v>69</v>
      </c>
      <c r="E8" s="138" t="s">
        <v>406</v>
      </c>
      <c r="F8" t="s">
        <v>407</v>
      </c>
      <c r="G8" t="s">
        <v>405</v>
      </c>
    </row>
    <row r="9" spans="1:13" x14ac:dyDescent="0.25">
      <c r="B9" s="35"/>
      <c r="E9" t="s">
        <v>53</v>
      </c>
    </row>
    <row r="10" spans="1:13" x14ac:dyDescent="0.25">
      <c r="A10" s="48" t="s">
        <v>70</v>
      </c>
      <c r="B10" s="49" t="s">
        <v>71</v>
      </c>
      <c r="C10" s="49" t="s">
        <v>72</v>
      </c>
      <c r="D10" s="49" t="s">
        <v>73</v>
      </c>
      <c r="E10" s="49" t="s">
        <v>74</v>
      </c>
      <c r="F10" s="50"/>
      <c r="L10" s="49" t="s">
        <v>73</v>
      </c>
      <c r="M10" s="49" t="s">
        <v>74</v>
      </c>
    </row>
    <row r="11" spans="1:13" x14ac:dyDescent="0.25">
      <c r="A11" s="51"/>
      <c r="B11" s="52"/>
      <c r="C11" s="53"/>
      <c r="D11" s="54"/>
      <c r="E11" s="54"/>
    </row>
    <row r="12" spans="1:13" x14ac:dyDescent="0.25">
      <c r="A12" s="51">
        <f>E4</f>
        <v>45199</v>
      </c>
      <c r="B12" s="52" t="s">
        <v>45</v>
      </c>
      <c r="C12" s="53" t="s">
        <v>277</v>
      </c>
      <c r="D12" s="88">
        <f>SUM(E13:E14)</f>
        <v>0</v>
      </c>
      <c r="E12" s="88">
        <f>D13</f>
        <v>0</v>
      </c>
      <c r="H12" s="101" t="s">
        <v>269</v>
      </c>
      <c r="I12" s="101"/>
      <c r="J12" s="101"/>
      <c r="L12" s="2">
        <v>0</v>
      </c>
      <c r="M12" s="2">
        <v>0</v>
      </c>
    </row>
    <row r="13" spans="1:13" x14ac:dyDescent="0.25">
      <c r="A13" s="51"/>
      <c r="B13" s="52" t="s">
        <v>239</v>
      </c>
      <c r="C13" s="53" t="s">
        <v>267</v>
      </c>
      <c r="D13" s="88">
        <f>IF('RF by Location &lt;-INPUT'!E23+'RF by Location &lt;-INPUT'!F23+'RF by Location &lt;-INPUT'!G23&lt;0,-('RF by Location &lt;-INPUT'!E23+'RF by Location &lt;-INPUT'!F23+'RF by Location &lt;-INPUT'!G23),0)</f>
        <v>0</v>
      </c>
      <c r="E13" s="88">
        <f>IF('RF by Location &lt;-INPUT'!E23+'RF by Location &lt;-INPUT'!F23+'RF by Location &lt;-INPUT'!G23&gt;0,'RF by Location &lt;-INPUT'!E23+'RF by Location &lt;-INPUT'!F23+'RF by Location &lt;-INPUT'!G23,0)</f>
        <v>0</v>
      </c>
      <c r="G13" s="23" t="s">
        <v>270</v>
      </c>
      <c r="H13" t="s">
        <v>403</v>
      </c>
      <c r="L13" s="2">
        <v>0</v>
      </c>
      <c r="M13" s="2">
        <v>0</v>
      </c>
    </row>
    <row r="14" spans="1:13" x14ac:dyDescent="0.25">
      <c r="A14" s="51"/>
      <c r="B14" s="52" t="s">
        <v>243</v>
      </c>
      <c r="C14" s="53" t="s">
        <v>268</v>
      </c>
      <c r="D14" s="88">
        <f>IF('RF by Location &lt;-INPUT'!E22+'RF by Location &lt;-INPUT'!F22+'RF by Location &lt;-INPUT'!G22&lt;0,-('RF by Location &lt;-INPUT'!E22+'RF by Location &lt;-INPUT'!F22+'RF by Location &lt;-INPUT'!G22),0)</f>
        <v>0</v>
      </c>
      <c r="E14" s="88">
        <f>IF('RF by Location &lt;-INPUT'!E22+'RF by Location &lt;-INPUT'!F22+'RF by Location &lt;-INPUT'!G22&gt;0,'RF by Location &lt;-INPUT'!E22+'RF by Location &lt;-INPUT'!F22+'RF by Location &lt;-INPUT'!G22,0)</f>
        <v>0</v>
      </c>
      <c r="L14" s="2">
        <v>0</v>
      </c>
      <c r="M14" s="2">
        <v>0</v>
      </c>
    </row>
    <row r="15" spans="1:13" x14ac:dyDescent="0.25">
      <c r="A15" s="51"/>
      <c r="B15" s="52"/>
      <c r="C15" s="53"/>
      <c r="D15" s="54"/>
      <c r="E15" s="54"/>
    </row>
    <row r="16" spans="1:13" x14ac:dyDescent="0.25">
      <c r="A16" s="51"/>
      <c r="B16" s="52"/>
      <c r="C16" s="53"/>
      <c r="D16" s="54"/>
      <c r="E16" s="54"/>
    </row>
    <row r="17" spans="1:13" x14ac:dyDescent="0.25">
      <c r="A17" s="52"/>
      <c r="B17" s="52"/>
      <c r="C17" s="53"/>
      <c r="D17" s="54"/>
      <c r="E17" s="54"/>
    </row>
    <row r="18" spans="1:13" x14ac:dyDescent="0.25">
      <c r="B18" s="35"/>
      <c r="C18" s="57" t="s">
        <v>80</v>
      </c>
      <c r="D18" s="58">
        <f>SUM(D11:D17)</f>
        <v>0</v>
      </c>
      <c r="E18" s="58">
        <f>SUM(E11:E17)</f>
        <v>0</v>
      </c>
      <c r="L18" s="2">
        <f>SUM(L12:L17)</f>
        <v>0</v>
      </c>
      <c r="M18" s="2">
        <f>SUM(M12:M17)</f>
        <v>0</v>
      </c>
    </row>
    <row r="19" spans="1:13" x14ac:dyDescent="0.25">
      <c r="B19" s="35"/>
    </row>
    <row r="20" spans="1:13" x14ac:dyDescent="0.25">
      <c r="A20" s="44" t="s">
        <v>81</v>
      </c>
      <c r="B20" s="35"/>
    </row>
    <row r="21" spans="1:13" x14ac:dyDescent="0.25">
      <c r="B21" s="59"/>
      <c r="C21" s="15"/>
      <c r="D21" s="15"/>
    </row>
    <row r="22" spans="1:13" x14ac:dyDescent="0.25">
      <c r="B22" s="60"/>
      <c r="C22" s="61"/>
      <c r="D22" s="61"/>
    </row>
    <row r="23" spans="1:13" x14ac:dyDescent="0.25">
      <c r="B23" s="60"/>
      <c r="C23" s="61"/>
      <c r="D23" s="61"/>
    </row>
    <row r="24" spans="1:13" x14ac:dyDescent="0.25">
      <c r="B24" s="35"/>
    </row>
    <row r="25" spans="1:13" x14ac:dyDescent="0.25">
      <c r="A25" s="62" t="s">
        <v>82</v>
      </c>
      <c r="B25" s="63"/>
    </row>
    <row r="26" spans="1:13" x14ac:dyDescent="0.25">
      <c r="A26" s="65" t="s">
        <v>83</v>
      </c>
      <c r="B26" s="61"/>
    </row>
  </sheetData>
  <pageMargins left="0.7" right="0.7" top="0.75" bottom="0.75" header="0.3" footer="0.3"/>
  <pageSetup scale="88"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theme="9"/>
  </sheetPr>
  <dimension ref="A1:H25"/>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'CC Rev Entry'!F2</f>
        <v>Amato PT</v>
      </c>
      <c r="H2" s="31"/>
    </row>
    <row r="3" spans="1:8" x14ac:dyDescent="0.25">
      <c r="B3" s="35"/>
      <c r="E3" s="35"/>
      <c r="H3" s="31"/>
    </row>
    <row r="4" spans="1:8" ht="15.75" thickBot="1" x14ac:dyDescent="0.3">
      <c r="B4" s="35"/>
      <c r="D4" s="44" t="s">
        <v>66</v>
      </c>
      <c r="E4" s="45">
        <f>'CC Rev Entry'!F4</f>
        <v>45199</v>
      </c>
    </row>
    <row r="5" spans="1:8" x14ac:dyDescent="0.25">
      <c r="B5" s="35"/>
    </row>
    <row r="6" spans="1:8" ht="15.75" thickBot="1" x14ac:dyDescent="0.3">
      <c r="B6" s="35"/>
      <c r="D6" s="44" t="s">
        <v>67</v>
      </c>
      <c r="E6" s="43" t="s">
        <v>150</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111</v>
      </c>
      <c r="D12" s="88">
        <f>E13</f>
        <v>0</v>
      </c>
      <c r="E12" s="88">
        <f>D13</f>
        <v>0</v>
      </c>
    </row>
    <row r="13" spans="1:8" x14ac:dyDescent="0.25">
      <c r="A13" s="51"/>
      <c r="B13" s="52" t="s">
        <v>239</v>
      </c>
      <c r="C13" s="53" t="s">
        <v>112</v>
      </c>
      <c r="D13" s="88">
        <f>IF('RF by Location &lt;-INPUT'!E22+'RF by Location &lt;-INPUT'!F22+'RF by Location &lt;-INPUT'!G22&lt;0,-('RF by Location &lt;-INPUT'!E22+'RF by Location &lt;-INPUT'!F22+'RF by Location &lt;-INPUT'!G22),0)</f>
        <v>0</v>
      </c>
      <c r="E13" s="88">
        <f>IF('RF by Location &lt;-INPUT'!E22+'RF by Location &lt;-INPUT'!F22+'RF by Location &lt;-INPUT'!G22&gt;0,'RF by Location &lt;-INPUT'!E22+'RF by Location &lt;-INPUT'!F22+'RF by Location &lt;-INPUT'!G22,0)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5C215-38E0-4C3A-A68E-38824C179EE1}">
  <sheetPr codeName="Sheet59">
    <tabColor rgb="FF00B0F0"/>
  </sheetPr>
  <dimension ref="A1:P39"/>
  <sheetViews>
    <sheetView workbookViewId="0"/>
  </sheetViews>
  <sheetFormatPr defaultColWidth="9.140625" defaultRowHeight="15" x14ac:dyDescent="0.25"/>
  <cols>
    <col min="1" max="1" width="18.7109375" customWidth="1"/>
    <col min="2" max="2" width="22.7109375" customWidth="1"/>
    <col min="3" max="3" width="11.85546875" bestFit="1" customWidth="1"/>
    <col min="4" max="4" width="35.140625" bestFit="1" customWidth="1"/>
    <col min="5" max="5" width="15.7109375" customWidth="1"/>
    <col min="6" max="7" width="18.7109375" customWidth="1"/>
    <col min="10" max="10" width="29.42578125" bestFit="1" customWidth="1"/>
    <col min="11" max="11" width="12.85546875" bestFit="1" customWidth="1"/>
    <col min="12" max="13" width="11.5703125" bestFit="1" customWidth="1"/>
    <col min="14" max="14" width="10.5703125" style="2" bestFit="1" customWidth="1"/>
  </cols>
  <sheetData>
    <row r="1" spans="1:16" x14ac:dyDescent="0.25">
      <c r="E1" s="35"/>
      <c r="H1" s="64"/>
      <c r="I1" s="31"/>
    </row>
    <row r="2" spans="1:16" ht="15.75" thickBot="1" x14ac:dyDescent="0.3">
      <c r="E2" s="35"/>
      <c r="F2" s="44" t="s">
        <v>65</v>
      </c>
      <c r="G2" s="43" t="str">
        <f>'Reimbursement Rates &lt;-INPUT'!A2</f>
        <v>Amato PT</v>
      </c>
      <c r="I2" s="31"/>
    </row>
    <row r="3" spans="1:16" x14ac:dyDescent="0.25">
      <c r="E3" s="35"/>
      <c r="G3" s="35"/>
      <c r="I3" s="31"/>
    </row>
    <row r="4" spans="1:16" ht="15.75" thickBot="1" x14ac:dyDescent="0.3">
      <c r="E4" s="35"/>
      <c r="F4" s="44" t="s">
        <v>66</v>
      </c>
      <c r="G4" s="97">
        <f>'Agile AR Aging &lt;-INPUT'!C20</f>
        <v>45199</v>
      </c>
    </row>
    <row r="5" spans="1:16" x14ac:dyDescent="0.25">
      <c r="E5" s="35"/>
    </row>
    <row r="6" spans="1:16" ht="15.75" thickBot="1" x14ac:dyDescent="0.3">
      <c r="E6" s="35"/>
      <c r="F6" s="44" t="s">
        <v>67</v>
      </c>
      <c r="G6" s="43" t="s">
        <v>150</v>
      </c>
    </row>
    <row r="7" spans="1:16" ht="18" x14ac:dyDescent="0.25">
      <c r="A7" s="46" t="s">
        <v>68</v>
      </c>
      <c r="B7" s="46"/>
      <c r="C7" s="46"/>
      <c r="E7" s="35"/>
    </row>
    <row r="8" spans="1:16" ht="15.75" thickBot="1" x14ac:dyDescent="0.3">
      <c r="E8" s="35"/>
      <c r="F8" s="44" t="s">
        <v>69</v>
      </c>
      <c r="G8" s="145">
        <v>23182</v>
      </c>
    </row>
    <row r="9" spans="1:16" x14ac:dyDescent="0.25">
      <c r="E9" s="35"/>
      <c r="G9" t="s">
        <v>53</v>
      </c>
    </row>
    <row r="10" spans="1:16" x14ac:dyDescent="0.25">
      <c r="A10" s="48" t="s">
        <v>70</v>
      </c>
      <c r="B10" s="48" t="s">
        <v>222</v>
      </c>
      <c r="C10" s="48"/>
      <c r="D10" s="49" t="s">
        <v>72</v>
      </c>
      <c r="E10" s="49" t="s">
        <v>71</v>
      </c>
      <c r="F10" s="49" t="s">
        <v>73</v>
      </c>
      <c r="G10" s="49" t="s">
        <v>74</v>
      </c>
      <c r="H10" s="50"/>
    </row>
    <row r="11" spans="1:16" x14ac:dyDescent="0.25">
      <c r="A11" s="51"/>
      <c r="B11" s="51"/>
      <c r="C11" s="51"/>
      <c r="D11" s="53"/>
      <c r="E11" s="52"/>
      <c r="F11" s="54"/>
      <c r="G11" s="54"/>
      <c r="J11" s="101" t="s">
        <v>269</v>
      </c>
      <c r="L11" s="2"/>
      <c r="M11" s="2"/>
    </row>
    <row r="12" spans="1:16" x14ac:dyDescent="0.25">
      <c r="A12" s="51">
        <f>G4</f>
        <v>45199</v>
      </c>
      <c r="B12" s="53" t="s">
        <v>75</v>
      </c>
      <c r="C12" s="53" t="s">
        <v>264</v>
      </c>
      <c r="D12" s="133" t="s">
        <v>484</v>
      </c>
      <c r="E12" s="52" t="s">
        <v>239</v>
      </c>
      <c r="F12" s="88">
        <f>G13</f>
        <v>0</v>
      </c>
      <c r="G12" s="88">
        <f>F13</f>
        <v>0</v>
      </c>
      <c r="J12" s="2" t="s">
        <v>482</v>
      </c>
      <c r="K12" s="2" t="s">
        <v>241</v>
      </c>
      <c r="L12" s="2">
        <v>225</v>
      </c>
      <c r="M12" s="2">
        <v>0</v>
      </c>
    </row>
    <row r="13" spans="1:16" x14ac:dyDescent="0.25">
      <c r="A13" s="51"/>
      <c r="B13" s="53" t="s">
        <v>151</v>
      </c>
      <c r="C13" s="53" t="s">
        <v>264</v>
      </c>
      <c r="D13" s="53" t="str">
        <f>D12</f>
        <v>September Revenue</v>
      </c>
      <c r="E13" s="52" t="s">
        <v>240</v>
      </c>
      <c r="F13" s="88">
        <f>IF('RF by Location &lt;-INPUT'!C23&lt;0,-'RF by Location &lt;-INPUT'!C23,0)</f>
        <v>0</v>
      </c>
      <c r="G13" s="88">
        <f>IF('RF by Location &lt;-INPUT'!C23&gt;0,'RF by Location &lt;-INPUT'!C23,0)</f>
        <v>0</v>
      </c>
      <c r="J13" s="2" t="s">
        <v>481</v>
      </c>
      <c r="K13" s="2" t="s">
        <v>235</v>
      </c>
      <c r="L13" s="2">
        <v>0</v>
      </c>
      <c r="M13" s="2">
        <v>225</v>
      </c>
    </row>
    <row r="14" spans="1:16" x14ac:dyDescent="0.25">
      <c r="A14" s="51"/>
      <c r="B14" s="53" t="s">
        <v>76</v>
      </c>
      <c r="C14" s="53" t="s">
        <v>264</v>
      </c>
      <c r="D14" s="53" t="str">
        <f>CONCATENATE(D12,"- Reserve")</f>
        <v>September Revenue- Reserve</v>
      </c>
      <c r="E14" s="52" t="s">
        <v>241</v>
      </c>
      <c r="F14" s="88">
        <f>G15</f>
        <v>0</v>
      </c>
      <c r="G14" s="88">
        <f>F15</f>
        <v>0</v>
      </c>
      <c r="J14" s="2" t="s">
        <v>481</v>
      </c>
      <c r="K14" s="2" t="s">
        <v>234</v>
      </c>
      <c r="L14" s="2">
        <v>225</v>
      </c>
      <c r="M14" s="2">
        <v>0</v>
      </c>
      <c r="O14" s="24"/>
      <c r="P14" s="24"/>
    </row>
    <row r="15" spans="1:16" x14ac:dyDescent="0.25">
      <c r="A15" s="51"/>
      <c r="B15" s="53" t="s">
        <v>20</v>
      </c>
      <c r="C15" s="53" t="s">
        <v>264</v>
      </c>
      <c r="D15" s="53" t="str">
        <f>D12</f>
        <v>September Revenue</v>
      </c>
      <c r="E15" s="52" t="s">
        <v>235</v>
      </c>
      <c r="F15" s="88">
        <f>IF('Creve Coeur'!O169&lt;0,-'Creve Coeur'!O169,0)</f>
        <v>0</v>
      </c>
      <c r="G15" s="88">
        <f>IF('Creve Coeur'!O169&gt;0,'Creve Coeur'!O169,0)</f>
        <v>0</v>
      </c>
      <c r="J15" s="2" t="s">
        <v>481</v>
      </c>
      <c r="K15" s="2" t="s">
        <v>242</v>
      </c>
      <c r="L15" s="2">
        <v>0</v>
      </c>
      <c r="M15" s="2">
        <v>225</v>
      </c>
      <c r="O15" s="24"/>
      <c r="P15" s="24"/>
    </row>
    <row r="16" spans="1:16" x14ac:dyDescent="0.25">
      <c r="A16" s="51"/>
      <c r="B16" s="53" t="s">
        <v>77</v>
      </c>
      <c r="C16" s="53" t="s">
        <v>264</v>
      </c>
      <c r="D16" s="53" t="str">
        <f>D12</f>
        <v>September Revenue</v>
      </c>
      <c r="E16" s="52" t="s">
        <v>234</v>
      </c>
      <c r="F16" s="88">
        <f>IF('Creve Coeur'!O107&lt;0,-'Creve Coeur'!O107,0)</f>
        <v>0</v>
      </c>
      <c r="G16" s="88">
        <f>IF('Creve Coeur'!O107&gt;0,'Creve Coeur'!O107,0)</f>
        <v>0</v>
      </c>
      <c r="H16" s="55"/>
      <c r="J16" s="2"/>
      <c r="K16" s="2"/>
      <c r="L16" s="2"/>
      <c r="M16" s="2"/>
      <c r="O16" s="24"/>
      <c r="P16" s="24"/>
    </row>
    <row r="17" spans="1:16" x14ac:dyDescent="0.25">
      <c r="A17" s="51"/>
      <c r="B17" s="53" t="s">
        <v>75</v>
      </c>
      <c r="C17" s="53" t="s">
        <v>264</v>
      </c>
      <c r="D17" s="53" t="str">
        <f>D12</f>
        <v>September Revenue</v>
      </c>
      <c r="E17" s="52" t="s">
        <v>239</v>
      </c>
      <c r="F17" s="88">
        <f>IF('RF by Location &lt;-INPUT'!D23+'RF by Location &lt;-INPUT'!H23&lt;0,-('RF by Location &lt;-INPUT'!D23+'RF by Location &lt;-INPUT'!H23),0)</f>
        <v>0</v>
      </c>
      <c r="G17" s="88">
        <f>IF('RF by Location &lt;-INPUT'!D23+'RF by Location &lt;-INPUT'!H23&gt;0,'RF by Location &lt;-INPUT'!D23+'RF by Location &lt;-INPUT'!H23,0)</f>
        <v>0</v>
      </c>
      <c r="H17" s="24"/>
      <c r="J17" s="2"/>
      <c r="K17" s="2"/>
      <c r="L17" s="2"/>
      <c r="M17" s="2"/>
      <c r="O17" s="24"/>
      <c r="P17" s="24"/>
    </row>
    <row r="18" spans="1:16" x14ac:dyDescent="0.25">
      <c r="A18" s="51"/>
      <c r="B18" s="53" t="s">
        <v>78</v>
      </c>
      <c r="C18" s="53" t="s">
        <v>264</v>
      </c>
      <c r="D18" s="53" t="str">
        <f>D12</f>
        <v>September Revenue</v>
      </c>
      <c r="E18" s="52" t="s">
        <v>242</v>
      </c>
      <c r="F18" s="88">
        <f>IF((G17+G16-F16-F17-F19+G19)&gt;0,(G17+G16-F16-F17-F19+G19),0)</f>
        <v>0</v>
      </c>
      <c r="G18" s="88">
        <f>IF((G17+G16-F16-F17-F19+G19)&lt;0,-(G17+G16-F16-F17-F19+G19),0)</f>
        <v>0</v>
      </c>
      <c r="H18" s="56"/>
      <c r="J18" s="2"/>
      <c r="K18" s="2"/>
      <c r="L18" s="2"/>
      <c r="M18" s="2"/>
      <c r="O18" s="24"/>
      <c r="P18" s="24"/>
    </row>
    <row r="19" spans="1:16" x14ac:dyDescent="0.25">
      <c r="A19" s="51"/>
      <c r="B19" s="53" t="s">
        <v>79</v>
      </c>
      <c r="C19" s="53" t="s">
        <v>264</v>
      </c>
      <c r="D19" s="53" t="str">
        <f>CONCATENATE(D12,"- Actual")</f>
        <v>September Revenue- Actual</v>
      </c>
      <c r="E19" s="52" t="s">
        <v>241</v>
      </c>
      <c r="F19" s="88">
        <f>'Bad Debt Detail &lt;-INPUT'!D69</f>
        <v>0</v>
      </c>
      <c r="G19" s="88">
        <v>0</v>
      </c>
      <c r="J19" s="2"/>
      <c r="K19" s="2"/>
      <c r="L19" s="2"/>
      <c r="M19" s="2"/>
    </row>
    <row r="20" spans="1:16" x14ac:dyDescent="0.25">
      <c r="A20" s="51"/>
      <c r="B20" s="53" t="s">
        <v>75</v>
      </c>
      <c r="C20" s="53" t="s">
        <v>400</v>
      </c>
      <c r="D20" s="53" t="str">
        <f>D12</f>
        <v>September Revenue</v>
      </c>
      <c r="E20" s="52" t="s">
        <v>243</v>
      </c>
      <c r="F20" s="88">
        <f>G21</f>
        <v>0</v>
      </c>
      <c r="G20" s="88">
        <f>F21</f>
        <v>0</v>
      </c>
      <c r="J20" s="2"/>
      <c r="K20" s="2"/>
      <c r="L20" s="2"/>
      <c r="M20" s="2"/>
    </row>
    <row r="21" spans="1:16" x14ac:dyDescent="0.25">
      <c r="A21" s="51"/>
      <c r="B21" s="53" t="s">
        <v>151</v>
      </c>
      <c r="C21" s="53" t="s">
        <v>400</v>
      </c>
      <c r="D21" s="53" t="str">
        <f>D20</f>
        <v>September Revenue</v>
      </c>
      <c r="E21" s="52" t="s">
        <v>244</v>
      </c>
      <c r="F21" s="88">
        <f>IF('RF by Location &lt;-INPUT'!$C$22&lt;0,-'RF by Location &lt;-INPUT'!$C$22,0)</f>
        <v>0</v>
      </c>
      <c r="G21" s="88">
        <f>IF('RF by Location &lt;-INPUT'!$C$22&gt;0,'RF by Location &lt;-INPUT'!$C$22,0)</f>
        <v>0</v>
      </c>
      <c r="J21" s="2"/>
      <c r="K21" s="2"/>
      <c r="L21" s="2"/>
      <c r="M21" s="2"/>
    </row>
    <row r="22" spans="1:16" x14ac:dyDescent="0.25">
      <c r="A22" s="51"/>
      <c r="B22" s="53" t="s">
        <v>76</v>
      </c>
      <c r="C22" s="53" t="s">
        <v>400</v>
      </c>
      <c r="D22" s="53" t="str">
        <f>CONCATENATE(D20,"- Reserve")</f>
        <v>September Revenue- Reserve</v>
      </c>
      <c r="E22" s="52" t="s">
        <v>245</v>
      </c>
      <c r="F22" s="88">
        <f>G23</f>
        <v>0</v>
      </c>
      <c r="G22" s="88">
        <f>F23</f>
        <v>0</v>
      </c>
      <c r="J22" s="2"/>
      <c r="K22" s="2"/>
      <c r="L22" s="2"/>
      <c r="M22" s="2"/>
      <c r="O22" s="2"/>
      <c r="P22" s="2"/>
    </row>
    <row r="23" spans="1:16" x14ac:dyDescent="0.25">
      <c r="A23" s="51"/>
      <c r="B23" s="53" t="s">
        <v>20</v>
      </c>
      <c r="C23" s="53" t="s">
        <v>400</v>
      </c>
      <c r="D23" s="53" t="str">
        <f>D20</f>
        <v>September Revenue</v>
      </c>
      <c r="E23" s="52" t="s">
        <v>237</v>
      </c>
      <c r="F23" s="88">
        <f>IF(CWE!$O$169&lt;0,-CWE!$O$169,0)</f>
        <v>0</v>
      </c>
      <c r="G23" s="88">
        <f>IF(CWE!$O$169&gt;0,CWE!$O$169,0)</f>
        <v>0</v>
      </c>
      <c r="J23" s="2"/>
      <c r="K23" s="2"/>
      <c r="L23" s="2"/>
      <c r="M23" s="2"/>
      <c r="O23" s="2"/>
      <c r="P23" s="2"/>
    </row>
    <row r="24" spans="1:16" x14ac:dyDescent="0.25">
      <c r="A24" s="51"/>
      <c r="B24" s="53" t="s">
        <v>77</v>
      </c>
      <c r="C24" s="53" t="s">
        <v>400</v>
      </c>
      <c r="D24" s="53" t="str">
        <f>D20</f>
        <v>September Revenue</v>
      </c>
      <c r="E24" s="52" t="s">
        <v>236</v>
      </c>
      <c r="F24" s="88">
        <f>IF(CWE!$O$107&lt;0,-CWE!$O$107,0)</f>
        <v>0</v>
      </c>
      <c r="G24" s="88">
        <f>IF(CWE!$O$107&gt;0,CWE!$O$107,0)</f>
        <v>6.8212102632969618E-13</v>
      </c>
      <c r="J24" s="2"/>
      <c r="K24" s="2"/>
      <c r="L24" s="2"/>
      <c r="M24" s="2"/>
      <c r="O24" s="24"/>
      <c r="P24" s="24"/>
    </row>
    <row r="25" spans="1:16" x14ac:dyDescent="0.25">
      <c r="A25" s="51"/>
      <c r="B25" s="53" t="s">
        <v>75</v>
      </c>
      <c r="C25" s="53" t="s">
        <v>400</v>
      </c>
      <c r="D25" s="53" t="str">
        <f>D20</f>
        <v>September Revenue</v>
      </c>
      <c r="E25" s="52" t="s">
        <v>243</v>
      </c>
      <c r="F25" s="88">
        <f>IF('RF by Location &lt;-INPUT'!$D$22+'RF by Location &lt;-INPUT'!$H$22&lt;0,-('RF by Location &lt;-INPUT'!$D$22+'RF by Location &lt;-INPUT'!$H$22),0)</f>
        <v>0</v>
      </c>
      <c r="G25" s="88">
        <f>IF('RF by Location &lt;-INPUT'!$D$22+'RF by Location &lt;-INPUT'!$H$22&gt;0,'RF by Location &lt;-INPUT'!$D$22+'RF by Location &lt;-INPUT'!$H$22,0)</f>
        <v>0</v>
      </c>
      <c r="H25" s="24"/>
      <c r="J25" s="2"/>
      <c r="K25" s="2"/>
      <c r="L25" s="2"/>
      <c r="M25" s="2"/>
      <c r="O25" s="24"/>
      <c r="P25" s="24"/>
    </row>
    <row r="26" spans="1:16" x14ac:dyDescent="0.25">
      <c r="A26" s="51"/>
      <c r="B26" s="53" t="s">
        <v>78</v>
      </c>
      <c r="C26" s="53" t="s">
        <v>400</v>
      </c>
      <c r="D26" s="53" t="str">
        <f>D20</f>
        <v>September Revenue</v>
      </c>
      <c r="E26" s="52" t="s">
        <v>246</v>
      </c>
      <c r="F26" s="88">
        <f>IF((G25+G24-F24-F25-F27+G27)&gt;0,(G25+G24-F24-F25-F27+G27),0)</f>
        <v>6.8212102632969618E-13</v>
      </c>
      <c r="G26" s="88">
        <f>IF((G25+G24-F24-F25-F27+G27)&lt;0,-(G25+G24-F24-F25-F27+G27),0)</f>
        <v>0</v>
      </c>
      <c r="H26" s="56"/>
      <c r="J26" s="2"/>
      <c r="K26" s="2"/>
      <c r="L26" s="2"/>
      <c r="M26" s="2"/>
      <c r="O26" s="24"/>
      <c r="P26" s="24"/>
    </row>
    <row r="27" spans="1:16" x14ac:dyDescent="0.25">
      <c r="A27" s="51"/>
      <c r="B27" s="53" t="s">
        <v>79</v>
      </c>
      <c r="C27" s="53" t="s">
        <v>400</v>
      </c>
      <c r="D27" s="53" t="str">
        <f>CONCATENATE(D20,"- Actual")</f>
        <v>September Revenue- Actual</v>
      </c>
      <c r="E27" s="52" t="s">
        <v>245</v>
      </c>
      <c r="F27" s="88">
        <f>'Bad Debt Detail &lt;-INPUT'!$C$69</f>
        <v>0</v>
      </c>
      <c r="G27" s="88">
        <v>0</v>
      </c>
      <c r="J27" s="2"/>
      <c r="K27" s="2"/>
      <c r="L27" s="2"/>
      <c r="M27" s="2"/>
    </row>
    <row r="28" spans="1:16" x14ac:dyDescent="0.25">
      <c r="A28" s="51"/>
      <c r="B28" s="51"/>
      <c r="C28" s="51"/>
      <c r="D28" s="53"/>
      <c r="E28" s="52"/>
      <c r="F28" s="54"/>
      <c r="G28" s="54"/>
      <c r="J28" s="2"/>
      <c r="K28" s="2"/>
      <c r="L28" s="2"/>
      <c r="M28" s="2"/>
    </row>
    <row r="29" spans="1:16" x14ac:dyDescent="0.25">
      <c r="A29" s="51"/>
      <c r="B29" s="51"/>
      <c r="C29" s="51"/>
      <c r="D29" s="53"/>
      <c r="E29" s="52"/>
      <c r="F29" s="54"/>
      <c r="G29" s="54"/>
      <c r="J29" s="2"/>
      <c r="K29" s="2"/>
      <c r="L29" s="2">
        <f>SUM(L12:L28)</f>
        <v>450</v>
      </c>
      <c r="M29" s="2">
        <f>SUM(M12:M28)</f>
        <v>450</v>
      </c>
    </row>
    <row r="30" spans="1:16" x14ac:dyDescent="0.25">
      <c r="A30" s="52"/>
      <c r="B30" s="52"/>
      <c r="C30" s="52"/>
      <c r="D30" s="53"/>
      <c r="E30" s="52"/>
      <c r="F30" s="54"/>
      <c r="G30" s="54"/>
      <c r="J30" s="2"/>
      <c r="K30" s="2"/>
      <c r="L30" s="2"/>
      <c r="M30" s="2"/>
    </row>
    <row r="31" spans="1:16" x14ac:dyDescent="0.25">
      <c r="D31" s="57" t="s">
        <v>80</v>
      </c>
      <c r="E31" s="35"/>
      <c r="F31" s="58">
        <f>SUM(F11:F30)</f>
        <v>6.8212102632969618E-13</v>
      </c>
      <c r="G31" s="58">
        <f>SUM(G11:G30)</f>
        <v>6.8212102632969618E-13</v>
      </c>
      <c r="J31" s="2"/>
      <c r="K31" s="2"/>
      <c r="L31" s="2"/>
      <c r="M31" s="2"/>
    </row>
    <row r="32" spans="1:16" x14ac:dyDescent="0.25">
      <c r="E32" s="35"/>
      <c r="F32" s="24">
        <f>'CC Rev Entry'!E23+'CWE Rev Entry'!E23</f>
        <v>6.8212102632969618E-13</v>
      </c>
      <c r="G32" s="24">
        <f>'CC Rev Entry'!F23+'CWE Rev Entry'!F23</f>
        <v>6.8212102632969618E-13</v>
      </c>
      <c r="J32" s="2"/>
      <c r="K32" s="2"/>
      <c r="L32" s="2"/>
      <c r="M32" s="2"/>
    </row>
    <row r="33" spans="1:13" x14ac:dyDescent="0.25">
      <c r="A33" s="44" t="s">
        <v>81</v>
      </c>
      <c r="B33" s="44"/>
      <c r="C33" s="44"/>
      <c r="E33" s="35"/>
      <c r="F33" s="24">
        <f>F31-F32</f>
        <v>0</v>
      </c>
      <c r="G33" s="24">
        <f>G31-G32</f>
        <v>0</v>
      </c>
      <c r="J33" s="2"/>
      <c r="K33" s="2"/>
      <c r="L33" s="2"/>
      <c r="M33" s="2"/>
    </row>
    <row r="34" spans="1:13" x14ac:dyDescent="0.25">
      <c r="E34" s="130"/>
    </row>
    <row r="35" spans="1:13" x14ac:dyDescent="0.25">
      <c r="E35" s="35"/>
    </row>
    <row r="36" spans="1:13" x14ac:dyDescent="0.25">
      <c r="E36" s="35"/>
    </row>
    <row r="37" spans="1:13" x14ac:dyDescent="0.25">
      <c r="E37" s="35"/>
    </row>
    <row r="38" spans="1:13" x14ac:dyDescent="0.25">
      <c r="A38" s="62" t="s">
        <v>82</v>
      </c>
      <c r="B38" s="62"/>
      <c r="C38" s="62"/>
      <c r="E38" s="131"/>
    </row>
    <row r="39" spans="1:13" x14ac:dyDescent="0.25">
      <c r="A39" s="65" t="s">
        <v>83</v>
      </c>
      <c r="B39" s="65"/>
      <c r="C39" s="65"/>
    </row>
  </sheetData>
  <pageMargins left="0.7" right="0.7" top="0.75" bottom="0.75" header="0.3" footer="0.3"/>
  <pageSetup scale="77"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tabColor theme="0" tint="-0.34998626667073579"/>
  </sheetPr>
  <dimension ref="A1:O31"/>
  <sheetViews>
    <sheetView workbookViewId="0"/>
  </sheetViews>
  <sheetFormatPr defaultRowHeight="15" x14ac:dyDescent="0.25"/>
  <cols>
    <col min="1" max="1" width="18.7109375" customWidth="1"/>
    <col min="2" max="3" width="22.7109375" customWidth="1"/>
    <col min="4" max="4" width="15.7109375" customWidth="1"/>
    <col min="5" max="6" width="18.7109375" customWidth="1"/>
    <col min="9" max="9" width="29.42578125" bestFit="1" customWidth="1"/>
    <col min="10" max="10" width="12.85546875" bestFit="1" customWidth="1"/>
    <col min="11" max="12" width="9.5703125" bestFit="1" customWidth="1"/>
  </cols>
  <sheetData>
    <row r="1" spans="1:15" x14ac:dyDescent="0.25">
      <c r="D1" s="35"/>
      <c r="G1" s="64"/>
      <c r="H1" s="31"/>
    </row>
    <row r="2" spans="1:15" ht="15.75" thickBot="1" x14ac:dyDescent="0.3">
      <c r="D2" s="35"/>
      <c r="E2" s="44" t="s">
        <v>65</v>
      </c>
      <c r="F2" s="43" t="str">
        <f>'Reimbursement Rates &lt;-INPUT'!A2</f>
        <v>Amato PT</v>
      </c>
      <c r="H2" s="31"/>
    </row>
    <row r="3" spans="1:15" x14ac:dyDescent="0.25">
      <c r="D3" s="35"/>
      <c r="F3" s="35"/>
      <c r="H3" s="31"/>
    </row>
    <row r="4" spans="1:15" ht="15.75" thickBot="1" x14ac:dyDescent="0.3">
      <c r="D4" s="35"/>
      <c r="E4" s="44" t="s">
        <v>66</v>
      </c>
      <c r="F4" s="97">
        <f>'Agile AR Aging &lt;-INPUT'!C20</f>
        <v>45199</v>
      </c>
    </row>
    <row r="5" spans="1:15" x14ac:dyDescent="0.25">
      <c r="D5" s="35"/>
    </row>
    <row r="6" spans="1:15" ht="15.75" thickBot="1" x14ac:dyDescent="0.3">
      <c r="D6" s="35"/>
      <c r="E6" s="44" t="s">
        <v>67</v>
      </c>
      <c r="F6" s="43" t="s">
        <v>150</v>
      </c>
    </row>
    <row r="7" spans="1:15" ht="18" x14ac:dyDescent="0.25">
      <c r="A7" s="46" t="s">
        <v>68</v>
      </c>
      <c r="B7" s="46"/>
      <c r="D7" s="35"/>
    </row>
    <row r="8" spans="1:15" ht="15.75" thickBot="1" x14ac:dyDescent="0.3">
      <c r="D8" s="35"/>
      <c r="E8" s="44" t="s">
        <v>69</v>
      </c>
      <c r="F8" s="104">
        <v>14969</v>
      </c>
    </row>
    <row r="9" spans="1:15" x14ac:dyDescent="0.25">
      <c r="D9" s="35"/>
      <c r="F9" t="s">
        <v>53</v>
      </c>
    </row>
    <row r="10" spans="1:15" x14ac:dyDescent="0.25">
      <c r="A10" s="48" t="s">
        <v>70</v>
      </c>
      <c r="B10" s="48" t="s">
        <v>222</v>
      </c>
      <c r="C10" s="49" t="s">
        <v>72</v>
      </c>
      <c r="D10" s="49" t="s">
        <v>71</v>
      </c>
      <c r="E10" s="49" t="s">
        <v>73</v>
      </c>
      <c r="F10" s="49" t="s">
        <v>74</v>
      </c>
      <c r="G10" s="50"/>
    </row>
    <row r="11" spans="1:15" x14ac:dyDescent="0.25">
      <c r="A11" s="51"/>
      <c r="B11" s="51"/>
      <c r="C11" s="53"/>
      <c r="D11" s="52"/>
      <c r="E11" s="54"/>
      <c r="F11" s="54"/>
      <c r="I11" s="101" t="s">
        <v>269</v>
      </c>
      <c r="K11" s="2"/>
      <c r="L11" s="2"/>
    </row>
    <row r="12" spans="1:15" x14ac:dyDescent="0.25">
      <c r="A12" s="51">
        <f>F4</f>
        <v>45199</v>
      </c>
      <c r="B12" s="53" t="s">
        <v>75</v>
      </c>
      <c r="C12" s="133" t="s">
        <v>274</v>
      </c>
      <c r="D12" s="52" t="s">
        <v>239</v>
      </c>
      <c r="E12" s="88">
        <f>F13</f>
        <v>0</v>
      </c>
      <c r="F12" s="88">
        <f>E13</f>
        <v>0</v>
      </c>
      <c r="I12" s="32"/>
      <c r="J12" s="2"/>
      <c r="K12" s="2"/>
      <c r="L12" s="2"/>
    </row>
    <row r="13" spans="1:15" x14ac:dyDescent="0.25">
      <c r="A13" s="51"/>
      <c r="B13" s="53" t="s">
        <v>151</v>
      </c>
      <c r="C13" s="53" t="str">
        <f>C12</f>
        <v>Mar Amato Revenue</v>
      </c>
      <c r="D13" s="52" t="s">
        <v>240</v>
      </c>
      <c r="E13" s="88">
        <f>IF('RF by Location &lt;-INPUT'!C23&lt;0,-'RF by Location &lt;-INPUT'!C23,0)</f>
        <v>0</v>
      </c>
      <c r="F13" s="88">
        <f>IF('RF by Location &lt;-INPUT'!C23&gt;0,'RF by Location &lt;-INPUT'!C23,0)</f>
        <v>0</v>
      </c>
      <c r="I13" s="32"/>
      <c r="J13" s="2"/>
      <c r="K13" s="2"/>
      <c r="L13" s="2"/>
    </row>
    <row r="14" spans="1:15" x14ac:dyDescent="0.25">
      <c r="A14" s="51"/>
      <c r="B14" s="53" t="s">
        <v>76</v>
      </c>
      <c r="C14" s="53" t="str">
        <f>CONCATENATE(C12,"- Reserve")</f>
        <v>Mar Amato Revenue- Reserve</v>
      </c>
      <c r="D14" s="52" t="s">
        <v>241</v>
      </c>
      <c r="E14" s="88">
        <f>F15</f>
        <v>0</v>
      </c>
      <c r="F14" s="88">
        <f>E15</f>
        <v>0</v>
      </c>
      <c r="I14" s="32" t="s">
        <v>275</v>
      </c>
      <c r="J14" s="2" t="s">
        <v>241</v>
      </c>
      <c r="K14" s="2"/>
      <c r="L14" s="2">
        <v>1219.1022119999998</v>
      </c>
      <c r="N14" s="24"/>
      <c r="O14" s="24"/>
    </row>
    <row r="15" spans="1:15" x14ac:dyDescent="0.25">
      <c r="A15" s="51"/>
      <c r="B15" s="53" t="s">
        <v>20</v>
      </c>
      <c r="C15" s="53" t="str">
        <f>C12</f>
        <v>Mar Amato Revenue</v>
      </c>
      <c r="D15" s="52" t="s">
        <v>235</v>
      </c>
      <c r="E15" s="88">
        <f>IF('Creve Coeur'!O169&lt;0,-'Creve Coeur'!O169,0)</f>
        <v>0</v>
      </c>
      <c r="F15" s="88">
        <f>IF('Creve Coeur'!O169&gt;0,'Creve Coeur'!O169,0)</f>
        <v>0</v>
      </c>
      <c r="I15" s="32" t="s">
        <v>274</v>
      </c>
      <c r="J15" s="2" t="s">
        <v>235</v>
      </c>
      <c r="K15" s="2">
        <v>1219.1022119999998</v>
      </c>
      <c r="L15" s="2"/>
      <c r="N15" s="24"/>
      <c r="O15" s="24"/>
    </row>
    <row r="16" spans="1:15" x14ac:dyDescent="0.25">
      <c r="A16" s="51"/>
      <c r="B16" s="53" t="s">
        <v>77</v>
      </c>
      <c r="C16" s="53" t="str">
        <f>C12</f>
        <v>Mar Amato Revenue</v>
      </c>
      <c r="D16" s="52" t="s">
        <v>234</v>
      </c>
      <c r="E16" s="88">
        <f>IF('Creve Coeur'!O107&lt;0,-'Creve Coeur'!O107,0)</f>
        <v>0</v>
      </c>
      <c r="F16" s="88">
        <f>IF('Creve Coeur'!O107&gt;0,'Creve Coeur'!O107,0)</f>
        <v>0</v>
      </c>
      <c r="G16" s="55"/>
      <c r="I16" s="32" t="s">
        <v>274</v>
      </c>
      <c r="J16" s="2" t="s">
        <v>234</v>
      </c>
      <c r="K16" s="2">
        <v>1540.2194799999961</v>
      </c>
      <c r="L16" s="2"/>
      <c r="N16" s="24"/>
      <c r="O16" s="24"/>
    </row>
    <row r="17" spans="1:15" x14ac:dyDescent="0.25">
      <c r="A17" s="51"/>
      <c r="B17" s="53" t="s">
        <v>75</v>
      </c>
      <c r="C17" s="53" t="str">
        <f>C12</f>
        <v>Mar Amato Revenue</v>
      </c>
      <c r="D17" s="52" t="s">
        <v>239</v>
      </c>
      <c r="E17" s="88">
        <f>IF('RF by Location &lt;-INPUT'!D23+'RF by Location &lt;-INPUT'!H23&lt;0,-('RF by Location &lt;-INPUT'!D23+'RF by Location &lt;-INPUT'!H23),0)</f>
        <v>0</v>
      </c>
      <c r="F17" s="88">
        <f>IF('RF by Location &lt;-INPUT'!D23+'RF by Location &lt;-INPUT'!H23&gt;0,'RF by Location &lt;-INPUT'!D23+'RF by Location &lt;-INPUT'!H23,0)</f>
        <v>0</v>
      </c>
      <c r="G17" s="24"/>
      <c r="I17" s="32" t="s">
        <v>274</v>
      </c>
      <c r="J17" s="2" t="s">
        <v>239</v>
      </c>
      <c r="K17" s="2"/>
      <c r="L17" s="2">
        <v>1252.3699999999999</v>
      </c>
      <c r="N17" s="24"/>
      <c r="O17" s="24"/>
    </row>
    <row r="18" spans="1:15" x14ac:dyDescent="0.25">
      <c r="A18" s="51"/>
      <c r="B18" s="53" t="s">
        <v>78</v>
      </c>
      <c r="C18" s="53" t="str">
        <f>C12</f>
        <v>Mar Amato Revenue</v>
      </c>
      <c r="D18" s="52" t="s">
        <v>242</v>
      </c>
      <c r="E18" s="88">
        <f>IF((F17+F16-E16-E17-E19+F19)&gt;0,(F17+F16-E16-E17-E19+F19),0)</f>
        <v>0</v>
      </c>
      <c r="F18" s="88">
        <f>IF((F17+F16-E16-E17-E19+F19)&lt;0,-(F17+F16-E16-E17-E19+F19),0)</f>
        <v>0</v>
      </c>
      <c r="G18" s="56"/>
      <c r="I18" s="32" t="s">
        <v>274</v>
      </c>
      <c r="J18" s="2" t="s">
        <v>242</v>
      </c>
      <c r="K18" s="2"/>
      <c r="L18" s="2">
        <v>1387.4994799999963</v>
      </c>
      <c r="N18" s="24"/>
      <c r="O18" s="24"/>
    </row>
    <row r="19" spans="1:15" x14ac:dyDescent="0.25">
      <c r="A19" s="51"/>
      <c r="B19" s="53" t="s">
        <v>79</v>
      </c>
      <c r="C19" s="53" t="str">
        <f>CONCATENATE(C12,"- Actual")</f>
        <v>Mar Amato Revenue- Actual</v>
      </c>
      <c r="D19" s="52" t="s">
        <v>241</v>
      </c>
      <c r="E19" s="88">
        <f>'Bad Debt Detail &lt;-INPUT'!D69</f>
        <v>0</v>
      </c>
      <c r="F19" s="88">
        <v>0</v>
      </c>
      <c r="I19" s="32" t="s">
        <v>276</v>
      </c>
      <c r="J19" s="2" t="s">
        <v>241</v>
      </c>
      <c r="K19" s="2">
        <v>1099.6500000000001</v>
      </c>
      <c r="L19" s="2"/>
    </row>
    <row r="20" spans="1:15" x14ac:dyDescent="0.25">
      <c r="A20" s="51"/>
      <c r="B20" s="51"/>
      <c r="C20" s="53"/>
      <c r="D20" s="52"/>
      <c r="E20" s="54"/>
      <c r="F20" s="54"/>
      <c r="K20" s="7"/>
      <c r="L20" s="7"/>
    </row>
    <row r="21" spans="1:15" x14ac:dyDescent="0.25">
      <c r="A21" s="51"/>
      <c r="B21" s="51"/>
      <c r="C21" s="53"/>
      <c r="D21" s="52"/>
      <c r="E21" s="54"/>
      <c r="F21" s="54"/>
      <c r="K21" s="7">
        <f>SUM(K12:K19)</f>
        <v>3858.971691999996</v>
      </c>
      <c r="L21" s="7">
        <f>SUM(L12:L19)</f>
        <v>3858.971691999996</v>
      </c>
    </row>
    <row r="22" spans="1:15" x14ac:dyDescent="0.25">
      <c r="A22" s="52"/>
      <c r="B22" s="52"/>
      <c r="C22" s="53"/>
      <c r="D22" s="52"/>
      <c r="E22" s="54"/>
      <c r="F22" s="54"/>
    </row>
    <row r="23" spans="1:15" x14ac:dyDescent="0.25">
      <c r="C23" s="57" t="s">
        <v>80</v>
      </c>
      <c r="D23" s="35"/>
      <c r="E23" s="58">
        <f>SUM(E11:E22)</f>
        <v>0</v>
      </c>
      <c r="F23" s="58">
        <f>SUM(F11:F22)</f>
        <v>0</v>
      </c>
    </row>
    <row r="24" spans="1:15" x14ac:dyDescent="0.25">
      <c r="D24" s="35"/>
    </row>
    <row r="25" spans="1:15" x14ac:dyDescent="0.25">
      <c r="A25" s="44" t="s">
        <v>81</v>
      </c>
      <c r="B25" s="44"/>
      <c r="D25" s="35"/>
    </row>
    <row r="26" spans="1:15" x14ac:dyDescent="0.25">
      <c r="D26" s="130"/>
    </row>
    <row r="27" spans="1:15" x14ac:dyDescent="0.25">
      <c r="D27" s="35"/>
    </row>
    <row r="28" spans="1:15" x14ac:dyDescent="0.25">
      <c r="D28" s="35"/>
    </row>
    <row r="29" spans="1:15" x14ac:dyDescent="0.25">
      <c r="D29" s="35"/>
    </row>
    <row r="30" spans="1:15" x14ac:dyDescent="0.25">
      <c r="A30" s="62" t="s">
        <v>82</v>
      </c>
      <c r="B30" s="62"/>
      <c r="D30" s="131"/>
    </row>
    <row r="31" spans="1:15" x14ac:dyDescent="0.25">
      <c r="A31" s="65" t="s">
        <v>83</v>
      </c>
      <c r="B31" s="65"/>
    </row>
  </sheetData>
  <pageMargins left="0.7" right="0.7" top="0.75" bottom="0.75" header="0.3" footer="0.3"/>
  <pageSetup scale="77"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0">
    <tabColor theme="0" tint="-0.34998626667073579"/>
  </sheetPr>
  <dimension ref="A1:R31"/>
  <sheetViews>
    <sheetView topLeftCell="D4" workbookViewId="0">
      <selection activeCell="I21" sqref="I20:M21"/>
    </sheetView>
  </sheetViews>
  <sheetFormatPr defaultColWidth="9.140625" defaultRowHeight="15" x14ac:dyDescent="0.25"/>
  <cols>
    <col min="1" max="1" width="18.7109375" customWidth="1"/>
    <col min="2" max="3" width="22.7109375" customWidth="1"/>
    <col min="4" max="4" width="15.7109375" customWidth="1"/>
    <col min="5" max="6" width="18.7109375" customWidth="1"/>
    <col min="9" max="9" width="29.42578125" bestFit="1" customWidth="1"/>
    <col min="10" max="10" width="12.85546875" bestFit="1" customWidth="1"/>
    <col min="11" max="12" width="9.5703125" bestFit="1" customWidth="1"/>
    <col min="14" max="15" width="10.5703125" bestFit="1" customWidth="1"/>
  </cols>
  <sheetData>
    <row r="1" spans="1:15" x14ac:dyDescent="0.25">
      <c r="D1" s="35"/>
      <c r="G1" s="64"/>
      <c r="H1" s="31"/>
    </row>
    <row r="2" spans="1:15" ht="15.75" thickBot="1" x14ac:dyDescent="0.3">
      <c r="D2" s="35"/>
      <c r="E2" s="44" t="s">
        <v>65</v>
      </c>
      <c r="F2" s="43" t="str">
        <f>'Reimbursement Rates &lt;-INPUT'!A2</f>
        <v>Amato PT</v>
      </c>
      <c r="H2" s="31"/>
    </row>
    <row r="3" spans="1:15" x14ac:dyDescent="0.25">
      <c r="D3" s="35"/>
      <c r="F3" s="35"/>
      <c r="H3" s="31"/>
    </row>
    <row r="4" spans="1:15" ht="15.75" thickBot="1" x14ac:dyDescent="0.3">
      <c r="D4" s="35"/>
      <c r="E4" s="44" t="s">
        <v>66</v>
      </c>
      <c r="F4" s="97">
        <f>'Agile AR Aging &lt;-INPUT'!C20</f>
        <v>45199</v>
      </c>
    </row>
    <row r="5" spans="1:15" x14ac:dyDescent="0.25">
      <c r="D5" s="35"/>
    </row>
    <row r="6" spans="1:15" ht="15.75" thickBot="1" x14ac:dyDescent="0.3">
      <c r="D6" s="35"/>
      <c r="E6" s="44" t="s">
        <v>67</v>
      </c>
      <c r="F6" s="43" t="s">
        <v>150</v>
      </c>
    </row>
    <row r="7" spans="1:15" ht="18" x14ac:dyDescent="0.25">
      <c r="A7" s="46" t="s">
        <v>68</v>
      </c>
      <c r="B7" s="46"/>
      <c r="D7" s="35"/>
    </row>
    <row r="8" spans="1:15" ht="15.75" thickBot="1" x14ac:dyDescent="0.3">
      <c r="D8" s="35"/>
      <c r="E8" s="44" t="s">
        <v>69</v>
      </c>
      <c r="F8" s="104">
        <v>14970</v>
      </c>
    </row>
    <row r="9" spans="1:15" x14ac:dyDescent="0.25">
      <c r="D9" s="35"/>
      <c r="F9" t="s">
        <v>53</v>
      </c>
    </row>
    <row r="10" spans="1:15" x14ac:dyDescent="0.25">
      <c r="A10" s="48" t="s">
        <v>70</v>
      </c>
      <c r="B10" s="48" t="s">
        <v>222</v>
      </c>
      <c r="C10" s="49" t="s">
        <v>72</v>
      </c>
      <c r="D10" s="49" t="s">
        <v>71</v>
      </c>
      <c r="E10" s="49" t="s">
        <v>73</v>
      </c>
      <c r="F10" s="49" t="s">
        <v>74</v>
      </c>
      <c r="G10" s="50"/>
    </row>
    <row r="11" spans="1:15" x14ac:dyDescent="0.25">
      <c r="A11" s="51"/>
      <c r="B11" s="51"/>
      <c r="C11" s="53"/>
      <c r="D11" s="52"/>
      <c r="E11" s="54"/>
      <c r="F11" s="54"/>
      <c r="I11" s="101" t="s">
        <v>269</v>
      </c>
    </row>
    <row r="12" spans="1:15" x14ac:dyDescent="0.25">
      <c r="A12" s="51">
        <f>F4</f>
        <v>45199</v>
      </c>
      <c r="B12" s="53" t="s">
        <v>75</v>
      </c>
      <c r="C12" s="53" t="str">
        <f>'CC Rev Entry'!C12</f>
        <v>Mar Amato Revenue</v>
      </c>
      <c r="D12" s="52" t="s">
        <v>243</v>
      </c>
      <c r="E12" s="88">
        <f>F13</f>
        <v>0</v>
      </c>
      <c r="F12" s="88">
        <f>E13</f>
        <v>0</v>
      </c>
      <c r="I12" s="32"/>
      <c r="J12" s="2"/>
      <c r="K12" s="2"/>
      <c r="L12" s="2"/>
    </row>
    <row r="13" spans="1:15" x14ac:dyDescent="0.25">
      <c r="A13" s="51"/>
      <c r="B13" s="53" t="s">
        <v>151</v>
      </c>
      <c r="C13" s="53" t="str">
        <f>C12</f>
        <v>Mar Amato Revenue</v>
      </c>
      <c r="D13" s="52" t="s">
        <v>244</v>
      </c>
      <c r="E13" s="88">
        <f>IF('RF by Location &lt;-INPUT'!$C$22&lt;0,-'RF by Location &lt;-INPUT'!$C$22,0)</f>
        <v>0</v>
      </c>
      <c r="F13" s="88">
        <f>IF('RF by Location &lt;-INPUT'!$C$22&gt;0,'RF by Location &lt;-INPUT'!$C$22,0)</f>
        <v>0</v>
      </c>
      <c r="I13" s="32"/>
      <c r="J13" s="2"/>
      <c r="K13" s="2"/>
      <c r="L13" s="2"/>
    </row>
    <row r="14" spans="1:15" x14ac:dyDescent="0.25">
      <c r="A14" s="51"/>
      <c r="B14" s="53" t="s">
        <v>76</v>
      </c>
      <c r="C14" s="53" t="str">
        <f>CONCATENATE(C12,"- Reserve")</f>
        <v>Mar Amato Revenue- Reserve</v>
      </c>
      <c r="D14" s="52" t="s">
        <v>245</v>
      </c>
      <c r="E14" s="88">
        <f>F15</f>
        <v>0</v>
      </c>
      <c r="F14" s="88">
        <f>E15</f>
        <v>0</v>
      </c>
      <c r="I14" s="32" t="s">
        <v>275</v>
      </c>
      <c r="J14" s="2" t="s">
        <v>245</v>
      </c>
      <c r="K14" s="2"/>
      <c r="L14" s="2">
        <v>1964.4582300000002</v>
      </c>
      <c r="N14" s="24"/>
      <c r="O14" s="24"/>
    </row>
    <row r="15" spans="1:15" x14ac:dyDescent="0.25">
      <c r="A15" s="51"/>
      <c r="B15" s="53" t="s">
        <v>20</v>
      </c>
      <c r="C15" s="53" t="str">
        <f>C12</f>
        <v>Mar Amato Revenue</v>
      </c>
      <c r="D15" s="52" t="s">
        <v>237</v>
      </c>
      <c r="E15" s="88">
        <f>IF(CWE!$O$169&lt;0,-CWE!$O$169,0)</f>
        <v>0</v>
      </c>
      <c r="F15" s="88">
        <f>IF(CWE!$O$169&gt;0,CWE!$O$169,0)</f>
        <v>0</v>
      </c>
      <c r="I15" s="32" t="s">
        <v>274</v>
      </c>
      <c r="J15" s="2" t="s">
        <v>237</v>
      </c>
      <c r="K15" s="2">
        <v>1964.4582300000002</v>
      </c>
      <c r="L15" s="2"/>
      <c r="N15" s="24"/>
      <c r="O15" s="24"/>
    </row>
    <row r="16" spans="1:15" x14ac:dyDescent="0.25">
      <c r="A16" s="51"/>
      <c r="B16" s="53" t="s">
        <v>77</v>
      </c>
      <c r="C16" s="53" t="str">
        <f>C12</f>
        <v>Mar Amato Revenue</v>
      </c>
      <c r="D16" s="52" t="s">
        <v>236</v>
      </c>
      <c r="E16" s="88">
        <f>IF(CWE!$O$107&lt;0,-CWE!$O$107,0)</f>
        <v>0</v>
      </c>
      <c r="F16" s="88">
        <f>IF(CWE!$O$107&gt;0,CWE!$O$107,0)</f>
        <v>6.8212102632969618E-13</v>
      </c>
      <c r="I16" s="32" t="s">
        <v>274</v>
      </c>
      <c r="J16" s="2" t="s">
        <v>236</v>
      </c>
      <c r="K16" s="2">
        <v>797.3005299999968</v>
      </c>
      <c r="L16" s="2"/>
      <c r="N16" s="24"/>
      <c r="O16" s="24"/>
    </row>
    <row r="17" spans="1:18" x14ac:dyDescent="0.25">
      <c r="A17" s="51"/>
      <c r="B17" s="53" t="s">
        <v>75</v>
      </c>
      <c r="C17" s="53" t="str">
        <f>C12</f>
        <v>Mar Amato Revenue</v>
      </c>
      <c r="D17" s="52" t="s">
        <v>243</v>
      </c>
      <c r="E17" s="88">
        <f>IF('RF by Location &lt;-INPUT'!$D$22+'RF by Location &lt;-INPUT'!$H$22&lt;0,-('RF by Location &lt;-INPUT'!$D$22+'RF by Location &lt;-INPUT'!$H$22),0)</f>
        <v>0</v>
      </c>
      <c r="F17" s="88">
        <f>IF('RF by Location &lt;-INPUT'!$D$22+'RF by Location &lt;-INPUT'!$H$22&gt;0,'RF by Location &lt;-INPUT'!$D$22+'RF by Location &lt;-INPUT'!$H$22,0)</f>
        <v>0</v>
      </c>
      <c r="G17" s="24"/>
      <c r="I17" s="32" t="s">
        <v>274</v>
      </c>
      <c r="J17" s="2" t="s">
        <v>243</v>
      </c>
      <c r="K17" s="2"/>
      <c r="L17" s="2">
        <v>3289.2300000000005</v>
      </c>
      <c r="N17" s="24"/>
      <c r="O17" s="24"/>
    </row>
    <row r="18" spans="1:18" x14ac:dyDescent="0.25">
      <c r="A18" s="51"/>
      <c r="B18" s="53" t="s">
        <v>78</v>
      </c>
      <c r="C18" s="53" t="str">
        <f>C12</f>
        <v>Mar Amato Revenue</v>
      </c>
      <c r="D18" s="52" t="s">
        <v>246</v>
      </c>
      <c r="E18" s="88">
        <f>IF((F17+F16-E16-E17-E19+F19)&gt;0,(F17+F16-E16-E17-E19+F19),0)</f>
        <v>6.8212102632969618E-13</v>
      </c>
      <c r="F18" s="88">
        <f>IF((F17+F16-E16-E19+F19)&lt;0,-(F17+F16-E16-E19+F19),0)</f>
        <v>0</v>
      </c>
      <c r="G18" s="56"/>
      <c r="I18" s="32" t="s">
        <v>274</v>
      </c>
      <c r="J18" s="2" t="s">
        <v>246</v>
      </c>
      <c r="K18" s="2"/>
      <c r="L18" s="2">
        <v>92.300529999996343</v>
      </c>
      <c r="N18" s="24"/>
      <c r="O18" s="24"/>
    </row>
    <row r="19" spans="1:18" x14ac:dyDescent="0.25">
      <c r="A19" s="51"/>
      <c r="B19" s="53" t="s">
        <v>79</v>
      </c>
      <c r="C19" s="53" t="str">
        <f>CONCATENATE(C12,"- Actual")</f>
        <v>Mar Amato Revenue- Actual</v>
      </c>
      <c r="D19" s="52" t="s">
        <v>245</v>
      </c>
      <c r="E19" s="88">
        <f>'Bad Debt Detail &lt;-INPUT'!$C$69</f>
        <v>0</v>
      </c>
      <c r="F19" s="88">
        <v>0</v>
      </c>
      <c r="I19" s="32" t="s">
        <v>276</v>
      </c>
      <c r="J19" s="2" t="s">
        <v>245</v>
      </c>
      <c r="K19" s="2">
        <v>2584.23</v>
      </c>
      <c r="L19" s="2"/>
    </row>
    <row r="20" spans="1:18" x14ac:dyDescent="0.25">
      <c r="A20" s="51"/>
      <c r="B20" s="51"/>
      <c r="C20" s="53"/>
      <c r="D20" s="52"/>
      <c r="E20" s="54"/>
      <c r="F20" s="54"/>
      <c r="K20" s="7"/>
      <c r="L20" s="7"/>
    </row>
    <row r="21" spans="1:18" x14ac:dyDescent="0.25">
      <c r="A21" s="51"/>
      <c r="B21" s="51"/>
      <c r="C21" s="53"/>
      <c r="D21" s="52"/>
      <c r="E21" s="54"/>
      <c r="F21" s="54"/>
      <c r="K21" s="7">
        <f>SUM(K12:K19)</f>
        <v>5345.9887599999965</v>
      </c>
      <c r="L21" s="7">
        <f>SUM(L12:L19)</f>
        <v>5345.9887599999965</v>
      </c>
    </row>
    <row r="22" spans="1:18" x14ac:dyDescent="0.25">
      <c r="A22" s="52"/>
      <c r="B22" s="52"/>
      <c r="C22" s="53"/>
      <c r="D22" s="52"/>
      <c r="E22" s="54"/>
      <c r="F22" s="54"/>
    </row>
    <row r="23" spans="1:18" x14ac:dyDescent="0.25">
      <c r="C23" s="57" t="s">
        <v>80</v>
      </c>
      <c r="D23" s="35"/>
      <c r="E23" s="58">
        <f>SUM(E11:E22)</f>
        <v>6.8212102632969618E-13</v>
      </c>
      <c r="F23" s="58">
        <f>SUM(F11:F22)</f>
        <v>6.8212102632969618E-13</v>
      </c>
      <c r="Q23" s="2"/>
      <c r="R23" s="2"/>
    </row>
    <row r="24" spans="1:18" x14ac:dyDescent="0.25">
      <c r="D24" s="35"/>
      <c r="Q24" s="2"/>
      <c r="R24" s="2"/>
    </row>
    <row r="25" spans="1:18" x14ac:dyDescent="0.25">
      <c r="A25" s="44" t="s">
        <v>81</v>
      </c>
      <c r="B25" s="44"/>
      <c r="D25" s="35"/>
    </row>
    <row r="26" spans="1:18" x14ac:dyDescent="0.25">
      <c r="C26" s="15"/>
      <c r="D26" s="59"/>
      <c r="E26" s="15"/>
    </row>
    <row r="27" spans="1:18" x14ac:dyDescent="0.25">
      <c r="C27" s="61"/>
      <c r="D27" s="60"/>
      <c r="E27" s="61"/>
    </row>
    <row r="28" spans="1:18" x14ac:dyDescent="0.25">
      <c r="C28" s="61"/>
      <c r="D28" s="60"/>
      <c r="E28" s="61"/>
    </row>
    <row r="29" spans="1:18" x14ac:dyDescent="0.25">
      <c r="D29" s="35"/>
    </row>
    <row r="30" spans="1:18" x14ac:dyDescent="0.25">
      <c r="A30" s="62" t="s">
        <v>82</v>
      </c>
      <c r="B30" s="62"/>
      <c r="D30" s="63"/>
    </row>
    <row r="31" spans="1:18" x14ac:dyDescent="0.25">
      <c r="A31" s="65" t="s">
        <v>83</v>
      </c>
      <c r="B31" s="65"/>
      <c r="D31" s="61"/>
    </row>
  </sheetData>
  <pageMargins left="0.7" right="0.7" top="0.75" bottom="0.75" header="0.3" footer="0.3"/>
  <pageSetup scale="77"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804BC-E1DA-4C0F-A9A1-1B75938BBC5A}">
  <sheetPr codeName="Sheet58"/>
  <dimension ref="A1:BD3"/>
  <sheetViews>
    <sheetView workbookViewId="0"/>
  </sheetViews>
  <sheetFormatPr defaultRowHeight="15" x14ac:dyDescent="0.25"/>
  <cols>
    <col min="1" max="1" width="10" bestFit="1" customWidth="1"/>
    <col min="2" max="2" width="12" bestFit="1" customWidth="1"/>
    <col min="3" max="3" width="13.28515625" bestFit="1" customWidth="1"/>
    <col min="4" max="4" width="11.5703125" bestFit="1" customWidth="1"/>
    <col min="5" max="5" width="14.85546875" bestFit="1" customWidth="1"/>
    <col min="6" max="6" width="9.140625" bestFit="1" customWidth="1"/>
    <col min="7" max="7" width="17" bestFit="1" customWidth="1"/>
    <col min="8" max="8" width="15" bestFit="1" customWidth="1"/>
    <col min="9" max="9" width="16.28515625" bestFit="1" customWidth="1"/>
    <col min="10" max="10" width="15.140625" bestFit="1" customWidth="1"/>
    <col min="11" max="11" width="26.28515625" bestFit="1" customWidth="1"/>
    <col min="12" max="12" width="27.42578125" bestFit="1" customWidth="1"/>
    <col min="13" max="13" width="26.42578125" bestFit="1" customWidth="1"/>
    <col min="14" max="14" width="21.28515625" bestFit="1" customWidth="1"/>
    <col min="15" max="15" width="23.85546875" bestFit="1" customWidth="1"/>
    <col min="16" max="16" width="20.85546875" bestFit="1" customWidth="1"/>
    <col min="17" max="17" width="18.28515625" bestFit="1" customWidth="1"/>
    <col min="18" max="18" width="18" bestFit="1" customWidth="1"/>
    <col min="19" max="19" width="17.7109375" bestFit="1" customWidth="1"/>
    <col min="20" max="20" width="22.28515625" bestFit="1" customWidth="1"/>
    <col min="21" max="21" width="13.85546875" bestFit="1" customWidth="1"/>
    <col min="22" max="22" width="22" bestFit="1" customWidth="1"/>
    <col min="23" max="23" width="20.42578125" bestFit="1" customWidth="1"/>
    <col min="24" max="24" width="24.7109375" bestFit="1" customWidth="1"/>
    <col min="25" max="25" width="27" bestFit="1" customWidth="1"/>
    <col min="26" max="26" width="24.7109375" bestFit="1" customWidth="1"/>
    <col min="27" max="27" width="16.140625" bestFit="1" customWidth="1"/>
    <col min="28" max="28" width="8" bestFit="1" customWidth="1"/>
    <col min="29" max="29" width="16.85546875" bestFit="1" customWidth="1"/>
    <col min="30" max="30" width="17.85546875" bestFit="1" customWidth="1"/>
    <col min="31" max="31" width="13.42578125" bestFit="1" customWidth="1"/>
    <col min="32" max="32" width="18.42578125" bestFit="1" customWidth="1"/>
    <col min="33" max="33" width="19.7109375" bestFit="1" customWidth="1"/>
    <col min="34" max="34" width="23.140625" bestFit="1" customWidth="1"/>
    <col min="35" max="35" width="16.85546875" bestFit="1" customWidth="1"/>
    <col min="36" max="36" width="17" bestFit="1" customWidth="1"/>
    <col min="37" max="37" width="25.140625" bestFit="1" customWidth="1"/>
    <col min="38" max="38" width="18.42578125" bestFit="1" customWidth="1"/>
    <col min="39" max="39" width="17.7109375" bestFit="1" customWidth="1"/>
    <col min="40" max="40" width="17.140625" bestFit="1" customWidth="1"/>
    <col min="41" max="41" width="16.28515625" bestFit="1" customWidth="1"/>
    <col min="42" max="50" width="11.140625" customWidth="1"/>
    <col min="51" max="56" width="12.140625" customWidth="1"/>
  </cols>
  <sheetData>
    <row r="1" spans="1:56" x14ac:dyDescent="0.25">
      <c r="A1" t="s">
        <v>343</v>
      </c>
      <c r="B1" t="s">
        <v>344</v>
      </c>
      <c r="C1" t="s">
        <v>345</v>
      </c>
      <c r="D1" t="s">
        <v>65</v>
      </c>
      <c r="E1" t="s">
        <v>346</v>
      </c>
      <c r="F1" t="s">
        <v>347</v>
      </c>
      <c r="G1" t="s">
        <v>348</v>
      </c>
      <c r="H1" t="s">
        <v>349</v>
      </c>
      <c r="I1" t="s">
        <v>350</v>
      </c>
      <c r="J1" t="s">
        <v>351</v>
      </c>
      <c r="K1" t="s">
        <v>352</v>
      </c>
      <c r="L1" t="s">
        <v>353</v>
      </c>
      <c r="M1" t="s">
        <v>354</v>
      </c>
      <c r="N1" t="s">
        <v>355</v>
      </c>
      <c r="O1" t="s">
        <v>356</v>
      </c>
      <c r="P1" t="s">
        <v>287</v>
      </c>
      <c r="Q1" t="s">
        <v>288</v>
      </c>
      <c r="R1" t="s">
        <v>357</v>
      </c>
      <c r="S1" t="s">
        <v>358</v>
      </c>
      <c r="T1" t="s">
        <v>359</v>
      </c>
      <c r="U1" t="s">
        <v>360</v>
      </c>
      <c r="V1" t="s">
        <v>361</v>
      </c>
      <c r="W1" t="s">
        <v>362</v>
      </c>
      <c r="X1" t="s">
        <v>363</v>
      </c>
      <c r="Y1" t="s">
        <v>364</v>
      </c>
      <c r="Z1" t="s">
        <v>365</v>
      </c>
      <c r="AA1" t="s">
        <v>366</v>
      </c>
      <c r="AB1" t="s">
        <v>367</v>
      </c>
      <c r="AC1" t="s">
        <v>368</v>
      </c>
      <c r="AD1" t="s">
        <v>369</v>
      </c>
      <c r="AE1" t="s">
        <v>370</v>
      </c>
      <c r="AF1" t="s">
        <v>371</v>
      </c>
      <c r="AG1" t="s">
        <v>372</v>
      </c>
      <c r="AH1" t="s">
        <v>373</v>
      </c>
      <c r="AI1" t="s">
        <v>374</v>
      </c>
      <c r="AJ1" t="s">
        <v>375</v>
      </c>
      <c r="AK1" t="s">
        <v>376</v>
      </c>
      <c r="AL1" t="s">
        <v>377</v>
      </c>
      <c r="AM1" t="s">
        <v>378</v>
      </c>
      <c r="AN1" t="s">
        <v>379</v>
      </c>
      <c r="AO1" t="s">
        <v>380</v>
      </c>
      <c r="AP1" t="s">
        <v>399</v>
      </c>
    </row>
    <row r="2" spans="1:56" x14ac:dyDescent="0.25">
      <c r="E2" s="130" t="s">
        <v>233</v>
      </c>
      <c r="H2" s="130" t="s">
        <v>233</v>
      </c>
      <c r="O2" s="148"/>
      <c r="S2" s="148"/>
      <c r="AC2" s="148"/>
      <c r="AF2" s="148"/>
      <c r="AN2" s="148"/>
      <c r="AO2" s="148"/>
      <c r="AP2" t="str">
        <f>IF(GetCurrentMonthTransactionData4[[#This Row],[AdjustmentReasonCode]]=0,"N",INDEX('[1]Bad Debt Categories'!A:A,MATCH(GetCurrentMonthTransactionData4[[#This Row],[AdjustmentReasonCode]],'[1]Bad Debt Categories'!B:B,0)))</f>
        <v>N</v>
      </c>
      <c r="BD2" s="148"/>
    </row>
    <row r="3" spans="1:56" x14ac:dyDescent="0.25">
      <c r="E3" s="130" t="s">
        <v>264</v>
      </c>
      <c r="H3" s="130" t="s">
        <v>264</v>
      </c>
      <c r="O3" s="148"/>
      <c r="S3" s="148"/>
      <c r="AC3" s="148"/>
      <c r="AF3" s="148"/>
      <c r="AN3" s="148"/>
      <c r="AO3" s="148"/>
      <c r="AP3" t="str">
        <f>IF(GetCurrentMonthTransactionData4[[#This Row],[AdjustmentReasonCode]]=0,"N",INDEX('[1]Bad Debt Categories'!A:A,MATCH(GetCurrentMonthTransactionData4[[#This Row],[AdjustmentReasonCode]],'[1]Bad Debt Categories'!B:B,0)))</f>
        <v>N</v>
      </c>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A268C-2C1F-48AE-ACBC-AA104562EA58}">
  <sheetPr codeName="Sheet20"/>
  <dimension ref="A1:BF578"/>
  <sheetViews>
    <sheetView workbookViewId="0"/>
  </sheetViews>
  <sheetFormatPr defaultRowHeight="15" x14ac:dyDescent="0.25"/>
  <cols>
    <col min="1" max="1" width="14.85546875" bestFit="1" customWidth="1"/>
    <col min="2" max="2" width="13.42578125" bestFit="1" customWidth="1"/>
    <col min="3" max="3" width="32.42578125" bestFit="1" customWidth="1"/>
    <col min="4" max="4" width="12.42578125" style="142" bestFit="1" customWidth="1"/>
    <col min="5" max="5" width="8.85546875" bestFit="1" customWidth="1"/>
    <col min="6" max="6" width="16.7109375" bestFit="1" customWidth="1"/>
    <col min="7" max="7" width="15.42578125" bestFit="1" customWidth="1"/>
    <col min="8" max="8" width="22.28515625" bestFit="1" customWidth="1"/>
    <col min="9" max="9" width="12" bestFit="1" customWidth="1"/>
    <col min="10" max="10" width="20.42578125" bestFit="1" customWidth="1"/>
    <col min="11" max="11" width="14.5703125" bestFit="1" customWidth="1"/>
    <col min="12" max="12" width="20.85546875" bestFit="1" customWidth="1"/>
    <col min="13" max="13" width="18.28515625" bestFit="1" customWidth="1"/>
    <col min="14" max="14" width="18.42578125" bestFit="1" customWidth="1"/>
    <col min="15" max="15" width="17.85546875" bestFit="1" customWidth="1"/>
    <col min="16" max="16" width="22.5703125" bestFit="1" customWidth="1"/>
    <col min="17" max="17" width="14.28515625" bestFit="1" customWidth="1"/>
    <col min="18" max="18" width="17.5703125" bestFit="1" customWidth="1"/>
    <col min="19" max="19" width="13.7109375" bestFit="1" customWidth="1"/>
    <col min="20" max="20" width="18" bestFit="1" customWidth="1"/>
    <col min="21" max="21" width="17.42578125" bestFit="1" customWidth="1"/>
    <col min="22" max="22" width="19" bestFit="1" customWidth="1"/>
    <col min="23" max="23" width="14.42578125" bestFit="1" customWidth="1"/>
    <col min="24" max="24" width="17.140625" bestFit="1" customWidth="1"/>
    <col min="25" max="25" width="18.5703125" bestFit="1" customWidth="1"/>
    <col min="26" max="26" width="18" bestFit="1" customWidth="1"/>
    <col min="27" max="27" width="19.7109375" bestFit="1" customWidth="1"/>
    <col min="28" max="28" width="15" bestFit="1" customWidth="1"/>
    <col min="29" max="29" width="17.7109375" bestFit="1" customWidth="1"/>
    <col min="30" max="30" width="18.42578125" bestFit="1" customWidth="1"/>
    <col min="31" max="31" width="17.85546875" bestFit="1" customWidth="1"/>
    <col min="32" max="32" width="19.5703125" bestFit="1" customWidth="1"/>
    <col min="33" max="33" width="14.85546875" bestFit="1" customWidth="1"/>
    <col min="34" max="34" width="17.5703125" bestFit="1" customWidth="1"/>
    <col min="35" max="35" width="24.42578125" bestFit="1" customWidth="1"/>
    <col min="36" max="36" width="23.85546875" bestFit="1" customWidth="1"/>
    <col min="37" max="37" width="20.85546875" bestFit="1" customWidth="1"/>
    <col min="38" max="38" width="25.42578125" bestFit="1" customWidth="1"/>
    <col min="39" max="39" width="23.42578125" bestFit="1" customWidth="1"/>
    <col min="40" max="40" width="12.5703125" bestFit="1" customWidth="1"/>
    <col min="41" max="41" width="33.5703125" bestFit="1" customWidth="1"/>
    <col min="42" max="43" width="25.140625" bestFit="1" customWidth="1"/>
    <col min="44" max="44" width="29.28515625" bestFit="1" customWidth="1"/>
    <col min="45" max="45" width="40.7109375" bestFit="1" customWidth="1"/>
    <col min="46" max="46" width="32" bestFit="1" customWidth="1"/>
    <col min="47" max="47" width="16.7109375" bestFit="1" customWidth="1"/>
    <col min="48" max="48" width="25.140625" bestFit="1" customWidth="1"/>
    <col min="49" max="49" width="40.7109375" bestFit="1" customWidth="1"/>
    <col min="50" max="50" width="20.28515625" bestFit="1" customWidth="1"/>
    <col min="51" max="51" width="20.5703125" bestFit="1" customWidth="1"/>
    <col min="52" max="52" width="21.140625" bestFit="1" customWidth="1"/>
    <col min="53" max="53" width="22.85546875" bestFit="1" customWidth="1"/>
    <col min="54" max="54" width="12.7109375" bestFit="1" customWidth="1"/>
    <col min="55" max="55" width="18" bestFit="1" customWidth="1"/>
    <col min="56" max="58" width="11.140625" bestFit="1" customWidth="1"/>
  </cols>
  <sheetData>
    <row r="1" spans="1:58" x14ac:dyDescent="0.25">
      <c r="A1" t="s">
        <v>278</v>
      </c>
      <c r="B1" t="s">
        <v>279</v>
      </c>
      <c r="C1" t="s">
        <v>257</v>
      </c>
      <c r="D1" s="142" t="s">
        <v>258</v>
      </c>
      <c r="E1" t="s">
        <v>280</v>
      </c>
      <c r="F1" t="s">
        <v>281</v>
      </c>
      <c r="G1" t="s">
        <v>282</v>
      </c>
      <c r="H1" t="s">
        <v>283</v>
      </c>
      <c r="I1" t="s">
        <v>284</v>
      </c>
      <c r="J1" t="s">
        <v>285</v>
      </c>
      <c r="K1" t="s">
        <v>286</v>
      </c>
      <c r="L1" t="s">
        <v>287</v>
      </c>
      <c r="M1" t="s">
        <v>288</v>
      </c>
      <c r="N1" t="s">
        <v>289</v>
      </c>
      <c r="O1" t="s">
        <v>290</v>
      </c>
      <c r="P1" t="s">
        <v>291</v>
      </c>
      <c r="Q1" t="s">
        <v>292</v>
      </c>
      <c r="R1" t="s">
        <v>293</v>
      </c>
      <c r="S1" t="s">
        <v>294</v>
      </c>
      <c r="T1" t="s">
        <v>295</v>
      </c>
      <c r="U1" t="s">
        <v>296</v>
      </c>
      <c r="V1" t="s">
        <v>297</v>
      </c>
      <c r="W1" t="s">
        <v>298</v>
      </c>
      <c r="X1" t="s">
        <v>299</v>
      </c>
      <c r="Y1" t="s">
        <v>300</v>
      </c>
      <c r="Z1" t="s">
        <v>301</v>
      </c>
      <c r="AA1" t="s">
        <v>302</v>
      </c>
      <c r="AB1" t="s">
        <v>303</v>
      </c>
      <c r="AC1" t="s">
        <v>304</v>
      </c>
      <c r="AD1" t="s">
        <v>305</v>
      </c>
      <c r="AE1" t="s">
        <v>306</v>
      </c>
      <c r="AF1" t="s">
        <v>307</v>
      </c>
      <c r="AG1" t="s">
        <v>308</v>
      </c>
      <c r="AH1" t="s">
        <v>309</v>
      </c>
      <c r="AI1" t="s">
        <v>310</v>
      </c>
      <c r="AJ1" t="s">
        <v>311</v>
      </c>
      <c r="AK1" t="s">
        <v>312</v>
      </c>
      <c r="AL1" t="s">
        <v>313</v>
      </c>
      <c r="AM1" t="s">
        <v>314</v>
      </c>
      <c r="AN1" t="s">
        <v>315</v>
      </c>
      <c r="AO1" t="s">
        <v>316</v>
      </c>
      <c r="AP1" t="s">
        <v>317</v>
      </c>
      <c r="AQ1" t="s">
        <v>318</v>
      </c>
      <c r="AR1" t="s">
        <v>319</v>
      </c>
      <c r="AS1" t="s">
        <v>320</v>
      </c>
      <c r="AT1" t="s">
        <v>321</v>
      </c>
      <c r="AU1" t="s">
        <v>322</v>
      </c>
      <c r="AV1" t="s">
        <v>323</v>
      </c>
      <c r="AW1" t="s">
        <v>324</v>
      </c>
      <c r="AX1" t="s">
        <v>325</v>
      </c>
      <c r="AY1" t="s">
        <v>326</v>
      </c>
      <c r="AZ1" t="s">
        <v>327</v>
      </c>
      <c r="BA1" t="s">
        <v>328</v>
      </c>
      <c r="BB1" t="s">
        <v>329</v>
      </c>
      <c r="BC1" t="s">
        <v>330</v>
      </c>
      <c r="BD1" t="s">
        <v>478</v>
      </c>
      <c r="BE1" t="s">
        <v>479</v>
      </c>
      <c r="BF1" t="s">
        <v>480</v>
      </c>
    </row>
    <row r="2" spans="1:58" x14ac:dyDescent="0.25">
      <c r="A2" t="s">
        <v>100</v>
      </c>
      <c r="B2">
        <v>6</v>
      </c>
      <c r="C2" t="s">
        <v>331</v>
      </c>
      <c r="D2" s="142">
        <v>45199</v>
      </c>
      <c r="E2">
        <v>217648</v>
      </c>
      <c r="F2">
        <v>3111168</v>
      </c>
      <c r="G2">
        <v>14146710</v>
      </c>
      <c r="H2" t="b">
        <v>0</v>
      </c>
      <c r="I2">
        <v>2146</v>
      </c>
      <c r="J2" t="s">
        <v>416</v>
      </c>
      <c r="K2">
        <v>45</v>
      </c>
      <c r="L2">
        <v>45</v>
      </c>
      <c r="M2">
        <v>1</v>
      </c>
      <c r="N2">
        <v>0</v>
      </c>
      <c r="O2">
        <v>0</v>
      </c>
      <c r="P2">
        <v>0</v>
      </c>
      <c r="Q2">
        <v>0</v>
      </c>
      <c r="R2">
        <v>0</v>
      </c>
      <c r="S2" s="148"/>
      <c r="T2">
        <v>45</v>
      </c>
      <c r="U2">
        <v>0</v>
      </c>
      <c r="V2">
        <v>0</v>
      </c>
      <c r="W2">
        <v>0</v>
      </c>
      <c r="X2">
        <v>45</v>
      </c>
      <c r="Y2">
        <v>0</v>
      </c>
      <c r="Z2">
        <v>0</v>
      </c>
      <c r="AA2">
        <v>1</v>
      </c>
      <c r="AB2">
        <v>16.149999999999999</v>
      </c>
      <c r="AC2">
        <v>0</v>
      </c>
      <c r="AD2">
        <v>0</v>
      </c>
      <c r="AE2">
        <v>0</v>
      </c>
      <c r="AF2">
        <v>0</v>
      </c>
      <c r="AG2">
        <v>0</v>
      </c>
      <c r="AH2">
        <v>0</v>
      </c>
      <c r="AI2">
        <v>0</v>
      </c>
      <c r="AJ2">
        <v>0</v>
      </c>
      <c r="AK2">
        <v>0</v>
      </c>
      <c r="AL2">
        <v>0</v>
      </c>
      <c r="AM2">
        <v>0</v>
      </c>
      <c r="AN2">
        <v>-16.149999999999999</v>
      </c>
      <c r="AP2" t="s">
        <v>260</v>
      </c>
      <c r="AQ2" t="s">
        <v>265</v>
      </c>
      <c r="AS2" t="s">
        <v>433</v>
      </c>
      <c r="AT2" t="s">
        <v>425</v>
      </c>
      <c r="AV2" t="s">
        <v>260</v>
      </c>
      <c r="AW2" t="s">
        <v>433</v>
      </c>
      <c r="AX2">
        <v>0</v>
      </c>
      <c r="AY2">
        <v>0</v>
      </c>
      <c r="AZ2" t="s">
        <v>233</v>
      </c>
      <c r="BA2" t="s">
        <v>233</v>
      </c>
      <c r="BB2" t="s">
        <v>411</v>
      </c>
      <c r="BC2">
        <v>8</v>
      </c>
      <c r="BD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-199.54000000000002</v>
      </c>
      <c r="BE2" t="str">
        <f>IF(GetCurrentMonthAging3[[#This Row],[InsGroupPrimary]]="","YES","NO")</f>
        <v>NO</v>
      </c>
      <c r="BF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-199.54000000000002</v>
      </c>
    </row>
    <row r="3" spans="1:58" x14ac:dyDescent="0.25">
      <c r="A3" t="s">
        <v>100</v>
      </c>
      <c r="B3">
        <v>6</v>
      </c>
      <c r="C3" t="s">
        <v>331</v>
      </c>
      <c r="D3" s="142">
        <v>45199</v>
      </c>
      <c r="E3">
        <v>260674</v>
      </c>
      <c r="F3">
        <v>3728743</v>
      </c>
      <c r="G3">
        <v>16794531</v>
      </c>
      <c r="H3" t="b">
        <v>0</v>
      </c>
      <c r="I3">
        <v>1908</v>
      </c>
      <c r="J3" t="s">
        <v>412</v>
      </c>
      <c r="K3">
        <v>45</v>
      </c>
      <c r="L3">
        <v>45</v>
      </c>
      <c r="M3">
        <v>1</v>
      </c>
      <c r="N3">
        <v>0</v>
      </c>
      <c r="O3">
        <v>0</v>
      </c>
      <c r="P3">
        <v>0</v>
      </c>
      <c r="Q3">
        <v>0</v>
      </c>
      <c r="R3">
        <v>0</v>
      </c>
      <c r="T3">
        <v>45</v>
      </c>
      <c r="U3">
        <v>0</v>
      </c>
      <c r="V3">
        <v>2</v>
      </c>
      <c r="W3">
        <v>33.74</v>
      </c>
      <c r="X3">
        <v>14.72</v>
      </c>
      <c r="Y3">
        <v>0</v>
      </c>
      <c r="Z3">
        <v>2.4500000000000002</v>
      </c>
      <c r="AA3">
        <v>2</v>
      </c>
      <c r="AB3">
        <v>8.6</v>
      </c>
      <c r="AC3">
        <v>0</v>
      </c>
      <c r="AD3">
        <v>0</v>
      </c>
      <c r="AE3">
        <v>0</v>
      </c>
      <c r="AF3">
        <v>0</v>
      </c>
      <c r="AG3">
        <v>0</v>
      </c>
      <c r="AH3">
        <v>0</v>
      </c>
      <c r="AI3">
        <v>0</v>
      </c>
      <c r="AJ3">
        <v>0</v>
      </c>
      <c r="AK3">
        <v>0</v>
      </c>
      <c r="AL3">
        <v>0</v>
      </c>
      <c r="AM3">
        <v>0</v>
      </c>
      <c r="AN3">
        <v>-12.06</v>
      </c>
      <c r="AP3" t="s">
        <v>261</v>
      </c>
      <c r="AQ3" t="s">
        <v>260</v>
      </c>
      <c r="AS3" t="s">
        <v>413</v>
      </c>
      <c r="AT3" t="s">
        <v>451</v>
      </c>
      <c r="AV3" t="s">
        <v>332</v>
      </c>
      <c r="AW3" t="s">
        <v>332</v>
      </c>
      <c r="AX3">
        <v>0</v>
      </c>
      <c r="AY3">
        <v>0</v>
      </c>
      <c r="AZ3" t="s">
        <v>264</v>
      </c>
      <c r="BA3" t="s">
        <v>264</v>
      </c>
      <c r="BB3" t="s">
        <v>411</v>
      </c>
      <c r="BC3">
        <v>8</v>
      </c>
      <c r="BD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-12.06</v>
      </c>
      <c r="BE3" t="str">
        <f>IF(GetCurrentMonthAging3[[#This Row],[InsGroupPrimary]]="","YES","NO")</f>
        <v>NO</v>
      </c>
      <c r="BF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-12.06</v>
      </c>
    </row>
    <row r="4" spans="1:58" x14ac:dyDescent="0.25">
      <c r="A4" t="s">
        <v>100</v>
      </c>
      <c r="B4">
        <v>6</v>
      </c>
      <c r="C4" t="s">
        <v>331</v>
      </c>
      <c r="D4" s="142">
        <v>45199</v>
      </c>
      <c r="E4">
        <v>58000</v>
      </c>
      <c r="F4">
        <v>773557</v>
      </c>
      <c r="G4">
        <v>4211932</v>
      </c>
      <c r="H4" t="b">
        <v>0</v>
      </c>
      <c r="I4">
        <v>3141</v>
      </c>
      <c r="J4" t="s">
        <v>416</v>
      </c>
      <c r="K4">
        <v>45</v>
      </c>
      <c r="L4">
        <v>45</v>
      </c>
      <c r="M4">
        <v>1</v>
      </c>
      <c r="N4">
        <v>0</v>
      </c>
      <c r="O4">
        <v>0</v>
      </c>
      <c r="P4">
        <v>0</v>
      </c>
      <c r="Q4">
        <v>0</v>
      </c>
      <c r="R4">
        <v>0</v>
      </c>
      <c r="T4">
        <v>45</v>
      </c>
      <c r="U4">
        <v>0</v>
      </c>
      <c r="V4">
        <v>1</v>
      </c>
      <c r="W4">
        <v>25.75</v>
      </c>
      <c r="X4">
        <v>12.68</v>
      </c>
      <c r="Y4">
        <v>0</v>
      </c>
      <c r="Z4">
        <v>6.57</v>
      </c>
      <c r="AA4">
        <v>1</v>
      </c>
      <c r="AB4">
        <v>21.34</v>
      </c>
      <c r="AC4">
        <v>0</v>
      </c>
      <c r="AD4">
        <v>0</v>
      </c>
      <c r="AE4">
        <v>0</v>
      </c>
      <c r="AF4">
        <v>0</v>
      </c>
      <c r="AG4">
        <v>0</v>
      </c>
      <c r="AH4">
        <v>0</v>
      </c>
      <c r="AI4">
        <v>0</v>
      </c>
      <c r="AJ4">
        <v>0</v>
      </c>
      <c r="AK4">
        <v>0</v>
      </c>
      <c r="AL4">
        <v>0</v>
      </c>
      <c r="AM4">
        <v>0</v>
      </c>
      <c r="AN4">
        <v>-14.77</v>
      </c>
      <c r="AP4" t="s">
        <v>261</v>
      </c>
      <c r="AQ4" t="s">
        <v>260</v>
      </c>
      <c r="AS4" t="s">
        <v>413</v>
      </c>
      <c r="AT4" t="s">
        <v>442</v>
      </c>
      <c r="AV4" t="s">
        <v>332</v>
      </c>
      <c r="AW4" t="s">
        <v>332</v>
      </c>
      <c r="AX4">
        <v>0</v>
      </c>
      <c r="AY4">
        <v>0</v>
      </c>
      <c r="AZ4" t="s">
        <v>233</v>
      </c>
      <c r="BA4" t="s">
        <v>233</v>
      </c>
      <c r="BB4" t="s">
        <v>411</v>
      </c>
      <c r="BC4">
        <v>8</v>
      </c>
      <c r="BD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-15.04</v>
      </c>
      <c r="BE4" t="str">
        <f>IF(GetCurrentMonthAging3[[#This Row],[InsGroupPrimary]]="","YES","NO")</f>
        <v>NO</v>
      </c>
      <c r="BF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-15.04</v>
      </c>
    </row>
    <row r="5" spans="1:58" x14ac:dyDescent="0.25">
      <c r="A5" t="s">
        <v>100</v>
      </c>
      <c r="B5">
        <v>6</v>
      </c>
      <c r="C5" t="s">
        <v>331</v>
      </c>
      <c r="D5" s="142">
        <v>45199</v>
      </c>
      <c r="E5">
        <v>58000</v>
      </c>
      <c r="F5">
        <v>773557</v>
      </c>
      <c r="G5">
        <v>4211968</v>
      </c>
      <c r="H5" t="b">
        <v>0</v>
      </c>
      <c r="I5">
        <v>3141</v>
      </c>
      <c r="J5" t="s">
        <v>412</v>
      </c>
      <c r="K5">
        <v>90</v>
      </c>
      <c r="L5">
        <v>45</v>
      </c>
      <c r="M5">
        <v>2</v>
      </c>
      <c r="N5">
        <v>0</v>
      </c>
      <c r="O5">
        <v>0</v>
      </c>
      <c r="P5">
        <v>0</v>
      </c>
      <c r="Q5">
        <v>0</v>
      </c>
      <c r="R5">
        <v>0</v>
      </c>
      <c r="T5">
        <v>90</v>
      </c>
      <c r="U5">
        <v>0</v>
      </c>
      <c r="V5">
        <v>1</v>
      </c>
      <c r="W5">
        <v>38.15</v>
      </c>
      <c r="X5">
        <v>42.12</v>
      </c>
      <c r="Y5">
        <v>0</v>
      </c>
      <c r="Z5">
        <v>9.73</v>
      </c>
      <c r="AA5">
        <v>1</v>
      </c>
      <c r="AB5">
        <v>10</v>
      </c>
      <c r="AC5">
        <v>0</v>
      </c>
      <c r="AD5">
        <v>0</v>
      </c>
      <c r="AE5">
        <v>0</v>
      </c>
      <c r="AF5">
        <v>0</v>
      </c>
      <c r="AG5">
        <v>0</v>
      </c>
      <c r="AH5">
        <v>0</v>
      </c>
      <c r="AI5">
        <v>0</v>
      </c>
      <c r="AJ5">
        <v>0</v>
      </c>
      <c r="AK5">
        <v>0</v>
      </c>
      <c r="AL5">
        <v>0</v>
      </c>
      <c r="AM5">
        <v>0</v>
      </c>
      <c r="AN5">
        <v>-0.27</v>
      </c>
      <c r="AP5" t="s">
        <v>261</v>
      </c>
      <c r="AQ5" t="s">
        <v>260</v>
      </c>
      <c r="AS5" t="s">
        <v>413</v>
      </c>
      <c r="AT5" t="s">
        <v>442</v>
      </c>
      <c r="AV5" t="s">
        <v>332</v>
      </c>
      <c r="AW5" t="s">
        <v>332</v>
      </c>
      <c r="AX5">
        <v>0</v>
      </c>
      <c r="AY5">
        <v>0</v>
      </c>
      <c r="AZ5" t="s">
        <v>233</v>
      </c>
      <c r="BA5" t="s">
        <v>233</v>
      </c>
      <c r="BB5" t="s">
        <v>411</v>
      </c>
      <c r="BC5">
        <v>8</v>
      </c>
      <c r="BD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-15.04</v>
      </c>
      <c r="BE5" t="str">
        <f>IF(GetCurrentMonthAging3[[#This Row],[InsGroupPrimary]]="","YES","NO")</f>
        <v>NO</v>
      </c>
      <c r="BF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-15.04</v>
      </c>
    </row>
    <row r="6" spans="1:58" x14ac:dyDescent="0.25">
      <c r="A6" t="s">
        <v>100</v>
      </c>
      <c r="B6">
        <v>6</v>
      </c>
      <c r="C6" t="s">
        <v>331</v>
      </c>
      <c r="D6" s="142">
        <v>45199</v>
      </c>
      <c r="E6">
        <v>157121</v>
      </c>
      <c r="F6">
        <v>2151115</v>
      </c>
      <c r="G6">
        <v>10339726</v>
      </c>
      <c r="H6" t="b">
        <v>0</v>
      </c>
      <c r="I6">
        <v>2504</v>
      </c>
      <c r="J6" t="s">
        <v>416</v>
      </c>
      <c r="K6">
        <v>45</v>
      </c>
      <c r="L6">
        <v>45</v>
      </c>
      <c r="M6">
        <v>1</v>
      </c>
      <c r="N6">
        <v>0</v>
      </c>
      <c r="O6">
        <v>6.65</v>
      </c>
      <c r="P6">
        <v>0</v>
      </c>
      <c r="Q6">
        <v>6.65</v>
      </c>
      <c r="R6">
        <v>0</v>
      </c>
      <c r="T6">
        <v>45</v>
      </c>
      <c r="U6">
        <v>0</v>
      </c>
      <c r="V6">
        <v>1</v>
      </c>
      <c r="W6">
        <v>26.08</v>
      </c>
      <c r="X6">
        <v>12.27</v>
      </c>
      <c r="Y6">
        <v>0</v>
      </c>
      <c r="Z6">
        <v>0</v>
      </c>
      <c r="AA6">
        <v>0</v>
      </c>
      <c r="AB6">
        <v>0</v>
      </c>
      <c r="AC6">
        <v>0</v>
      </c>
      <c r="AD6">
        <v>0</v>
      </c>
      <c r="AE6">
        <v>0</v>
      </c>
      <c r="AF6">
        <v>0</v>
      </c>
      <c r="AG6">
        <v>0</v>
      </c>
      <c r="AH6">
        <v>0</v>
      </c>
      <c r="AI6">
        <v>0</v>
      </c>
      <c r="AJ6">
        <v>0</v>
      </c>
      <c r="AK6">
        <v>6.65</v>
      </c>
      <c r="AL6">
        <v>1</v>
      </c>
      <c r="AM6">
        <v>0</v>
      </c>
      <c r="AN6">
        <v>-6.65</v>
      </c>
      <c r="AP6" t="s">
        <v>261</v>
      </c>
      <c r="AS6" t="s">
        <v>413</v>
      </c>
      <c r="AV6" t="s">
        <v>261</v>
      </c>
      <c r="AW6" t="s">
        <v>413</v>
      </c>
      <c r="AX6">
        <v>0</v>
      </c>
      <c r="AY6">
        <v>0</v>
      </c>
      <c r="AZ6" t="s">
        <v>233</v>
      </c>
      <c r="BA6" t="s">
        <v>233</v>
      </c>
      <c r="BB6" t="s">
        <v>411</v>
      </c>
      <c r="BC6">
        <v>8</v>
      </c>
      <c r="BD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-141.27000000000001</v>
      </c>
      <c r="BE6" t="str">
        <f>IF(GetCurrentMonthAging3[[#This Row],[InsGroupPrimary]]="","YES","NO")</f>
        <v>NO</v>
      </c>
      <c r="BF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-141.27000000000001</v>
      </c>
    </row>
    <row r="7" spans="1:58" x14ac:dyDescent="0.25">
      <c r="A7" t="s">
        <v>100</v>
      </c>
      <c r="B7">
        <v>6</v>
      </c>
      <c r="C7" t="s">
        <v>331</v>
      </c>
      <c r="D7" s="142">
        <v>45199</v>
      </c>
      <c r="E7">
        <v>157121</v>
      </c>
      <c r="F7">
        <v>2151115</v>
      </c>
      <c r="G7">
        <v>10339725</v>
      </c>
      <c r="H7" t="b">
        <v>0</v>
      </c>
      <c r="I7">
        <v>2504</v>
      </c>
      <c r="J7" t="s">
        <v>412</v>
      </c>
      <c r="K7">
        <v>90</v>
      </c>
      <c r="L7">
        <v>45</v>
      </c>
      <c r="M7">
        <v>2</v>
      </c>
      <c r="N7">
        <v>0</v>
      </c>
      <c r="O7">
        <v>9.75</v>
      </c>
      <c r="P7">
        <v>0</v>
      </c>
      <c r="Q7">
        <v>9.75</v>
      </c>
      <c r="R7">
        <v>0</v>
      </c>
      <c r="T7">
        <v>90</v>
      </c>
      <c r="U7">
        <v>0</v>
      </c>
      <c r="V7">
        <v>1</v>
      </c>
      <c r="W7">
        <v>38.21</v>
      </c>
      <c r="X7">
        <v>42.04</v>
      </c>
      <c r="Y7">
        <v>0</v>
      </c>
      <c r="Z7">
        <v>0</v>
      </c>
      <c r="AA7">
        <v>0</v>
      </c>
      <c r="AB7">
        <v>0</v>
      </c>
      <c r="AC7">
        <v>0</v>
      </c>
      <c r="AD7">
        <v>0</v>
      </c>
      <c r="AE7">
        <v>0</v>
      </c>
      <c r="AF7">
        <v>0</v>
      </c>
      <c r="AG7">
        <v>0</v>
      </c>
      <c r="AH7">
        <v>0</v>
      </c>
      <c r="AI7">
        <v>0</v>
      </c>
      <c r="AJ7">
        <v>0</v>
      </c>
      <c r="AK7">
        <v>9.75</v>
      </c>
      <c r="AL7">
        <v>1</v>
      </c>
      <c r="AM7">
        <v>0</v>
      </c>
      <c r="AN7">
        <v>-9.75</v>
      </c>
      <c r="AP7" t="s">
        <v>261</v>
      </c>
      <c r="AS7" t="s">
        <v>413</v>
      </c>
      <c r="AV7" t="s">
        <v>261</v>
      </c>
      <c r="AW7" t="s">
        <v>413</v>
      </c>
      <c r="AX7">
        <v>0</v>
      </c>
      <c r="AY7">
        <v>0</v>
      </c>
      <c r="AZ7" t="s">
        <v>233</v>
      </c>
      <c r="BA7" t="s">
        <v>233</v>
      </c>
      <c r="BB7" t="s">
        <v>411</v>
      </c>
      <c r="BC7">
        <v>8</v>
      </c>
      <c r="BD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-141.27000000000001</v>
      </c>
      <c r="BE7" t="str">
        <f>IF(GetCurrentMonthAging3[[#This Row],[InsGroupPrimary]]="","YES","NO")</f>
        <v>NO</v>
      </c>
      <c r="BF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-141.27000000000001</v>
      </c>
    </row>
    <row r="8" spans="1:58" x14ac:dyDescent="0.25">
      <c r="A8" t="s">
        <v>100</v>
      </c>
      <c r="B8">
        <v>6</v>
      </c>
      <c r="C8" t="s">
        <v>331</v>
      </c>
      <c r="D8" s="142">
        <v>45199</v>
      </c>
      <c r="E8">
        <v>157121</v>
      </c>
      <c r="F8">
        <v>2154066</v>
      </c>
      <c r="G8">
        <v>10530168</v>
      </c>
      <c r="H8" t="b">
        <v>0</v>
      </c>
      <c r="I8">
        <v>2486</v>
      </c>
      <c r="J8" t="s">
        <v>432</v>
      </c>
      <c r="K8">
        <v>45</v>
      </c>
      <c r="L8">
        <v>45</v>
      </c>
      <c r="M8">
        <v>1</v>
      </c>
      <c r="N8">
        <v>0</v>
      </c>
      <c r="O8">
        <v>4.2699999999999996</v>
      </c>
      <c r="P8">
        <v>0</v>
      </c>
      <c r="Q8">
        <v>4.2699999999999996</v>
      </c>
      <c r="R8">
        <v>0</v>
      </c>
      <c r="T8">
        <v>45</v>
      </c>
      <c r="U8">
        <v>0</v>
      </c>
      <c r="V8">
        <v>1</v>
      </c>
      <c r="W8">
        <v>16.75</v>
      </c>
      <c r="X8">
        <v>23.98</v>
      </c>
      <c r="Y8">
        <v>0</v>
      </c>
      <c r="Z8">
        <v>0</v>
      </c>
      <c r="AA8">
        <v>0</v>
      </c>
      <c r="AB8">
        <v>0</v>
      </c>
      <c r="AC8">
        <v>0</v>
      </c>
      <c r="AD8">
        <v>0</v>
      </c>
      <c r="AE8">
        <v>0</v>
      </c>
      <c r="AF8">
        <v>0</v>
      </c>
      <c r="AG8">
        <v>0</v>
      </c>
      <c r="AH8">
        <v>0</v>
      </c>
      <c r="AI8">
        <v>0</v>
      </c>
      <c r="AJ8">
        <v>0</v>
      </c>
      <c r="AK8">
        <v>4.2699999999999996</v>
      </c>
      <c r="AL8">
        <v>1</v>
      </c>
      <c r="AM8">
        <v>0</v>
      </c>
      <c r="AN8">
        <v>-4.2699999999999996</v>
      </c>
      <c r="AP8" t="s">
        <v>261</v>
      </c>
      <c r="AS8" t="s">
        <v>413</v>
      </c>
      <c r="AV8" t="s">
        <v>261</v>
      </c>
      <c r="AW8" t="s">
        <v>413</v>
      </c>
      <c r="AX8">
        <v>0</v>
      </c>
      <c r="AY8">
        <v>0</v>
      </c>
      <c r="AZ8" t="s">
        <v>233</v>
      </c>
      <c r="BA8" t="s">
        <v>233</v>
      </c>
      <c r="BB8" t="s">
        <v>411</v>
      </c>
      <c r="BC8">
        <v>8</v>
      </c>
      <c r="BD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-141.27000000000001</v>
      </c>
      <c r="BE8" t="str">
        <f>IF(GetCurrentMonthAging3[[#This Row],[InsGroupPrimary]]="","YES","NO")</f>
        <v>NO</v>
      </c>
      <c r="BF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-141.27000000000001</v>
      </c>
    </row>
    <row r="9" spans="1:58" x14ac:dyDescent="0.25">
      <c r="A9" t="s">
        <v>100</v>
      </c>
      <c r="B9">
        <v>6</v>
      </c>
      <c r="C9" t="s">
        <v>331</v>
      </c>
      <c r="D9" s="142">
        <v>45199</v>
      </c>
      <c r="E9">
        <v>157121</v>
      </c>
      <c r="F9">
        <v>2154066</v>
      </c>
      <c r="G9">
        <v>10530169</v>
      </c>
      <c r="H9" t="b">
        <v>0</v>
      </c>
      <c r="I9">
        <v>2486</v>
      </c>
      <c r="J9" t="s">
        <v>412</v>
      </c>
      <c r="K9">
        <v>135</v>
      </c>
      <c r="L9">
        <v>45</v>
      </c>
      <c r="M9">
        <v>3</v>
      </c>
      <c r="N9">
        <v>0</v>
      </c>
      <c r="O9">
        <v>16.13</v>
      </c>
      <c r="P9">
        <v>0</v>
      </c>
      <c r="Q9">
        <v>16.13</v>
      </c>
      <c r="R9">
        <v>0</v>
      </c>
      <c r="T9">
        <v>135</v>
      </c>
      <c r="U9">
        <v>0</v>
      </c>
      <c r="V9">
        <v>1</v>
      </c>
      <c r="W9">
        <v>63.21</v>
      </c>
      <c r="X9">
        <v>55.66</v>
      </c>
      <c r="Y9">
        <v>0</v>
      </c>
      <c r="Z9">
        <v>0</v>
      </c>
      <c r="AA9">
        <v>0</v>
      </c>
      <c r="AB9">
        <v>0</v>
      </c>
      <c r="AC9">
        <v>0</v>
      </c>
      <c r="AD9">
        <v>0</v>
      </c>
      <c r="AE9">
        <v>0</v>
      </c>
      <c r="AF9">
        <v>0</v>
      </c>
      <c r="AG9">
        <v>0</v>
      </c>
      <c r="AH9">
        <v>0</v>
      </c>
      <c r="AI9">
        <v>0</v>
      </c>
      <c r="AJ9">
        <v>0</v>
      </c>
      <c r="AK9">
        <v>16.13</v>
      </c>
      <c r="AL9">
        <v>1</v>
      </c>
      <c r="AM9">
        <v>0</v>
      </c>
      <c r="AN9">
        <v>-16.13</v>
      </c>
      <c r="AP9" t="s">
        <v>261</v>
      </c>
      <c r="AS9" t="s">
        <v>413</v>
      </c>
      <c r="AV9" t="s">
        <v>261</v>
      </c>
      <c r="AW9" t="s">
        <v>413</v>
      </c>
      <c r="AX9">
        <v>0</v>
      </c>
      <c r="AY9">
        <v>0</v>
      </c>
      <c r="AZ9" t="s">
        <v>233</v>
      </c>
      <c r="BA9" t="s">
        <v>233</v>
      </c>
      <c r="BB9" t="s">
        <v>411</v>
      </c>
      <c r="BC9">
        <v>8</v>
      </c>
      <c r="BD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-141.27000000000001</v>
      </c>
      <c r="BE9" t="str">
        <f>IF(GetCurrentMonthAging3[[#This Row],[InsGroupPrimary]]="","YES","NO")</f>
        <v>NO</v>
      </c>
      <c r="BF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-141.27000000000001</v>
      </c>
    </row>
    <row r="10" spans="1:58" x14ac:dyDescent="0.25">
      <c r="A10" t="s">
        <v>100</v>
      </c>
      <c r="B10">
        <v>6</v>
      </c>
      <c r="C10" t="s">
        <v>331</v>
      </c>
      <c r="D10" s="142">
        <v>45199</v>
      </c>
      <c r="E10">
        <v>64004</v>
      </c>
      <c r="F10">
        <v>765511</v>
      </c>
      <c r="G10">
        <v>4164958</v>
      </c>
      <c r="H10" t="b">
        <v>0</v>
      </c>
      <c r="I10">
        <v>3151</v>
      </c>
      <c r="J10" t="s">
        <v>412</v>
      </c>
      <c r="K10">
        <v>45</v>
      </c>
      <c r="L10">
        <v>45</v>
      </c>
      <c r="M10">
        <v>1</v>
      </c>
      <c r="N10">
        <v>0</v>
      </c>
      <c r="O10">
        <v>0</v>
      </c>
      <c r="P10">
        <v>0</v>
      </c>
      <c r="Q10">
        <v>0</v>
      </c>
      <c r="R10">
        <v>0</v>
      </c>
      <c r="T10">
        <v>45</v>
      </c>
      <c r="U10">
        <v>0</v>
      </c>
      <c r="V10">
        <v>0</v>
      </c>
      <c r="W10">
        <v>0</v>
      </c>
      <c r="X10">
        <v>29.25</v>
      </c>
      <c r="Y10">
        <v>0</v>
      </c>
      <c r="Z10">
        <v>15.75</v>
      </c>
      <c r="AA10">
        <v>1</v>
      </c>
      <c r="AB10">
        <v>19.07</v>
      </c>
      <c r="AC10">
        <v>0</v>
      </c>
      <c r="AD10">
        <v>0</v>
      </c>
      <c r="AE10">
        <v>0</v>
      </c>
      <c r="AF10">
        <v>0</v>
      </c>
      <c r="AG10">
        <v>0</v>
      </c>
      <c r="AH10">
        <v>0</v>
      </c>
      <c r="AI10">
        <v>0</v>
      </c>
      <c r="AJ10">
        <v>0</v>
      </c>
      <c r="AK10">
        <v>0</v>
      </c>
      <c r="AL10">
        <v>0</v>
      </c>
      <c r="AM10">
        <v>0</v>
      </c>
      <c r="AN10">
        <v>-3.32</v>
      </c>
      <c r="AP10" t="s">
        <v>265</v>
      </c>
      <c r="AQ10" t="s">
        <v>261</v>
      </c>
      <c r="AS10" t="s">
        <v>425</v>
      </c>
      <c r="AT10" t="s">
        <v>413</v>
      </c>
      <c r="AV10" t="s">
        <v>265</v>
      </c>
      <c r="AW10" t="s">
        <v>425</v>
      </c>
      <c r="AX10">
        <v>0</v>
      </c>
      <c r="AY10">
        <v>0</v>
      </c>
      <c r="AZ10" t="s">
        <v>264</v>
      </c>
      <c r="BA10" t="s">
        <v>264</v>
      </c>
      <c r="BB10" t="s">
        <v>411</v>
      </c>
      <c r="BC10">
        <v>8</v>
      </c>
      <c r="BD1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-56.79</v>
      </c>
      <c r="BE10" t="str">
        <f>IF(GetCurrentMonthAging3[[#This Row],[InsGroupPrimary]]="","YES","NO")</f>
        <v>NO</v>
      </c>
      <c r="BF1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-56.79</v>
      </c>
    </row>
    <row r="11" spans="1:58" x14ac:dyDescent="0.25">
      <c r="A11" t="s">
        <v>100</v>
      </c>
      <c r="B11">
        <v>6</v>
      </c>
      <c r="C11" t="s">
        <v>331</v>
      </c>
      <c r="D11" s="142">
        <v>45199</v>
      </c>
      <c r="E11">
        <v>32798</v>
      </c>
      <c r="F11">
        <v>370706</v>
      </c>
      <c r="G11">
        <v>2758692</v>
      </c>
      <c r="H11" t="b">
        <v>0</v>
      </c>
      <c r="I11">
        <v>3655</v>
      </c>
      <c r="J11" t="s">
        <v>422</v>
      </c>
      <c r="K11">
        <v>90</v>
      </c>
      <c r="L11">
        <v>90</v>
      </c>
      <c r="M11">
        <v>1</v>
      </c>
      <c r="N11">
        <v>0</v>
      </c>
      <c r="O11">
        <v>0</v>
      </c>
      <c r="P11">
        <v>0</v>
      </c>
      <c r="Q11">
        <v>0</v>
      </c>
      <c r="R11">
        <v>0</v>
      </c>
      <c r="T11">
        <v>90</v>
      </c>
      <c r="U11">
        <v>0</v>
      </c>
      <c r="V11">
        <v>0</v>
      </c>
      <c r="W11">
        <v>0</v>
      </c>
      <c r="X11">
        <v>0</v>
      </c>
      <c r="Y11">
        <v>0</v>
      </c>
      <c r="Z11">
        <v>0</v>
      </c>
      <c r="AA11">
        <v>0</v>
      </c>
      <c r="AB11">
        <v>0</v>
      </c>
      <c r="AC11">
        <v>0</v>
      </c>
      <c r="AD11">
        <v>0</v>
      </c>
      <c r="AE11">
        <v>0</v>
      </c>
      <c r="AF11">
        <v>0</v>
      </c>
      <c r="AG11">
        <v>0</v>
      </c>
      <c r="AH11">
        <v>0</v>
      </c>
      <c r="AI11">
        <v>0</v>
      </c>
      <c r="AJ11">
        <v>0</v>
      </c>
      <c r="AK11">
        <v>0</v>
      </c>
      <c r="AL11">
        <v>0</v>
      </c>
      <c r="AM11">
        <v>0</v>
      </c>
      <c r="AN11">
        <v>90</v>
      </c>
      <c r="AP11" t="s">
        <v>263</v>
      </c>
      <c r="AS11" t="s">
        <v>439</v>
      </c>
      <c r="AV11" t="s">
        <v>263</v>
      </c>
      <c r="AW11" t="s">
        <v>439</v>
      </c>
      <c r="AX11">
        <v>0</v>
      </c>
      <c r="AY11">
        <v>0</v>
      </c>
      <c r="AZ11" t="s">
        <v>233</v>
      </c>
      <c r="BA11" t="s">
        <v>233</v>
      </c>
      <c r="BB11" t="s">
        <v>411</v>
      </c>
      <c r="BC11">
        <v>8</v>
      </c>
      <c r="BD1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11" t="str">
        <f>IF(GetCurrentMonthAging3[[#This Row],[InsGroupPrimary]]="","YES","NO")</f>
        <v>NO</v>
      </c>
      <c r="BF1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12" spans="1:58" x14ac:dyDescent="0.25">
      <c r="A12" t="s">
        <v>100</v>
      </c>
      <c r="B12">
        <v>6</v>
      </c>
      <c r="C12" t="s">
        <v>331</v>
      </c>
      <c r="D12" s="142">
        <v>45199</v>
      </c>
      <c r="E12">
        <v>36800</v>
      </c>
      <c r="F12">
        <v>426499</v>
      </c>
      <c r="G12">
        <v>2822115</v>
      </c>
      <c r="H12" t="b">
        <v>0</v>
      </c>
      <c r="I12">
        <v>3522</v>
      </c>
      <c r="J12" t="s">
        <v>412</v>
      </c>
      <c r="K12">
        <v>90</v>
      </c>
      <c r="L12">
        <v>45</v>
      </c>
      <c r="M12">
        <v>2</v>
      </c>
      <c r="N12">
        <v>0</v>
      </c>
      <c r="O12">
        <v>0</v>
      </c>
      <c r="P12">
        <v>0</v>
      </c>
      <c r="Q12">
        <v>0</v>
      </c>
      <c r="R12">
        <v>0</v>
      </c>
      <c r="T12">
        <v>90</v>
      </c>
      <c r="U12">
        <v>0</v>
      </c>
      <c r="V12">
        <v>1</v>
      </c>
      <c r="W12">
        <v>37.729999999999997</v>
      </c>
      <c r="X12">
        <v>42.65</v>
      </c>
      <c r="Y12">
        <v>0</v>
      </c>
      <c r="Z12">
        <v>9.6199999999999992</v>
      </c>
      <c r="AA12">
        <v>1</v>
      </c>
      <c r="AB12">
        <v>16.22</v>
      </c>
      <c r="AC12">
        <v>0</v>
      </c>
      <c r="AD12">
        <v>0</v>
      </c>
      <c r="AE12">
        <v>0</v>
      </c>
      <c r="AF12">
        <v>0</v>
      </c>
      <c r="AG12">
        <v>0</v>
      </c>
      <c r="AH12">
        <v>0</v>
      </c>
      <c r="AI12">
        <v>0</v>
      </c>
      <c r="AJ12">
        <v>0</v>
      </c>
      <c r="AK12">
        <v>0</v>
      </c>
      <c r="AL12">
        <v>0</v>
      </c>
      <c r="AM12">
        <v>0</v>
      </c>
      <c r="AN12">
        <v>-6.6</v>
      </c>
      <c r="AP12" t="s">
        <v>261</v>
      </c>
      <c r="AQ12" t="s">
        <v>260</v>
      </c>
      <c r="AS12" t="s">
        <v>413</v>
      </c>
      <c r="AT12" t="s">
        <v>414</v>
      </c>
      <c r="AV12" t="s">
        <v>332</v>
      </c>
      <c r="AW12" t="s">
        <v>332</v>
      </c>
      <c r="AX12">
        <v>0</v>
      </c>
      <c r="AY12">
        <v>0</v>
      </c>
      <c r="AZ12" t="s">
        <v>233</v>
      </c>
      <c r="BA12" t="s">
        <v>233</v>
      </c>
      <c r="BB12" t="s">
        <v>411</v>
      </c>
      <c r="BC12">
        <v>8</v>
      </c>
      <c r="BD1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-6.6</v>
      </c>
      <c r="BE12" t="str">
        <f>IF(GetCurrentMonthAging3[[#This Row],[InsGroupPrimary]]="","YES","NO")</f>
        <v>NO</v>
      </c>
      <c r="BF1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-6.6</v>
      </c>
    </row>
    <row r="13" spans="1:58" x14ac:dyDescent="0.25">
      <c r="A13" t="s">
        <v>100</v>
      </c>
      <c r="B13">
        <v>6</v>
      </c>
      <c r="C13" t="s">
        <v>331</v>
      </c>
      <c r="D13" s="142">
        <v>45199</v>
      </c>
      <c r="E13">
        <v>37642</v>
      </c>
      <c r="F13">
        <v>438553</v>
      </c>
      <c r="G13">
        <v>2904134</v>
      </c>
      <c r="H13" t="b">
        <v>0</v>
      </c>
      <c r="I13">
        <v>3496</v>
      </c>
      <c r="J13" t="s">
        <v>440</v>
      </c>
      <c r="K13">
        <v>25</v>
      </c>
      <c r="L13">
        <v>25</v>
      </c>
      <c r="M13">
        <v>1</v>
      </c>
      <c r="N13">
        <v>0</v>
      </c>
      <c r="O13">
        <v>0</v>
      </c>
      <c r="P13">
        <v>0</v>
      </c>
      <c r="Q13">
        <v>0</v>
      </c>
      <c r="R13">
        <v>0</v>
      </c>
      <c r="T13">
        <v>25</v>
      </c>
      <c r="U13">
        <v>0</v>
      </c>
      <c r="V13">
        <v>1</v>
      </c>
      <c r="W13">
        <v>9.8800000000000008</v>
      </c>
      <c r="X13">
        <v>12.6</v>
      </c>
      <c r="Y13">
        <v>0</v>
      </c>
      <c r="Z13">
        <v>2.52</v>
      </c>
      <c r="AA13">
        <v>1</v>
      </c>
      <c r="AB13">
        <v>25</v>
      </c>
      <c r="AC13">
        <v>0</v>
      </c>
      <c r="AD13">
        <v>0</v>
      </c>
      <c r="AE13">
        <v>0</v>
      </c>
      <c r="AF13">
        <v>0</v>
      </c>
      <c r="AG13">
        <v>0</v>
      </c>
      <c r="AH13">
        <v>0</v>
      </c>
      <c r="AI13">
        <v>0</v>
      </c>
      <c r="AJ13">
        <v>0</v>
      </c>
      <c r="AK13">
        <v>0</v>
      </c>
      <c r="AL13">
        <v>0</v>
      </c>
      <c r="AM13">
        <v>0</v>
      </c>
      <c r="AN13">
        <v>-22.48</v>
      </c>
      <c r="AP13" t="s">
        <v>261</v>
      </c>
      <c r="AQ13" t="s">
        <v>262</v>
      </c>
      <c r="AS13" t="s">
        <v>413</v>
      </c>
      <c r="AT13" t="s">
        <v>424</v>
      </c>
      <c r="AV13" t="s">
        <v>332</v>
      </c>
      <c r="AW13" t="s">
        <v>332</v>
      </c>
      <c r="AX13">
        <v>0</v>
      </c>
      <c r="AY13">
        <v>0</v>
      </c>
      <c r="AZ13" t="s">
        <v>233</v>
      </c>
      <c r="BA13" t="s">
        <v>233</v>
      </c>
      <c r="BB13" t="s">
        <v>411</v>
      </c>
      <c r="BC13">
        <v>8</v>
      </c>
      <c r="BD1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-143.34</v>
      </c>
      <c r="BE13" t="str">
        <f>IF(GetCurrentMonthAging3[[#This Row],[InsGroupPrimary]]="","YES","NO")</f>
        <v>NO</v>
      </c>
      <c r="BF1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-143.34</v>
      </c>
    </row>
    <row r="14" spans="1:58" x14ac:dyDescent="0.25">
      <c r="A14" t="s">
        <v>100</v>
      </c>
      <c r="B14">
        <v>6</v>
      </c>
      <c r="C14" t="s">
        <v>331</v>
      </c>
      <c r="D14" s="142">
        <v>45199</v>
      </c>
      <c r="E14">
        <v>37642</v>
      </c>
      <c r="F14">
        <v>444018</v>
      </c>
      <c r="G14">
        <v>2947293</v>
      </c>
      <c r="H14" t="b">
        <v>0</v>
      </c>
      <c r="I14">
        <v>3481</v>
      </c>
      <c r="J14" t="s">
        <v>412</v>
      </c>
      <c r="K14">
        <v>135</v>
      </c>
      <c r="L14">
        <v>45</v>
      </c>
      <c r="M14">
        <v>3</v>
      </c>
      <c r="N14">
        <v>0</v>
      </c>
      <c r="O14">
        <v>0</v>
      </c>
      <c r="P14">
        <v>0</v>
      </c>
      <c r="Q14">
        <v>0</v>
      </c>
      <c r="R14">
        <v>0</v>
      </c>
      <c r="T14">
        <v>135</v>
      </c>
      <c r="U14">
        <v>0</v>
      </c>
      <c r="V14">
        <v>1</v>
      </c>
      <c r="W14">
        <v>62.52</v>
      </c>
      <c r="X14">
        <v>56.53</v>
      </c>
      <c r="Y14">
        <v>0</v>
      </c>
      <c r="Z14">
        <v>15.95</v>
      </c>
      <c r="AA14">
        <v>1</v>
      </c>
      <c r="AB14">
        <v>60</v>
      </c>
      <c r="AC14">
        <v>0</v>
      </c>
      <c r="AD14">
        <v>0</v>
      </c>
      <c r="AE14">
        <v>0</v>
      </c>
      <c r="AF14">
        <v>0</v>
      </c>
      <c r="AG14">
        <v>0</v>
      </c>
      <c r="AH14">
        <v>0</v>
      </c>
      <c r="AI14">
        <v>0</v>
      </c>
      <c r="AJ14">
        <v>0</v>
      </c>
      <c r="AK14">
        <v>0</v>
      </c>
      <c r="AL14">
        <v>0</v>
      </c>
      <c r="AM14">
        <v>0</v>
      </c>
      <c r="AN14">
        <v>-44.05</v>
      </c>
      <c r="AP14" t="s">
        <v>261</v>
      </c>
      <c r="AQ14" t="s">
        <v>262</v>
      </c>
      <c r="AS14" t="s">
        <v>413</v>
      </c>
      <c r="AT14" t="s">
        <v>424</v>
      </c>
      <c r="AV14" t="s">
        <v>332</v>
      </c>
      <c r="AW14" t="s">
        <v>332</v>
      </c>
      <c r="AX14">
        <v>0</v>
      </c>
      <c r="AY14">
        <v>0</v>
      </c>
      <c r="AZ14" t="s">
        <v>233</v>
      </c>
      <c r="BA14" t="s">
        <v>233</v>
      </c>
      <c r="BB14" t="s">
        <v>411</v>
      </c>
      <c r="BC14">
        <v>8</v>
      </c>
      <c r="BD1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-143.34</v>
      </c>
      <c r="BE14" t="str">
        <f>IF(GetCurrentMonthAging3[[#This Row],[InsGroupPrimary]]="","YES","NO")</f>
        <v>NO</v>
      </c>
      <c r="BF1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-143.34</v>
      </c>
    </row>
    <row r="15" spans="1:58" x14ac:dyDescent="0.25">
      <c r="A15" t="s">
        <v>100</v>
      </c>
      <c r="B15">
        <v>6</v>
      </c>
      <c r="C15" t="s">
        <v>331</v>
      </c>
      <c r="D15" s="142">
        <v>45199</v>
      </c>
      <c r="E15">
        <v>39104</v>
      </c>
      <c r="F15">
        <v>445421</v>
      </c>
      <c r="G15">
        <v>2949171</v>
      </c>
      <c r="H15" t="b">
        <v>0</v>
      </c>
      <c r="I15">
        <v>3480</v>
      </c>
      <c r="J15" t="s">
        <v>412</v>
      </c>
      <c r="K15">
        <v>90</v>
      </c>
      <c r="L15">
        <v>45</v>
      </c>
      <c r="M15">
        <v>2</v>
      </c>
      <c r="N15">
        <v>0</v>
      </c>
      <c r="O15">
        <v>0</v>
      </c>
      <c r="P15">
        <v>0</v>
      </c>
      <c r="Q15">
        <v>0</v>
      </c>
      <c r="R15">
        <v>0</v>
      </c>
      <c r="T15">
        <v>90</v>
      </c>
      <c r="U15">
        <v>0</v>
      </c>
      <c r="V15">
        <v>1</v>
      </c>
      <c r="W15">
        <v>37.729999999999997</v>
      </c>
      <c r="X15">
        <v>42.65</v>
      </c>
      <c r="Y15">
        <v>0</v>
      </c>
      <c r="Z15">
        <v>9.6199999999999992</v>
      </c>
      <c r="AA15">
        <v>1</v>
      </c>
      <c r="AB15">
        <v>81</v>
      </c>
      <c r="AC15">
        <v>0</v>
      </c>
      <c r="AD15">
        <v>0</v>
      </c>
      <c r="AE15">
        <v>0</v>
      </c>
      <c r="AF15">
        <v>0</v>
      </c>
      <c r="AG15">
        <v>0</v>
      </c>
      <c r="AH15">
        <v>0</v>
      </c>
      <c r="AI15">
        <v>0</v>
      </c>
      <c r="AJ15">
        <v>0</v>
      </c>
      <c r="AK15">
        <v>0</v>
      </c>
      <c r="AL15">
        <v>0</v>
      </c>
      <c r="AM15">
        <v>0</v>
      </c>
      <c r="AN15">
        <v>-71.38</v>
      </c>
      <c r="AP15" t="s">
        <v>261</v>
      </c>
      <c r="AQ15" t="s">
        <v>260</v>
      </c>
      <c r="AS15" t="s">
        <v>413</v>
      </c>
      <c r="AT15" t="s">
        <v>415</v>
      </c>
      <c r="AV15" t="s">
        <v>332</v>
      </c>
      <c r="AW15" t="s">
        <v>332</v>
      </c>
      <c r="AX15">
        <v>0</v>
      </c>
      <c r="AY15">
        <v>0</v>
      </c>
      <c r="AZ15" t="s">
        <v>233</v>
      </c>
      <c r="BA15" t="s">
        <v>233</v>
      </c>
      <c r="BB15" t="s">
        <v>411</v>
      </c>
      <c r="BC15">
        <v>8</v>
      </c>
      <c r="BD1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15" t="str">
        <f>IF(GetCurrentMonthAging3[[#This Row],[InsGroupPrimary]]="","YES","NO")</f>
        <v>NO</v>
      </c>
      <c r="BF1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16" spans="1:58" x14ac:dyDescent="0.25">
      <c r="A16" t="s">
        <v>100</v>
      </c>
      <c r="B16">
        <v>6</v>
      </c>
      <c r="C16" t="s">
        <v>331</v>
      </c>
      <c r="D16" s="142">
        <v>45199</v>
      </c>
      <c r="E16">
        <v>39104</v>
      </c>
      <c r="F16">
        <v>445421</v>
      </c>
      <c r="G16">
        <v>2949172</v>
      </c>
      <c r="H16" t="b">
        <v>0</v>
      </c>
      <c r="I16">
        <v>3480</v>
      </c>
      <c r="J16" t="s">
        <v>416</v>
      </c>
      <c r="K16">
        <v>45</v>
      </c>
      <c r="L16">
        <v>45</v>
      </c>
      <c r="M16">
        <v>1</v>
      </c>
      <c r="N16">
        <v>0</v>
      </c>
      <c r="O16">
        <v>0</v>
      </c>
      <c r="P16">
        <v>0</v>
      </c>
      <c r="Q16">
        <v>0</v>
      </c>
      <c r="R16">
        <v>0</v>
      </c>
      <c r="T16">
        <v>45</v>
      </c>
      <c r="U16">
        <v>0</v>
      </c>
      <c r="V16">
        <v>1</v>
      </c>
      <c r="W16">
        <v>25.87</v>
      </c>
      <c r="X16">
        <v>12.53</v>
      </c>
      <c r="Y16">
        <v>0</v>
      </c>
      <c r="Z16">
        <v>6.6</v>
      </c>
      <c r="AA16">
        <v>1</v>
      </c>
      <c r="AB16">
        <v>40.5</v>
      </c>
      <c r="AC16">
        <v>0</v>
      </c>
      <c r="AD16">
        <v>0</v>
      </c>
      <c r="AE16">
        <v>0</v>
      </c>
      <c r="AF16">
        <v>0</v>
      </c>
      <c r="AG16">
        <v>0</v>
      </c>
      <c r="AH16">
        <v>0</v>
      </c>
      <c r="AI16">
        <v>0</v>
      </c>
      <c r="AJ16">
        <v>0</v>
      </c>
      <c r="AK16">
        <v>0</v>
      </c>
      <c r="AL16">
        <v>0</v>
      </c>
      <c r="AM16">
        <v>0</v>
      </c>
      <c r="AN16">
        <v>-33.9</v>
      </c>
      <c r="AP16" t="s">
        <v>261</v>
      </c>
      <c r="AQ16" t="s">
        <v>260</v>
      </c>
      <c r="AS16" t="s">
        <v>413</v>
      </c>
      <c r="AT16" t="s">
        <v>415</v>
      </c>
      <c r="AV16" t="s">
        <v>332</v>
      </c>
      <c r="AW16" t="s">
        <v>332</v>
      </c>
      <c r="AX16">
        <v>0</v>
      </c>
      <c r="AY16">
        <v>0</v>
      </c>
      <c r="AZ16" t="s">
        <v>233</v>
      </c>
      <c r="BA16" t="s">
        <v>233</v>
      </c>
      <c r="BB16" t="s">
        <v>411</v>
      </c>
      <c r="BC16">
        <v>8</v>
      </c>
      <c r="BD1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16" t="str">
        <f>IF(GetCurrentMonthAging3[[#This Row],[InsGroupPrimary]]="","YES","NO")</f>
        <v>NO</v>
      </c>
      <c r="BF1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17" spans="1:58" x14ac:dyDescent="0.25">
      <c r="A17" t="s">
        <v>100</v>
      </c>
      <c r="B17">
        <v>6</v>
      </c>
      <c r="C17" t="s">
        <v>331</v>
      </c>
      <c r="D17" s="142">
        <v>45199</v>
      </c>
      <c r="E17">
        <v>38740</v>
      </c>
      <c r="F17">
        <v>449613</v>
      </c>
      <c r="G17">
        <v>2984689</v>
      </c>
      <c r="H17" t="b">
        <v>0</v>
      </c>
      <c r="I17">
        <v>3469</v>
      </c>
      <c r="J17" t="s">
        <v>419</v>
      </c>
      <c r="K17">
        <v>45</v>
      </c>
      <c r="L17">
        <v>45</v>
      </c>
      <c r="M17">
        <v>1</v>
      </c>
      <c r="N17">
        <v>0</v>
      </c>
      <c r="O17">
        <v>0</v>
      </c>
      <c r="P17">
        <v>0</v>
      </c>
      <c r="Q17">
        <v>0</v>
      </c>
      <c r="R17">
        <v>0</v>
      </c>
      <c r="T17">
        <v>45</v>
      </c>
      <c r="U17">
        <v>0</v>
      </c>
      <c r="V17">
        <v>1</v>
      </c>
      <c r="W17">
        <v>17.77</v>
      </c>
      <c r="X17">
        <v>22.7</v>
      </c>
      <c r="Y17">
        <v>0</v>
      </c>
      <c r="Z17">
        <v>4.53</v>
      </c>
      <c r="AA17">
        <v>2</v>
      </c>
      <c r="AB17">
        <v>9.06</v>
      </c>
      <c r="AC17">
        <v>0</v>
      </c>
      <c r="AD17">
        <v>0</v>
      </c>
      <c r="AE17">
        <v>0</v>
      </c>
      <c r="AF17">
        <v>0</v>
      </c>
      <c r="AG17">
        <v>0</v>
      </c>
      <c r="AH17">
        <v>0</v>
      </c>
      <c r="AI17">
        <v>0</v>
      </c>
      <c r="AJ17">
        <v>0</v>
      </c>
      <c r="AK17">
        <v>0</v>
      </c>
      <c r="AL17">
        <v>0</v>
      </c>
      <c r="AM17">
        <v>0</v>
      </c>
      <c r="AN17">
        <v>-4.53</v>
      </c>
      <c r="AP17" t="s">
        <v>261</v>
      </c>
      <c r="AQ17" t="s">
        <v>262</v>
      </c>
      <c r="AS17" t="s">
        <v>413</v>
      </c>
      <c r="AT17" t="s">
        <v>441</v>
      </c>
      <c r="AV17" t="s">
        <v>332</v>
      </c>
      <c r="AW17" t="s">
        <v>332</v>
      </c>
      <c r="AX17">
        <v>0</v>
      </c>
      <c r="AY17">
        <v>0</v>
      </c>
      <c r="AZ17" t="s">
        <v>264</v>
      </c>
      <c r="BA17" t="s">
        <v>264</v>
      </c>
      <c r="BB17" t="s">
        <v>411</v>
      </c>
      <c r="BC17">
        <v>8</v>
      </c>
      <c r="BD1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-40.44</v>
      </c>
      <c r="BE17" t="str">
        <f>IF(GetCurrentMonthAging3[[#This Row],[InsGroupPrimary]]="","YES","NO")</f>
        <v>NO</v>
      </c>
      <c r="BF1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-40.44</v>
      </c>
    </row>
    <row r="18" spans="1:58" x14ac:dyDescent="0.25">
      <c r="A18" t="s">
        <v>100</v>
      </c>
      <c r="B18">
        <v>6</v>
      </c>
      <c r="C18" t="s">
        <v>331</v>
      </c>
      <c r="D18" s="142">
        <v>45199</v>
      </c>
      <c r="E18">
        <v>39940</v>
      </c>
      <c r="F18">
        <v>451969</v>
      </c>
      <c r="G18">
        <v>3002526</v>
      </c>
      <c r="H18" t="b">
        <v>0</v>
      </c>
      <c r="I18">
        <v>3463</v>
      </c>
      <c r="J18" t="s">
        <v>412</v>
      </c>
      <c r="K18">
        <v>90</v>
      </c>
      <c r="L18">
        <v>45</v>
      </c>
      <c r="M18">
        <v>2</v>
      </c>
      <c r="N18">
        <v>0</v>
      </c>
      <c r="O18">
        <v>0</v>
      </c>
      <c r="P18">
        <v>0</v>
      </c>
      <c r="Q18">
        <v>0</v>
      </c>
      <c r="R18">
        <v>0</v>
      </c>
      <c r="T18">
        <v>90</v>
      </c>
      <c r="U18">
        <v>0</v>
      </c>
      <c r="V18">
        <v>1</v>
      </c>
      <c r="W18">
        <v>45.46</v>
      </c>
      <c r="X18">
        <v>44.54</v>
      </c>
      <c r="Y18">
        <v>0</v>
      </c>
      <c r="Z18">
        <v>0</v>
      </c>
      <c r="AA18">
        <v>0</v>
      </c>
      <c r="AB18">
        <v>0</v>
      </c>
      <c r="AC18">
        <v>0</v>
      </c>
      <c r="AD18">
        <v>0</v>
      </c>
      <c r="AE18">
        <v>0</v>
      </c>
      <c r="AF18">
        <v>0</v>
      </c>
      <c r="AG18">
        <v>0</v>
      </c>
      <c r="AH18">
        <v>0</v>
      </c>
      <c r="AI18">
        <v>0</v>
      </c>
      <c r="AJ18">
        <v>0</v>
      </c>
      <c r="AK18">
        <v>3.74</v>
      </c>
      <c r="AL18">
        <v>1</v>
      </c>
      <c r="AM18">
        <v>0</v>
      </c>
      <c r="AN18">
        <v>-3.74</v>
      </c>
      <c r="AP18" t="s">
        <v>260</v>
      </c>
      <c r="AS18" t="s">
        <v>417</v>
      </c>
      <c r="AV18" t="s">
        <v>260</v>
      </c>
      <c r="AW18" t="s">
        <v>417</v>
      </c>
      <c r="AX18">
        <v>0</v>
      </c>
      <c r="AY18">
        <v>0</v>
      </c>
      <c r="AZ18" t="s">
        <v>233</v>
      </c>
      <c r="BA18" t="s">
        <v>233</v>
      </c>
      <c r="BB18" t="s">
        <v>411</v>
      </c>
      <c r="BC18">
        <v>8</v>
      </c>
      <c r="BD1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18" t="str">
        <f>IF(GetCurrentMonthAging3[[#This Row],[InsGroupPrimary]]="","YES","NO")</f>
        <v>NO</v>
      </c>
      <c r="BF1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19" spans="1:58" x14ac:dyDescent="0.25">
      <c r="A19" t="s">
        <v>100</v>
      </c>
      <c r="B19">
        <v>6</v>
      </c>
      <c r="C19" t="s">
        <v>331</v>
      </c>
      <c r="D19" s="142">
        <v>45199</v>
      </c>
      <c r="E19">
        <v>40792</v>
      </c>
      <c r="F19">
        <v>463666</v>
      </c>
      <c r="G19">
        <v>3040230</v>
      </c>
      <c r="H19" t="b">
        <v>0</v>
      </c>
      <c r="I19">
        <v>3445</v>
      </c>
      <c r="J19" t="s">
        <v>412</v>
      </c>
      <c r="K19">
        <v>90</v>
      </c>
      <c r="L19">
        <v>45</v>
      </c>
      <c r="M19">
        <v>2</v>
      </c>
      <c r="N19">
        <v>0</v>
      </c>
      <c r="O19">
        <v>0</v>
      </c>
      <c r="P19">
        <v>0</v>
      </c>
      <c r="Q19">
        <v>0</v>
      </c>
      <c r="R19">
        <v>0</v>
      </c>
      <c r="T19">
        <v>90</v>
      </c>
      <c r="U19">
        <v>0</v>
      </c>
      <c r="V19">
        <v>1</v>
      </c>
      <c r="W19">
        <v>37.729999999999997</v>
      </c>
      <c r="X19">
        <v>41.88</v>
      </c>
      <c r="Y19">
        <v>0</v>
      </c>
      <c r="Z19">
        <v>10.39</v>
      </c>
      <c r="AA19">
        <v>1</v>
      </c>
      <c r="AB19">
        <v>36.94</v>
      </c>
      <c r="AC19">
        <v>0</v>
      </c>
      <c r="AD19">
        <v>0</v>
      </c>
      <c r="AE19">
        <v>0</v>
      </c>
      <c r="AF19">
        <v>0</v>
      </c>
      <c r="AG19">
        <v>0</v>
      </c>
      <c r="AH19">
        <v>0</v>
      </c>
      <c r="AI19">
        <v>0</v>
      </c>
      <c r="AJ19">
        <v>0</v>
      </c>
      <c r="AK19">
        <v>0</v>
      </c>
      <c r="AL19">
        <v>0</v>
      </c>
      <c r="AM19">
        <v>0</v>
      </c>
      <c r="AN19">
        <v>-26.55</v>
      </c>
      <c r="AP19" t="s">
        <v>261</v>
      </c>
      <c r="AQ19" t="s">
        <v>260</v>
      </c>
      <c r="AS19" t="s">
        <v>413</v>
      </c>
      <c r="AT19" t="s">
        <v>418</v>
      </c>
      <c r="AV19" t="s">
        <v>332</v>
      </c>
      <c r="AW19" t="s">
        <v>332</v>
      </c>
      <c r="AX19">
        <v>0</v>
      </c>
      <c r="AY19">
        <v>0</v>
      </c>
      <c r="AZ19" t="s">
        <v>233</v>
      </c>
      <c r="BA19" t="s">
        <v>233</v>
      </c>
      <c r="BB19" t="s">
        <v>411</v>
      </c>
      <c r="BC19">
        <v>8</v>
      </c>
      <c r="BD1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19" t="str">
        <f>IF(GetCurrentMonthAging3[[#This Row],[InsGroupPrimary]]="","YES","NO")</f>
        <v>NO</v>
      </c>
      <c r="BF1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20" spans="1:58" x14ac:dyDescent="0.25">
      <c r="A20" t="s">
        <v>100</v>
      </c>
      <c r="B20">
        <v>6</v>
      </c>
      <c r="C20" t="s">
        <v>331</v>
      </c>
      <c r="D20" s="142">
        <v>45199</v>
      </c>
      <c r="E20">
        <v>59064</v>
      </c>
      <c r="F20">
        <v>697402</v>
      </c>
      <c r="G20">
        <v>3826354</v>
      </c>
      <c r="H20" t="b">
        <v>0</v>
      </c>
      <c r="I20">
        <v>3204</v>
      </c>
      <c r="J20" t="s">
        <v>412</v>
      </c>
      <c r="K20">
        <v>45</v>
      </c>
      <c r="L20">
        <v>45</v>
      </c>
      <c r="M20">
        <v>1</v>
      </c>
      <c r="N20">
        <v>0</v>
      </c>
      <c r="O20">
        <v>0</v>
      </c>
      <c r="P20">
        <v>0</v>
      </c>
      <c r="Q20">
        <v>0</v>
      </c>
      <c r="R20">
        <v>0</v>
      </c>
      <c r="T20">
        <v>45</v>
      </c>
      <c r="U20">
        <v>0</v>
      </c>
      <c r="V20">
        <v>1</v>
      </c>
      <c r="W20">
        <v>15.75</v>
      </c>
      <c r="X20">
        <v>29.25</v>
      </c>
      <c r="Y20">
        <v>0</v>
      </c>
      <c r="Z20">
        <v>0</v>
      </c>
      <c r="AA20">
        <v>1</v>
      </c>
      <c r="AB20">
        <v>15.75</v>
      </c>
      <c r="AC20">
        <v>0</v>
      </c>
      <c r="AD20">
        <v>0</v>
      </c>
      <c r="AE20">
        <v>0</v>
      </c>
      <c r="AF20">
        <v>0</v>
      </c>
      <c r="AG20">
        <v>0</v>
      </c>
      <c r="AH20">
        <v>0</v>
      </c>
      <c r="AI20">
        <v>0</v>
      </c>
      <c r="AJ20">
        <v>0</v>
      </c>
      <c r="AK20">
        <v>0</v>
      </c>
      <c r="AL20">
        <v>0</v>
      </c>
      <c r="AM20">
        <v>0</v>
      </c>
      <c r="AN20">
        <v>-15.75</v>
      </c>
      <c r="AP20" t="s">
        <v>265</v>
      </c>
      <c r="AQ20" t="s">
        <v>265</v>
      </c>
      <c r="AS20" t="s">
        <v>425</v>
      </c>
      <c r="AT20" t="s">
        <v>425</v>
      </c>
      <c r="AV20" t="s">
        <v>332</v>
      </c>
      <c r="AW20" t="s">
        <v>332</v>
      </c>
      <c r="AX20">
        <v>0</v>
      </c>
      <c r="AY20">
        <v>0</v>
      </c>
      <c r="AZ20" t="s">
        <v>264</v>
      </c>
      <c r="BA20" t="s">
        <v>264</v>
      </c>
      <c r="BB20" t="s">
        <v>411</v>
      </c>
      <c r="BC20">
        <v>8</v>
      </c>
      <c r="BD2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-95.25</v>
      </c>
      <c r="BE20" t="str">
        <f>IF(GetCurrentMonthAging3[[#This Row],[InsGroupPrimary]]="","YES","NO")</f>
        <v>NO</v>
      </c>
      <c r="BF2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-95.25</v>
      </c>
    </row>
    <row r="21" spans="1:58" x14ac:dyDescent="0.25">
      <c r="A21" t="s">
        <v>100</v>
      </c>
      <c r="B21">
        <v>6</v>
      </c>
      <c r="C21" t="s">
        <v>331</v>
      </c>
      <c r="D21" s="142">
        <v>45199</v>
      </c>
      <c r="E21">
        <v>59064</v>
      </c>
      <c r="F21">
        <v>697402</v>
      </c>
      <c r="G21">
        <v>3826355</v>
      </c>
      <c r="H21" t="b">
        <v>0</v>
      </c>
      <c r="I21">
        <v>3204</v>
      </c>
      <c r="J21" t="s">
        <v>419</v>
      </c>
      <c r="K21">
        <v>45</v>
      </c>
      <c r="L21">
        <v>45</v>
      </c>
      <c r="M21">
        <v>1</v>
      </c>
      <c r="N21">
        <v>0</v>
      </c>
      <c r="O21">
        <v>0</v>
      </c>
      <c r="P21">
        <v>0</v>
      </c>
      <c r="Q21">
        <v>0</v>
      </c>
      <c r="R21">
        <v>0</v>
      </c>
      <c r="T21">
        <v>45</v>
      </c>
      <c r="U21">
        <v>0</v>
      </c>
      <c r="V21">
        <v>1</v>
      </c>
      <c r="W21">
        <v>14</v>
      </c>
      <c r="X21">
        <v>31</v>
      </c>
      <c r="Y21">
        <v>0</v>
      </c>
      <c r="Z21">
        <v>0</v>
      </c>
      <c r="AA21">
        <v>1</v>
      </c>
      <c r="AB21">
        <v>14</v>
      </c>
      <c r="AC21">
        <v>0</v>
      </c>
      <c r="AD21">
        <v>0</v>
      </c>
      <c r="AE21">
        <v>0</v>
      </c>
      <c r="AF21">
        <v>0</v>
      </c>
      <c r="AG21">
        <v>0</v>
      </c>
      <c r="AH21">
        <v>0</v>
      </c>
      <c r="AI21">
        <v>0</v>
      </c>
      <c r="AJ21">
        <v>0</v>
      </c>
      <c r="AK21">
        <v>0</v>
      </c>
      <c r="AL21">
        <v>0</v>
      </c>
      <c r="AM21">
        <v>0</v>
      </c>
      <c r="AN21">
        <v>-14</v>
      </c>
      <c r="AP21" t="s">
        <v>265</v>
      </c>
      <c r="AQ21" t="s">
        <v>265</v>
      </c>
      <c r="AS21" t="s">
        <v>425</v>
      </c>
      <c r="AT21" t="s">
        <v>425</v>
      </c>
      <c r="AV21" t="s">
        <v>332</v>
      </c>
      <c r="AW21" t="s">
        <v>332</v>
      </c>
      <c r="AX21">
        <v>0</v>
      </c>
      <c r="AY21">
        <v>0</v>
      </c>
      <c r="AZ21" t="s">
        <v>264</v>
      </c>
      <c r="BA21" t="s">
        <v>264</v>
      </c>
      <c r="BB21" t="s">
        <v>411</v>
      </c>
      <c r="BC21">
        <v>8</v>
      </c>
      <c r="BD2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-95.25</v>
      </c>
      <c r="BE21" t="str">
        <f>IF(GetCurrentMonthAging3[[#This Row],[InsGroupPrimary]]="","YES","NO")</f>
        <v>NO</v>
      </c>
      <c r="BF2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-95.25</v>
      </c>
    </row>
    <row r="22" spans="1:58" x14ac:dyDescent="0.25">
      <c r="A22" t="s">
        <v>100</v>
      </c>
      <c r="B22">
        <v>6</v>
      </c>
      <c r="C22" t="s">
        <v>331</v>
      </c>
      <c r="D22" s="142">
        <v>45199</v>
      </c>
      <c r="E22">
        <v>140927</v>
      </c>
      <c r="F22">
        <v>1962861</v>
      </c>
      <c r="G22">
        <v>9561156</v>
      </c>
      <c r="H22" t="b">
        <v>0</v>
      </c>
      <c r="I22">
        <v>2577</v>
      </c>
      <c r="J22" t="s">
        <v>419</v>
      </c>
      <c r="K22">
        <v>45</v>
      </c>
      <c r="L22">
        <v>45</v>
      </c>
      <c r="M22">
        <v>1</v>
      </c>
      <c r="N22">
        <v>0</v>
      </c>
      <c r="O22">
        <v>0</v>
      </c>
      <c r="P22">
        <v>0</v>
      </c>
      <c r="Q22">
        <v>0</v>
      </c>
      <c r="R22">
        <v>0</v>
      </c>
      <c r="T22">
        <v>45</v>
      </c>
      <c r="U22">
        <v>0</v>
      </c>
      <c r="V22">
        <v>2</v>
      </c>
      <c r="W22">
        <v>72.45</v>
      </c>
      <c r="X22">
        <v>4.5</v>
      </c>
      <c r="Y22">
        <v>0</v>
      </c>
      <c r="Z22">
        <v>0</v>
      </c>
      <c r="AA22">
        <v>0</v>
      </c>
      <c r="AB22">
        <v>0</v>
      </c>
      <c r="AC22">
        <v>0</v>
      </c>
      <c r="AD22">
        <v>0</v>
      </c>
      <c r="AE22">
        <v>0</v>
      </c>
      <c r="AF22">
        <v>0</v>
      </c>
      <c r="AG22">
        <v>0</v>
      </c>
      <c r="AH22">
        <v>0</v>
      </c>
      <c r="AI22">
        <v>0</v>
      </c>
      <c r="AJ22">
        <v>0</v>
      </c>
      <c r="AK22">
        <v>0</v>
      </c>
      <c r="AL22">
        <v>0</v>
      </c>
      <c r="AM22">
        <v>0</v>
      </c>
      <c r="AN22">
        <v>-31.95</v>
      </c>
      <c r="AP22" t="s">
        <v>263</v>
      </c>
      <c r="AS22" t="s">
        <v>431</v>
      </c>
      <c r="AV22" t="s">
        <v>263</v>
      </c>
      <c r="AW22" t="s">
        <v>431</v>
      </c>
      <c r="AX22">
        <v>0</v>
      </c>
      <c r="AY22">
        <v>0</v>
      </c>
      <c r="AZ22" t="s">
        <v>264</v>
      </c>
      <c r="BA22" t="s">
        <v>264</v>
      </c>
      <c r="BB22" t="s">
        <v>411</v>
      </c>
      <c r="BC22">
        <v>8</v>
      </c>
      <c r="BD2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22" t="str">
        <f>IF(GetCurrentMonthAging3[[#This Row],[InsGroupPrimary]]="","YES","NO")</f>
        <v>NO</v>
      </c>
      <c r="BF2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23" spans="1:58" x14ac:dyDescent="0.25">
      <c r="A23" t="s">
        <v>100</v>
      </c>
      <c r="B23">
        <v>6</v>
      </c>
      <c r="C23" t="s">
        <v>331</v>
      </c>
      <c r="D23" s="142">
        <v>45199</v>
      </c>
      <c r="E23">
        <v>157121</v>
      </c>
      <c r="F23">
        <v>2141931</v>
      </c>
      <c r="G23">
        <v>10288603</v>
      </c>
      <c r="H23" t="b">
        <v>0</v>
      </c>
      <c r="I23">
        <v>2510</v>
      </c>
      <c r="J23" t="s">
        <v>416</v>
      </c>
      <c r="K23">
        <v>45</v>
      </c>
      <c r="L23">
        <v>45</v>
      </c>
      <c r="M23">
        <v>1</v>
      </c>
      <c r="N23">
        <v>0</v>
      </c>
      <c r="O23">
        <v>5.01</v>
      </c>
      <c r="P23">
        <v>0</v>
      </c>
      <c r="Q23">
        <v>5.01</v>
      </c>
      <c r="R23">
        <v>0</v>
      </c>
      <c r="T23">
        <v>45</v>
      </c>
      <c r="U23">
        <v>0</v>
      </c>
      <c r="V23">
        <v>1</v>
      </c>
      <c r="W23">
        <v>19.64</v>
      </c>
      <c r="X23">
        <v>20.350000000000001</v>
      </c>
      <c r="Y23">
        <v>0</v>
      </c>
      <c r="Z23">
        <v>0</v>
      </c>
      <c r="AA23">
        <v>0</v>
      </c>
      <c r="AB23">
        <v>0</v>
      </c>
      <c r="AC23">
        <v>0</v>
      </c>
      <c r="AD23">
        <v>0</v>
      </c>
      <c r="AE23">
        <v>0</v>
      </c>
      <c r="AF23">
        <v>0</v>
      </c>
      <c r="AG23">
        <v>0</v>
      </c>
      <c r="AH23">
        <v>0</v>
      </c>
      <c r="AI23">
        <v>0</v>
      </c>
      <c r="AJ23">
        <v>0</v>
      </c>
      <c r="AK23">
        <v>5.01</v>
      </c>
      <c r="AL23">
        <v>1</v>
      </c>
      <c r="AM23">
        <v>0</v>
      </c>
      <c r="AN23">
        <v>-5.01</v>
      </c>
      <c r="AP23" t="s">
        <v>261</v>
      </c>
      <c r="AS23" t="s">
        <v>413</v>
      </c>
      <c r="AV23" t="s">
        <v>261</v>
      </c>
      <c r="AW23" t="s">
        <v>413</v>
      </c>
      <c r="AX23">
        <v>0</v>
      </c>
      <c r="AY23">
        <v>0</v>
      </c>
      <c r="AZ23" t="s">
        <v>233</v>
      </c>
      <c r="BA23" t="s">
        <v>233</v>
      </c>
      <c r="BB23" t="s">
        <v>411</v>
      </c>
      <c r="BC23">
        <v>8</v>
      </c>
      <c r="BD2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-141.27000000000001</v>
      </c>
      <c r="BE23" t="str">
        <f>IF(GetCurrentMonthAging3[[#This Row],[InsGroupPrimary]]="","YES","NO")</f>
        <v>NO</v>
      </c>
      <c r="BF2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-141.27000000000001</v>
      </c>
    </row>
    <row r="24" spans="1:58" x14ac:dyDescent="0.25">
      <c r="A24" t="s">
        <v>100</v>
      </c>
      <c r="B24">
        <v>6</v>
      </c>
      <c r="C24" t="s">
        <v>331</v>
      </c>
      <c r="D24" s="142">
        <v>45199</v>
      </c>
      <c r="E24">
        <v>198880</v>
      </c>
      <c r="F24">
        <v>3218377</v>
      </c>
      <c r="G24">
        <v>14639969</v>
      </c>
      <c r="H24" t="b">
        <v>0</v>
      </c>
      <c r="I24">
        <v>2097</v>
      </c>
      <c r="J24" t="s">
        <v>419</v>
      </c>
      <c r="K24">
        <v>90</v>
      </c>
      <c r="L24">
        <v>45</v>
      </c>
      <c r="M24">
        <v>2</v>
      </c>
      <c r="N24">
        <v>0</v>
      </c>
      <c r="O24">
        <v>0</v>
      </c>
      <c r="P24">
        <v>0</v>
      </c>
      <c r="Q24">
        <v>0</v>
      </c>
      <c r="R24">
        <v>0</v>
      </c>
      <c r="T24">
        <v>90</v>
      </c>
      <c r="U24">
        <v>0</v>
      </c>
      <c r="V24">
        <v>1</v>
      </c>
      <c r="W24">
        <v>0.74</v>
      </c>
      <c r="X24">
        <v>46.22</v>
      </c>
      <c r="Y24">
        <v>0</v>
      </c>
      <c r="Z24">
        <v>43.04</v>
      </c>
      <c r="AA24">
        <v>1</v>
      </c>
      <c r="AB24">
        <v>43.34</v>
      </c>
      <c r="AC24">
        <v>0</v>
      </c>
      <c r="AD24">
        <v>0</v>
      </c>
      <c r="AE24">
        <v>0</v>
      </c>
      <c r="AF24">
        <v>0</v>
      </c>
      <c r="AG24">
        <v>0</v>
      </c>
      <c r="AH24">
        <v>0</v>
      </c>
      <c r="AI24">
        <v>0</v>
      </c>
      <c r="AJ24">
        <v>0</v>
      </c>
      <c r="AK24">
        <v>0</v>
      </c>
      <c r="AL24">
        <v>0</v>
      </c>
      <c r="AM24">
        <v>0</v>
      </c>
      <c r="AN24">
        <v>-0.3</v>
      </c>
      <c r="AP24" t="s">
        <v>261</v>
      </c>
      <c r="AQ24" t="s">
        <v>260</v>
      </c>
      <c r="AS24" t="s">
        <v>413</v>
      </c>
      <c r="AT24" t="s">
        <v>451</v>
      </c>
      <c r="AV24" t="s">
        <v>332</v>
      </c>
      <c r="AW24" t="s">
        <v>332</v>
      </c>
      <c r="AX24">
        <v>0</v>
      </c>
      <c r="AY24">
        <v>0</v>
      </c>
      <c r="AZ24" t="s">
        <v>264</v>
      </c>
      <c r="BA24" t="s">
        <v>264</v>
      </c>
      <c r="BB24" t="s">
        <v>411</v>
      </c>
      <c r="BC24">
        <v>8</v>
      </c>
      <c r="BD2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4" t="str">
        <f>IF(GetCurrentMonthAging3[[#This Row],[InsGroupPrimary]]="","YES","NO")</f>
        <v>NO</v>
      </c>
      <c r="BF2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25" spans="1:58" x14ac:dyDescent="0.25">
      <c r="A25" t="s">
        <v>100</v>
      </c>
      <c r="B25">
        <v>6</v>
      </c>
      <c r="C25" t="s">
        <v>331</v>
      </c>
      <c r="D25" s="142">
        <v>45199</v>
      </c>
      <c r="E25">
        <v>267438</v>
      </c>
      <c r="F25">
        <v>3823968</v>
      </c>
      <c r="G25">
        <v>17167753</v>
      </c>
      <c r="H25" t="b">
        <v>0</v>
      </c>
      <c r="I25">
        <v>1879</v>
      </c>
      <c r="J25" t="s">
        <v>412</v>
      </c>
      <c r="K25">
        <v>45</v>
      </c>
      <c r="L25">
        <v>45</v>
      </c>
      <c r="M25">
        <v>1</v>
      </c>
      <c r="N25">
        <v>0</v>
      </c>
      <c r="O25">
        <v>0</v>
      </c>
      <c r="P25">
        <v>0</v>
      </c>
      <c r="Q25">
        <v>0</v>
      </c>
      <c r="R25">
        <v>0</v>
      </c>
      <c r="T25">
        <v>45</v>
      </c>
      <c r="U25">
        <v>0</v>
      </c>
      <c r="V25">
        <v>1</v>
      </c>
      <c r="W25">
        <v>18.71</v>
      </c>
      <c r="X25">
        <v>0</v>
      </c>
      <c r="Y25">
        <v>0</v>
      </c>
      <c r="Z25">
        <v>0</v>
      </c>
      <c r="AA25">
        <v>0</v>
      </c>
      <c r="AB25">
        <v>0</v>
      </c>
      <c r="AC25">
        <v>0</v>
      </c>
      <c r="AD25">
        <v>0</v>
      </c>
      <c r="AE25">
        <v>0</v>
      </c>
      <c r="AF25">
        <v>0</v>
      </c>
      <c r="AG25">
        <v>0</v>
      </c>
      <c r="AH25">
        <v>0</v>
      </c>
      <c r="AI25">
        <v>0</v>
      </c>
      <c r="AJ25">
        <v>0</v>
      </c>
      <c r="AK25">
        <v>0</v>
      </c>
      <c r="AL25">
        <v>0</v>
      </c>
      <c r="AM25">
        <v>0</v>
      </c>
      <c r="AN25">
        <v>-18.71</v>
      </c>
      <c r="AP25" t="s">
        <v>261</v>
      </c>
      <c r="AS25" t="s">
        <v>413</v>
      </c>
      <c r="AV25" t="s">
        <v>261</v>
      </c>
      <c r="AW25" t="s">
        <v>413</v>
      </c>
      <c r="AX25">
        <v>45</v>
      </c>
      <c r="AY25">
        <v>0</v>
      </c>
      <c r="AZ25" t="s">
        <v>264</v>
      </c>
      <c r="BA25" t="s">
        <v>264</v>
      </c>
      <c r="BB25" t="s">
        <v>411</v>
      </c>
      <c r="BC25">
        <v>8</v>
      </c>
      <c r="BD2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-101.82000000000001</v>
      </c>
      <c r="BE25" t="str">
        <f>IF(GetCurrentMonthAging3[[#This Row],[InsGroupPrimary]]="","YES","NO")</f>
        <v>NO</v>
      </c>
      <c r="BF2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-101.82000000000001</v>
      </c>
    </row>
    <row r="26" spans="1:58" x14ac:dyDescent="0.25">
      <c r="A26" t="s">
        <v>100</v>
      </c>
      <c r="B26">
        <v>6</v>
      </c>
      <c r="C26" t="s">
        <v>331</v>
      </c>
      <c r="D26" s="142">
        <v>45199</v>
      </c>
      <c r="E26">
        <v>140927</v>
      </c>
      <c r="F26">
        <v>2025391</v>
      </c>
      <c r="G26">
        <v>9828925</v>
      </c>
      <c r="H26" t="b">
        <v>0</v>
      </c>
      <c r="I26">
        <v>2551</v>
      </c>
      <c r="J26" t="s">
        <v>419</v>
      </c>
      <c r="K26">
        <v>45</v>
      </c>
      <c r="L26">
        <v>45</v>
      </c>
      <c r="M26">
        <v>1</v>
      </c>
      <c r="N26">
        <v>0</v>
      </c>
      <c r="O26">
        <v>0</v>
      </c>
      <c r="P26">
        <v>0</v>
      </c>
      <c r="Q26">
        <v>0</v>
      </c>
      <c r="R26">
        <v>0</v>
      </c>
      <c r="T26">
        <v>45</v>
      </c>
      <c r="U26">
        <v>0</v>
      </c>
      <c r="V26">
        <v>3</v>
      </c>
      <c r="W26">
        <v>75</v>
      </c>
      <c r="X26">
        <v>1.95</v>
      </c>
      <c r="Y26">
        <v>0</v>
      </c>
      <c r="Z26">
        <v>0</v>
      </c>
      <c r="AA26">
        <v>0</v>
      </c>
      <c r="AB26">
        <v>0</v>
      </c>
      <c r="AC26">
        <v>0</v>
      </c>
      <c r="AD26">
        <v>0</v>
      </c>
      <c r="AE26">
        <v>0</v>
      </c>
      <c r="AF26">
        <v>0</v>
      </c>
      <c r="AG26">
        <v>0</v>
      </c>
      <c r="AH26">
        <v>0</v>
      </c>
      <c r="AI26">
        <v>0</v>
      </c>
      <c r="AJ26">
        <v>0</v>
      </c>
      <c r="AK26">
        <v>0</v>
      </c>
      <c r="AL26">
        <v>0</v>
      </c>
      <c r="AM26">
        <v>0</v>
      </c>
      <c r="AN26">
        <v>-31.95</v>
      </c>
      <c r="AP26" t="s">
        <v>263</v>
      </c>
      <c r="AS26" t="s">
        <v>431</v>
      </c>
      <c r="AV26" t="s">
        <v>263</v>
      </c>
      <c r="AW26" t="s">
        <v>431</v>
      </c>
      <c r="AX26">
        <v>0</v>
      </c>
      <c r="AY26">
        <v>0</v>
      </c>
      <c r="AZ26" t="s">
        <v>264</v>
      </c>
      <c r="BA26" t="s">
        <v>264</v>
      </c>
      <c r="BB26" t="s">
        <v>411</v>
      </c>
      <c r="BC26">
        <v>8</v>
      </c>
      <c r="BD2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26" t="str">
        <f>IF(GetCurrentMonthAging3[[#This Row],[InsGroupPrimary]]="","YES","NO")</f>
        <v>NO</v>
      </c>
      <c r="BF2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27" spans="1:58" x14ac:dyDescent="0.25">
      <c r="A27" t="s">
        <v>100</v>
      </c>
      <c r="B27">
        <v>6</v>
      </c>
      <c r="C27" t="s">
        <v>331</v>
      </c>
      <c r="D27" s="142">
        <v>45199</v>
      </c>
      <c r="E27">
        <v>157081</v>
      </c>
      <c r="F27">
        <v>2141384</v>
      </c>
      <c r="G27">
        <v>10269680</v>
      </c>
      <c r="H27" t="b">
        <v>0</v>
      </c>
      <c r="I27">
        <v>2514</v>
      </c>
      <c r="J27" t="s">
        <v>422</v>
      </c>
      <c r="K27">
        <v>90</v>
      </c>
      <c r="L27">
        <v>90</v>
      </c>
      <c r="M27">
        <v>1</v>
      </c>
      <c r="N27">
        <v>0</v>
      </c>
      <c r="O27">
        <v>0</v>
      </c>
      <c r="P27">
        <v>0</v>
      </c>
      <c r="Q27">
        <v>0</v>
      </c>
      <c r="R27">
        <v>0</v>
      </c>
      <c r="T27">
        <v>90</v>
      </c>
      <c r="U27">
        <v>0</v>
      </c>
      <c r="V27">
        <v>1</v>
      </c>
      <c r="W27">
        <v>58.45</v>
      </c>
      <c r="X27">
        <v>16.64</v>
      </c>
      <c r="Y27">
        <v>0</v>
      </c>
      <c r="Z27">
        <v>14.91</v>
      </c>
      <c r="AA27">
        <v>1</v>
      </c>
      <c r="AB27">
        <v>16.96</v>
      </c>
      <c r="AC27">
        <v>2.0499999999999998</v>
      </c>
      <c r="AD27">
        <v>0</v>
      </c>
      <c r="AE27">
        <v>0</v>
      </c>
      <c r="AF27">
        <v>0</v>
      </c>
      <c r="AG27">
        <v>0</v>
      </c>
      <c r="AH27">
        <v>0</v>
      </c>
      <c r="AI27">
        <v>0</v>
      </c>
      <c r="AJ27">
        <v>0</v>
      </c>
      <c r="AK27">
        <v>0</v>
      </c>
      <c r="AL27">
        <v>0</v>
      </c>
      <c r="AM27">
        <v>0</v>
      </c>
      <c r="AN27">
        <v>-4.0999999999999996</v>
      </c>
      <c r="AP27" t="s">
        <v>261</v>
      </c>
      <c r="AQ27" t="s">
        <v>265</v>
      </c>
      <c r="AS27" t="s">
        <v>413</v>
      </c>
      <c r="AT27" t="s">
        <v>425</v>
      </c>
      <c r="AV27" t="s">
        <v>332</v>
      </c>
      <c r="AW27" t="s">
        <v>332</v>
      </c>
      <c r="AX27">
        <v>0</v>
      </c>
      <c r="AY27">
        <v>0</v>
      </c>
      <c r="AZ27" t="s">
        <v>264</v>
      </c>
      <c r="BA27" t="s">
        <v>264</v>
      </c>
      <c r="BB27" t="s">
        <v>411</v>
      </c>
      <c r="BC27">
        <v>8</v>
      </c>
      <c r="BD2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-4.0999999999999996</v>
      </c>
      <c r="BE27" t="str">
        <f>IF(GetCurrentMonthAging3[[#This Row],[InsGroupPrimary]]="","YES","NO")</f>
        <v>NO</v>
      </c>
      <c r="BF2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-4.0999999999999996</v>
      </c>
    </row>
    <row r="28" spans="1:58" x14ac:dyDescent="0.25">
      <c r="A28" t="s">
        <v>100</v>
      </c>
      <c r="B28">
        <v>6</v>
      </c>
      <c r="C28" t="s">
        <v>331</v>
      </c>
      <c r="D28" s="142">
        <v>45199</v>
      </c>
      <c r="E28">
        <v>45946</v>
      </c>
      <c r="F28">
        <v>521158</v>
      </c>
      <c r="G28">
        <v>3307114</v>
      </c>
      <c r="H28" t="b">
        <v>0</v>
      </c>
      <c r="I28">
        <v>3343</v>
      </c>
      <c r="J28" t="s">
        <v>409</v>
      </c>
      <c r="K28">
        <v>30</v>
      </c>
      <c r="L28">
        <v>30</v>
      </c>
      <c r="M28">
        <v>1</v>
      </c>
      <c r="N28">
        <v>0</v>
      </c>
      <c r="O28">
        <v>0</v>
      </c>
      <c r="P28">
        <v>0</v>
      </c>
      <c r="Q28">
        <v>0</v>
      </c>
      <c r="R28">
        <v>0</v>
      </c>
      <c r="T28">
        <v>30</v>
      </c>
      <c r="U28">
        <v>0</v>
      </c>
      <c r="V28">
        <v>1</v>
      </c>
      <c r="W28">
        <v>5</v>
      </c>
      <c r="X28">
        <v>0</v>
      </c>
      <c r="Y28">
        <v>0</v>
      </c>
      <c r="Z28">
        <v>25</v>
      </c>
      <c r="AA28">
        <v>0</v>
      </c>
      <c r="AB28">
        <v>0</v>
      </c>
      <c r="AC28">
        <v>0</v>
      </c>
      <c r="AD28">
        <v>0</v>
      </c>
      <c r="AE28">
        <v>0</v>
      </c>
      <c r="AF28">
        <v>0</v>
      </c>
      <c r="AG28">
        <v>0</v>
      </c>
      <c r="AH28">
        <v>0</v>
      </c>
      <c r="AI28">
        <v>0</v>
      </c>
      <c r="AJ28">
        <v>0</v>
      </c>
      <c r="AK28">
        <v>45</v>
      </c>
      <c r="AL28">
        <v>1</v>
      </c>
      <c r="AM28">
        <v>0</v>
      </c>
      <c r="AN28">
        <v>-20</v>
      </c>
      <c r="AP28" t="s">
        <v>262</v>
      </c>
      <c r="AQ28" t="s">
        <v>260</v>
      </c>
      <c r="AS28" t="s">
        <v>436</v>
      </c>
      <c r="AT28" t="s">
        <v>414</v>
      </c>
      <c r="AV28" t="s">
        <v>260</v>
      </c>
      <c r="AW28" t="s">
        <v>414</v>
      </c>
      <c r="AX28">
        <v>0</v>
      </c>
      <c r="AY28">
        <v>0</v>
      </c>
      <c r="AZ28" t="s">
        <v>264</v>
      </c>
      <c r="BA28" t="s">
        <v>264</v>
      </c>
      <c r="BB28" t="s">
        <v>411</v>
      </c>
      <c r="BC28">
        <v>8</v>
      </c>
      <c r="BD2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-20</v>
      </c>
      <c r="BE28" t="str">
        <f>IF(GetCurrentMonthAging3[[#This Row],[InsGroupPrimary]]="","YES","NO")</f>
        <v>NO</v>
      </c>
      <c r="BF2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29" spans="1:58" x14ac:dyDescent="0.25">
      <c r="A29" t="s">
        <v>100</v>
      </c>
      <c r="B29">
        <v>6</v>
      </c>
      <c r="C29" t="s">
        <v>331</v>
      </c>
      <c r="D29" s="142">
        <v>45199</v>
      </c>
      <c r="E29">
        <v>112868</v>
      </c>
      <c r="F29">
        <v>1481420</v>
      </c>
      <c r="G29">
        <v>7418790</v>
      </c>
      <c r="H29" t="b">
        <v>0</v>
      </c>
      <c r="I29">
        <v>2773</v>
      </c>
      <c r="J29" t="s">
        <v>412</v>
      </c>
      <c r="K29">
        <v>90</v>
      </c>
      <c r="L29">
        <v>45</v>
      </c>
      <c r="M29">
        <v>2</v>
      </c>
      <c r="N29">
        <v>0</v>
      </c>
      <c r="O29">
        <v>0</v>
      </c>
      <c r="P29">
        <v>0</v>
      </c>
      <c r="Q29">
        <v>0</v>
      </c>
      <c r="R29">
        <v>0</v>
      </c>
      <c r="T29">
        <v>90</v>
      </c>
      <c r="U29">
        <v>0</v>
      </c>
      <c r="V29">
        <v>2</v>
      </c>
      <c r="W29">
        <v>175</v>
      </c>
      <c r="X29">
        <v>15</v>
      </c>
      <c r="Y29">
        <v>0</v>
      </c>
      <c r="Z29">
        <v>0</v>
      </c>
      <c r="AA29">
        <v>0</v>
      </c>
      <c r="AB29">
        <v>0</v>
      </c>
      <c r="AC29">
        <v>0</v>
      </c>
      <c r="AD29">
        <v>0</v>
      </c>
      <c r="AE29">
        <v>0</v>
      </c>
      <c r="AF29">
        <v>0</v>
      </c>
      <c r="AG29">
        <v>0</v>
      </c>
      <c r="AH29">
        <v>0</v>
      </c>
      <c r="AI29">
        <v>0</v>
      </c>
      <c r="AJ29">
        <v>0</v>
      </c>
      <c r="AK29">
        <v>0</v>
      </c>
      <c r="AL29">
        <v>0</v>
      </c>
      <c r="AM29">
        <v>0</v>
      </c>
      <c r="AN29">
        <v>-100</v>
      </c>
      <c r="AP29" t="s">
        <v>263</v>
      </c>
      <c r="AS29" t="s">
        <v>430</v>
      </c>
      <c r="AV29" t="s">
        <v>263</v>
      </c>
      <c r="AW29" t="s">
        <v>430</v>
      </c>
      <c r="AX29">
        <v>0</v>
      </c>
      <c r="AY29">
        <v>0</v>
      </c>
      <c r="AZ29" t="s">
        <v>264</v>
      </c>
      <c r="BA29" t="s">
        <v>264</v>
      </c>
      <c r="BB29" t="s">
        <v>411</v>
      </c>
      <c r="BC29">
        <v>8</v>
      </c>
      <c r="BD2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-400</v>
      </c>
      <c r="BE29" t="str">
        <f>IF(GetCurrentMonthAging3[[#This Row],[InsGroupPrimary]]="","YES","NO")</f>
        <v>NO</v>
      </c>
      <c r="BF2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-400</v>
      </c>
    </row>
    <row r="30" spans="1:58" x14ac:dyDescent="0.25">
      <c r="A30" t="s">
        <v>100</v>
      </c>
      <c r="B30">
        <v>6</v>
      </c>
      <c r="C30" t="s">
        <v>331</v>
      </c>
      <c r="D30" s="142">
        <v>45199</v>
      </c>
      <c r="E30">
        <v>140927</v>
      </c>
      <c r="F30">
        <v>1938735</v>
      </c>
      <c r="G30">
        <v>9429271</v>
      </c>
      <c r="H30" t="b">
        <v>0</v>
      </c>
      <c r="I30">
        <v>2588</v>
      </c>
      <c r="J30" t="s">
        <v>419</v>
      </c>
      <c r="K30">
        <v>45</v>
      </c>
      <c r="L30">
        <v>45</v>
      </c>
      <c r="M30">
        <v>1</v>
      </c>
      <c r="N30">
        <v>0</v>
      </c>
      <c r="O30">
        <v>0</v>
      </c>
      <c r="P30">
        <v>0</v>
      </c>
      <c r="Q30">
        <v>0</v>
      </c>
      <c r="R30">
        <v>0</v>
      </c>
      <c r="T30">
        <v>45</v>
      </c>
      <c r="U30">
        <v>0</v>
      </c>
      <c r="V30">
        <v>2</v>
      </c>
      <c r="W30">
        <v>72.459999999999994</v>
      </c>
      <c r="X30">
        <v>4.5</v>
      </c>
      <c r="Y30">
        <v>0</v>
      </c>
      <c r="Z30">
        <v>0</v>
      </c>
      <c r="AA30">
        <v>0</v>
      </c>
      <c r="AB30">
        <v>0</v>
      </c>
      <c r="AC30">
        <v>0</v>
      </c>
      <c r="AD30">
        <v>0</v>
      </c>
      <c r="AE30">
        <v>0</v>
      </c>
      <c r="AF30">
        <v>0</v>
      </c>
      <c r="AG30">
        <v>0</v>
      </c>
      <c r="AH30">
        <v>0</v>
      </c>
      <c r="AI30">
        <v>0</v>
      </c>
      <c r="AJ30">
        <v>0</v>
      </c>
      <c r="AK30">
        <v>0</v>
      </c>
      <c r="AL30">
        <v>0</v>
      </c>
      <c r="AM30">
        <v>0</v>
      </c>
      <c r="AN30">
        <v>-31.96</v>
      </c>
      <c r="AP30" t="s">
        <v>263</v>
      </c>
      <c r="AS30" t="s">
        <v>431</v>
      </c>
      <c r="AV30" t="s">
        <v>263</v>
      </c>
      <c r="AW30" t="s">
        <v>431</v>
      </c>
      <c r="AX30">
        <v>0</v>
      </c>
      <c r="AY30">
        <v>0</v>
      </c>
      <c r="AZ30" t="s">
        <v>264</v>
      </c>
      <c r="BA30" t="s">
        <v>264</v>
      </c>
      <c r="BB30" t="s">
        <v>411</v>
      </c>
      <c r="BC30">
        <v>8</v>
      </c>
      <c r="BD3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30" t="str">
        <f>IF(GetCurrentMonthAging3[[#This Row],[InsGroupPrimary]]="","YES","NO")</f>
        <v>NO</v>
      </c>
      <c r="BF3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31" spans="1:58" x14ac:dyDescent="0.25">
      <c r="A31" t="s">
        <v>100</v>
      </c>
      <c r="B31">
        <v>6</v>
      </c>
      <c r="C31" t="s">
        <v>331</v>
      </c>
      <c r="D31" s="142">
        <v>45199</v>
      </c>
      <c r="E31">
        <v>140927</v>
      </c>
      <c r="F31">
        <v>1922456</v>
      </c>
      <c r="G31">
        <v>9415309</v>
      </c>
      <c r="H31" t="b">
        <v>0</v>
      </c>
      <c r="I31">
        <v>2591</v>
      </c>
      <c r="J31" t="s">
        <v>419</v>
      </c>
      <c r="K31">
        <v>45</v>
      </c>
      <c r="L31">
        <v>45</v>
      </c>
      <c r="M31">
        <v>1</v>
      </c>
      <c r="N31">
        <v>0</v>
      </c>
      <c r="O31">
        <v>0</v>
      </c>
      <c r="P31">
        <v>0</v>
      </c>
      <c r="Q31">
        <v>0</v>
      </c>
      <c r="R31">
        <v>0</v>
      </c>
      <c r="T31">
        <v>45</v>
      </c>
      <c r="U31">
        <v>0</v>
      </c>
      <c r="V31">
        <v>2</v>
      </c>
      <c r="W31">
        <v>72.459999999999994</v>
      </c>
      <c r="X31">
        <v>4.5</v>
      </c>
      <c r="Y31">
        <v>0</v>
      </c>
      <c r="Z31">
        <v>0</v>
      </c>
      <c r="AA31">
        <v>0</v>
      </c>
      <c r="AB31">
        <v>0</v>
      </c>
      <c r="AC31">
        <v>0</v>
      </c>
      <c r="AD31">
        <v>0</v>
      </c>
      <c r="AE31">
        <v>0</v>
      </c>
      <c r="AF31">
        <v>0</v>
      </c>
      <c r="AG31">
        <v>0</v>
      </c>
      <c r="AH31">
        <v>0</v>
      </c>
      <c r="AI31">
        <v>0</v>
      </c>
      <c r="AJ31">
        <v>0</v>
      </c>
      <c r="AK31">
        <v>0</v>
      </c>
      <c r="AL31">
        <v>0</v>
      </c>
      <c r="AM31">
        <v>0</v>
      </c>
      <c r="AN31">
        <v>-31.96</v>
      </c>
      <c r="AP31" t="s">
        <v>263</v>
      </c>
      <c r="AS31" t="s">
        <v>431</v>
      </c>
      <c r="AV31" t="s">
        <v>263</v>
      </c>
      <c r="AW31" t="s">
        <v>431</v>
      </c>
      <c r="AX31">
        <v>0</v>
      </c>
      <c r="AY31">
        <v>0</v>
      </c>
      <c r="AZ31" t="s">
        <v>264</v>
      </c>
      <c r="BA31" t="s">
        <v>264</v>
      </c>
      <c r="BB31" t="s">
        <v>411</v>
      </c>
      <c r="BC31">
        <v>8</v>
      </c>
      <c r="BD3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31" t="str">
        <f>IF(GetCurrentMonthAging3[[#This Row],[InsGroupPrimary]]="","YES","NO")</f>
        <v>NO</v>
      </c>
      <c r="BF3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32" spans="1:58" x14ac:dyDescent="0.25">
      <c r="A32" t="s">
        <v>100</v>
      </c>
      <c r="B32">
        <v>6</v>
      </c>
      <c r="C32" t="s">
        <v>331</v>
      </c>
      <c r="D32" s="142">
        <v>45199</v>
      </c>
      <c r="E32">
        <v>122293</v>
      </c>
      <c r="F32">
        <v>1628035</v>
      </c>
      <c r="G32">
        <v>8010032</v>
      </c>
      <c r="H32" t="b">
        <v>0</v>
      </c>
      <c r="I32">
        <v>2719</v>
      </c>
      <c r="J32" t="s">
        <v>412</v>
      </c>
      <c r="K32">
        <v>45</v>
      </c>
      <c r="L32">
        <v>45</v>
      </c>
      <c r="M32">
        <v>1</v>
      </c>
      <c r="N32">
        <v>0</v>
      </c>
      <c r="O32">
        <v>0</v>
      </c>
      <c r="P32">
        <v>0</v>
      </c>
      <c r="Q32">
        <v>0</v>
      </c>
      <c r="R32">
        <v>0</v>
      </c>
      <c r="T32">
        <v>0</v>
      </c>
      <c r="U32">
        <v>0</v>
      </c>
      <c r="V32">
        <v>1</v>
      </c>
      <c r="W32">
        <v>25.24</v>
      </c>
      <c r="X32">
        <v>0</v>
      </c>
      <c r="Y32">
        <v>45</v>
      </c>
      <c r="Z32">
        <v>0</v>
      </c>
      <c r="AA32">
        <v>0</v>
      </c>
      <c r="AB32">
        <v>0</v>
      </c>
      <c r="AC32">
        <v>45</v>
      </c>
      <c r="AD32">
        <v>0</v>
      </c>
      <c r="AE32">
        <v>0</v>
      </c>
      <c r="AF32">
        <v>0</v>
      </c>
      <c r="AG32">
        <v>0</v>
      </c>
      <c r="AH32">
        <v>0</v>
      </c>
      <c r="AI32">
        <v>0</v>
      </c>
      <c r="AJ32">
        <v>0</v>
      </c>
      <c r="AK32">
        <v>0</v>
      </c>
      <c r="AL32">
        <v>0</v>
      </c>
      <c r="AM32">
        <v>0</v>
      </c>
      <c r="AN32">
        <v>-25.24</v>
      </c>
      <c r="AP32" t="s">
        <v>259</v>
      </c>
      <c r="AQ32" t="s">
        <v>262</v>
      </c>
      <c r="AS32" t="s">
        <v>449</v>
      </c>
      <c r="AT32" t="s">
        <v>436</v>
      </c>
      <c r="AV32" t="s">
        <v>262</v>
      </c>
      <c r="AW32" t="s">
        <v>436</v>
      </c>
      <c r="AX32">
        <v>0</v>
      </c>
      <c r="AY32">
        <v>0</v>
      </c>
      <c r="AZ32" t="s">
        <v>233</v>
      </c>
      <c r="BA32" t="s">
        <v>233</v>
      </c>
      <c r="BB32" t="s">
        <v>411</v>
      </c>
      <c r="BC32">
        <v>8</v>
      </c>
      <c r="BD3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v>
      </c>
      <c r="BE32" t="str">
        <f>IF(GetCurrentMonthAging3[[#This Row],[InsGroupPrimary]]="","YES","NO")</f>
        <v>NO</v>
      </c>
      <c r="BF3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v>
      </c>
    </row>
    <row r="33" spans="1:58" x14ac:dyDescent="0.25">
      <c r="A33" t="s">
        <v>100</v>
      </c>
      <c r="B33">
        <v>6</v>
      </c>
      <c r="C33" t="s">
        <v>331</v>
      </c>
      <c r="D33" s="142">
        <v>45199</v>
      </c>
      <c r="E33">
        <v>122293</v>
      </c>
      <c r="F33">
        <v>1628035</v>
      </c>
      <c r="G33">
        <v>8010033</v>
      </c>
      <c r="H33" t="b">
        <v>0</v>
      </c>
      <c r="I33">
        <v>2719</v>
      </c>
      <c r="J33" t="s">
        <v>419</v>
      </c>
      <c r="K33">
        <v>45</v>
      </c>
      <c r="L33">
        <v>45</v>
      </c>
      <c r="M33">
        <v>1</v>
      </c>
      <c r="N33">
        <v>0</v>
      </c>
      <c r="O33">
        <v>0</v>
      </c>
      <c r="P33">
        <v>0</v>
      </c>
      <c r="Q33">
        <v>0</v>
      </c>
      <c r="R33">
        <v>0</v>
      </c>
      <c r="T33">
        <v>0</v>
      </c>
      <c r="U33">
        <v>0</v>
      </c>
      <c r="V33">
        <v>1</v>
      </c>
      <c r="W33">
        <v>25.24</v>
      </c>
      <c r="X33">
        <v>0</v>
      </c>
      <c r="Y33">
        <v>45</v>
      </c>
      <c r="Z33">
        <v>0</v>
      </c>
      <c r="AA33">
        <v>0</v>
      </c>
      <c r="AB33">
        <v>0</v>
      </c>
      <c r="AC33">
        <v>45</v>
      </c>
      <c r="AD33">
        <v>0</v>
      </c>
      <c r="AE33">
        <v>0</v>
      </c>
      <c r="AF33">
        <v>0</v>
      </c>
      <c r="AG33">
        <v>0</v>
      </c>
      <c r="AH33">
        <v>0</v>
      </c>
      <c r="AI33">
        <v>0</v>
      </c>
      <c r="AJ33">
        <v>0</v>
      </c>
      <c r="AK33">
        <v>0</v>
      </c>
      <c r="AL33">
        <v>0</v>
      </c>
      <c r="AM33">
        <v>0</v>
      </c>
      <c r="AN33">
        <v>-25.24</v>
      </c>
      <c r="AP33" t="s">
        <v>259</v>
      </c>
      <c r="AQ33" t="s">
        <v>262</v>
      </c>
      <c r="AS33" t="s">
        <v>449</v>
      </c>
      <c r="AT33" t="s">
        <v>436</v>
      </c>
      <c r="AV33" t="s">
        <v>262</v>
      </c>
      <c r="AW33" t="s">
        <v>436</v>
      </c>
      <c r="AX33">
        <v>0</v>
      </c>
      <c r="AY33">
        <v>0</v>
      </c>
      <c r="AZ33" t="s">
        <v>233</v>
      </c>
      <c r="BA33" t="s">
        <v>233</v>
      </c>
      <c r="BB33" t="s">
        <v>411</v>
      </c>
      <c r="BC33">
        <v>8</v>
      </c>
      <c r="BD3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v>
      </c>
      <c r="BE33" t="str">
        <f>IF(GetCurrentMonthAging3[[#This Row],[InsGroupPrimary]]="","YES","NO")</f>
        <v>NO</v>
      </c>
      <c r="BF3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v>
      </c>
    </row>
    <row r="34" spans="1:58" x14ac:dyDescent="0.25">
      <c r="A34" t="s">
        <v>100</v>
      </c>
      <c r="B34">
        <v>6</v>
      </c>
      <c r="C34" t="s">
        <v>331</v>
      </c>
      <c r="D34" s="142">
        <v>45199</v>
      </c>
      <c r="E34">
        <v>123191</v>
      </c>
      <c r="F34">
        <v>1672849</v>
      </c>
      <c r="G34">
        <v>8242065</v>
      </c>
      <c r="H34" t="b">
        <v>0</v>
      </c>
      <c r="I34">
        <v>2698</v>
      </c>
      <c r="J34" t="s">
        <v>419</v>
      </c>
      <c r="K34">
        <v>90</v>
      </c>
      <c r="L34">
        <v>45</v>
      </c>
      <c r="M34">
        <v>2</v>
      </c>
      <c r="N34">
        <v>0</v>
      </c>
      <c r="O34">
        <v>0</v>
      </c>
      <c r="P34">
        <v>0</v>
      </c>
      <c r="Q34">
        <v>0</v>
      </c>
      <c r="R34">
        <v>0</v>
      </c>
      <c r="T34">
        <v>90</v>
      </c>
      <c r="U34">
        <v>0</v>
      </c>
      <c r="V34">
        <v>1</v>
      </c>
      <c r="W34">
        <v>150</v>
      </c>
      <c r="X34">
        <v>0</v>
      </c>
      <c r="Y34">
        <v>0</v>
      </c>
      <c r="Z34">
        <v>0</v>
      </c>
      <c r="AA34">
        <v>0</v>
      </c>
      <c r="AB34">
        <v>0</v>
      </c>
      <c r="AC34">
        <v>0</v>
      </c>
      <c r="AD34">
        <v>0</v>
      </c>
      <c r="AE34">
        <v>0</v>
      </c>
      <c r="AF34">
        <v>0</v>
      </c>
      <c r="AG34">
        <v>0</v>
      </c>
      <c r="AH34">
        <v>0</v>
      </c>
      <c r="AI34">
        <v>0</v>
      </c>
      <c r="AJ34">
        <v>0</v>
      </c>
      <c r="AK34">
        <v>0</v>
      </c>
      <c r="AL34">
        <v>0</v>
      </c>
      <c r="AM34">
        <v>0</v>
      </c>
      <c r="AN34">
        <v>-60</v>
      </c>
      <c r="AP34" t="s">
        <v>263</v>
      </c>
      <c r="AS34" t="s">
        <v>410</v>
      </c>
      <c r="AV34" t="s">
        <v>263</v>
      </c>
      <c r="AW34" t="s">
        <v>410</v>
      </c>
      <c r="AX34">
        <v>0</v>
      </c>
      <c r="AY34">
        <v>0</v>
      </c>
      <c r="AZ34" t="s">
        <v>233</v>
      </c>
      <c r="BA34" t="s">
        <v>233</v>
      </c>
      <c r="BB34" t="s">
        <v>411</v>
      </c>
      <c r="BC34">
        <v>8</v>
      </c>
      <c r="BD3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-60</v>
      </c>
      <c r="BE34" t="str">
        <f>IF(GetCurrentMonthAging3[[#This Row],[InsGroupPrimary]]="","YES","NO")</f>
        <v>NO</v>
      </c>
      <c r="BF3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35" spans="1:58" x14ac:dyDescent="0.25">
      <c r="A35" t="s">
        <v>100</v>
      </c>
      <c r="B35">
        <v>6</v>
      </c>
      <c r="C35" t="s">
        <v>331</v>
      </c>
      <c r="D35" s="142">
        <v>45199</v>
      </c>
      <c r="E35">
        <v>157121</v>
      </c>
      <c r="F35">
        <v>2154019</v>
      </c>
      <c r="G35">
        <v>10439793</v>
      </c>
      <c r="H35" t="b">
        <v>0</v>
      </c>
      <c r="I35">
        <v>2495</v>
      </c>
      <c r="J35" t="s">
        <v>412</v>
      </c>
      <c r="K35">
        <v>90</v>
      </c>
      <c r="L35">
        <v>45</v>
      </c>
      <c r="M35">
        <v>2</v>
      </c>
      <c r="N35">
        <v>0</v>
      </c>
      <c r="O35">
        <v>9.75</v>
      </c>
      <c r="P35">
        <v>0</v>
      </c>
      <c r="Q35">
        <v>9.75</v>
      </c>
      <c r="R35">
        <v>0</v>
      </c>
      <c r="T35">
        <v>90</v>
      </c>
      <c r="U35">
        <v>0</v>
      </c>
      <c r="V35">
        <v>1</v>
      </c>
      <c r="W35">
        <v>38.21</v>
      </c>
      <c r="X35">
        <v>42.04</v>
      </c>
      <c r="Y35">
        <v>0</v>
      </c>
      <c r="Z35">
        <v>0</v>
      </c>
      <c r="AA35">
        <v>0</v>
      </c>
      <c r="AB35">
        <v>0</v>
      </c>
      <c r="AC35">
        <v>0</v>
      </c>
      <c r="AD35">
        <v>0</v>
      </c>
      <c r="AE35">
        <v>0</v>
      </c>
      <c r="AF35">
        <v>0</v>
      </c>
      <c r="AG35">
        <v>0</v>
      </c>
      <c r="AH35">
        <v>0</v>
      </c>
      <c r="AI35">
        <v>0</v>
      </c>
      <c r="AJ35">
        <v>0</v>
      </c>
      <c r="AK35">
        <v>9.75</v>
      </c>
      <c r="AL35">
        <v>1</v>
      </c>
      <c r="AM35">
        <v>0</v>
      </c>
      <c r="AN35">
        <v>-9.75</v>
      </c>
      <c r="AP35" t="s">
        <v>261</v>
      </c>
      <c r="AS35" t="s">
        <v>413</v>
      </c>
      <c r="AV35" t="s">
        <v>261</v>
      </c>
      <c r="AW35" t="s">
        <v>413</v>
      </c>
      <c r="AX35">
        <v>0</v>
      </c>
      <c r="AY35">
        <v>0</v>
      </c>
      <c r="AZ35" t="s">
        <v>233</v>
      </c>
      <c r="BA35" t="s">
        <v>233</v>
      </c>
      <c r="BB35" t="s">
        <v>411</v>
      </c>
      <c r="BC35">
        <v>8</v>
      </c>
      <c r="BD3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-141.27000000000001</v>
      </c>
      <c r="BE35" t="str">
        <f>IF(GetCurrentMonthAging3[[#This Row],[InsGroupPrimary]]="","YES","NO")</f>
        <v>NO</v>
      </c>
      <c r="BF3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-141.27000000000001</v>
      </c>
    </row>
    <row r="36" spans="1:58" x14ac:dyDescent="0.25">
      <c r="A36" t="s">
        <v>100</v>
      </c>
      <c r="B36">
        <v>6</v>
      </c>
      <c r="C36" t="s">
        <v>331</v>
      </c>
      <c r="D36" s="142">
        <v>45199</v>
      </c>
      <c r="E36">
        <v>157121</v>
      </c>
      <c r="F36">
        <v>2154018</v>
      </c>
      <c r="G36">
        <v>10401581</v>
      </c>
      <c r="H36" t="b">
        <v>0</v>
      </c>
      <c r="I36">
        <v>2497</v>
      </c>
      <c r="J36" t="s">
        <v>412</v>
      </c>
      <c r="K36">
        <v>135</v>
      </c>
      <c r="L36">
        <v>45</v>
      </c>
      <c r="M36">
        <v>3</v>
      </c>
      <c r="N36">
        <v>0</v>
      </c>
      <c r="O36">
        <v>16.13</v>
      </c>
      <c r="P36">
        <v>16.13</v>
      </c>
      <c r="Q36">
        <v>0</v>
      </c>
      <c r="R36">
        <v>0</v>
      </c>
      <c r="T36">
        <v>135</v>
      </c>
      <c r="U36">
        <v>0</v>
      </c>
      <c r="V36">
        <v>1</v>
      </c>
      <c r="W36">
        <v>63.21</v>
      </c>
      <c r="X36">
        <v>55.66</v>
      </c>
      <c r="Y36">
        <v>0</v>
      </c>
      <c r="Z36">
        <v>0</v>
      </c>
      <c r="AA36">
        <v>0</v>
      </c>
      <c r="AB36">
        <v>0</v>
      </c>
      <c r="AC36">
        <v>0</v>
      </c>
      <c r="AD36">
        <v>0</v>
      </c>
      <c r="AE36">
        <v>0</v>
      </c>
      <c r="AF36">
        <v>0</v>
      </c>
      <c r="AG36">
        <v>0</v>
      </c>
      <c r="AH36">
        <v>0</v>
      </c>
      <c r="AI36">
        <v>0</v>
      </c>
      <c r="AJ36">
        <v>0</v>
      </c>
      <c r="AK36">
        <v>16.13</v>
      </c>
      <c r="AL36">
        <v>1</v>
      </c>
      <c r="AM36">
        <v>0</v>
      </c>
      <c r="AN36">
        <v>-16.13</v>
      </c>
      <c r="AP36" t="s">
        <v>261</v>
      </c>
      <c r="AS36" t="s">
        <v>413</v>
      </c>
      <c r="AV36" t="s">
        <v>261</v>
      </c>
      <c r="AW36" t="s">
        <v>413</v>
      </c>
      <c r="AX36">
        <v>0</v>
      </c>
      <c r="AY36">
        <v>0</v>
      </c>
      <c r="AZ36" t="s">
        <v>233</v>
      </c>
      <c r="BA36" t="s">
        <v>233</v>
      </c>
      <c r="BB36" t="s">
        <v>411</v>
      </c>
      <c r="BC36">
        <v>8</v>
      </c>
      <c r="BD3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-141.27000000000001</v>
      </c>
      <c r="BE36" t="str">
        <f>IF(GetCurrentMonthAging3[[#This Row],[InsGroupPrimary]]="","YES","NO")</f>
        <v>NO</v>
      </c>
      <c r="BF3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-141.27000000000001</v>
      </c>
    </row>
    <row r="37" spans="1:58" x14ac:dyDescent="0.25">
      <c r="A37" t="s">
        <v>100</v>
      </c>
      <c r="B37">
        <v>6</v>
      </c>
      <c r="C37" t="s">
        <v>331</v>
      </c>
      <c r="D37" s="142">
        <v>45199</v>
      </c>
      <c r="E37">
        <v>157121</v>
      </c>
      <c r="F37">
        <v>2154019</v>
      </c>
      <c r="G37">
        <v>10439794</v>
      </c>
      <c r="H37" t="b">
        <v>0</v>
      </c>
      <c r="I37">
        <v>2495</v>
      </c>
      <c r="J37" t="s">
        <v>416</v>
      </c>
      <c r="K37">
        <v>45</v>
      </c>
      <c r="L37">
        <v>45</v>
      </c>
      <c r="M37">
        <v>1</v>
      </c>
      <c r="N37">
        <v>0</v>
      </c>
      <c r="O37">
        <v>6.65</v>
      </c>
      <c r="P37">
        <v>0</v>
      </c>
      <c r="Q37">
        <v>6.65</v>
      </c>
      <c r="R37">
        <v>0</v>
      </c>
      <c r="T37">
        <v>45</v>
      </c>
      <c r="U37">
        <v>0</v>
      </c>
      <c r="V37">
        <v>1</v>
      </c>
      <c r="W37">
        <v>26.08</v>
      </c>
      <c r="X37">
        <v>12.27</v>
      </c>
      <c r="Y37">
        <v>0</v>
      </c>
      <c r="Z37">
        <v>0</v>
      </c>
      <c r="AA37">
        <v>0</v>
      </c>
      <c r="AB37">
        <v>0</v>
      </c>
      <c r="AC37">
        <v>0</v>
      </c>
      <c r="AD37">
        <v>0</v>
      </c>
      <c r="AE37">
        <v>0</v>
      </c>
      <c r="AF37">
        <v>0</v>
      </c>
      <c r="AG37">
        <v>0</v>
      </c>
      <c r="AH37">
        <v>0</v>
      </c>
      <c r="AI37">
        <v>0</v>
      </c>
      <c r="AJ37">
        <v>0</v>
      </c>
      <c r="AK37">
        <v>6.65</v>
      </c>
      <c r="AL37">
        <v>1</v>
      </c>
      <c r="AM37">
        <v>0</v>
      </c>
      <c r="AN37">
        <v>-6.65</v>
      </c>
      <c r="AP37" t="s">
        <v>261</v>
      </c>
      <c r="AS37" t="s">
        <v>413</v>
      </c>
      <c r="AV37" t="s">
        <v>261</v>
      </c>
      <c r="AW37" t="s">
        <v>413</v>
      </c>
      <c r="AX37">
        <v>0</v>
      </c>
      <c r="AY37">
        <v>0</v>
      </c>
      <c r="AZ37" t="s">
        <v>233</v>
      </c>
      <c r="BA37" t="s">
        <v>233</v>
      </c>
      <c r="BB37" t="s">
        <v>411</v>
      </c>
      <c r="BC37">
        <v>8</v>
      </c>
      <c r="BD3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-141.27000000000001</v>
      </c>
      <c r="BE37" t="str">
        <f>IF(GetCurrentMonthAging3[[#This Row],[InsGroupPrimary]]="","YES","NO")</f>
        <v>NO</v>
      </c>
      <c r="BF3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-141.27000000000001</v>
      </c>
    </row>
    <row r="38" spans="1:58" x14ac:dyDescent="0.25">
      <c r="A38" t="s">
        <v>100</v>
      </c>
      <c r="B38">
        <v>6</v>
      </c>
      <c r="C38" t="s">
        <v>331</v>
      </c>
      <c r="D38" s="142">
        <v>45199</v>
      </c>
      <c r="E38">
        <v>171144</v>
      </c>
      <c r="F38">
        <v>2520398</v>
      </c>
      <c r="G38">
        <v>11891657</v>
      </c>
      <c r="H38" t="b">
        <v>0</v>
      </c>
      <c r="I38">
        <v>2360</v>
      </c>
      <c r="J38" t="s">
        <v>412</v>
      </c>
      <c r="K38">
        <v>90</v>
      </c>
      <c r="L38">
        <v>45</v>
      </c>
      <c r="M38">
        <v>2</v>
      </c>
      <c r="N38">
        <v>0</v>
      </c>
      <c r="O38">
        <v>0</v>
      </c>
      <c r="P38">
        <v>0</v>
      </c>
      <c r="Q38">
        <v>0</v>
      </c>
      <c r="R38">
        <v>0</v>
      </c>
      <c r="T38">
        <v>90</v>
      </c>
      <c r="U38">
        <v>0</v>
      </c>
      <c r="V38">
        <v>2</v>
      </c>
      <c r="W38">
        <v>125.46</v>
      </c>
      <c r="X38">
        <v>10</v>
      </c>
      <c r="Y38">
        <v>0</v>
      </c>
      <c r="Z38">
        <v>0</v>
      </c>
      <c r="AA38">
        <v>0</v>
      </c>
      <c r="AB38">
        <v>0</v>
      </c>
      <c r="AC38">
        <v>0</v>
      </c>
      <c r="AD38">
        <v>0</v>
      </c>
      <c r="AE38">
        <v>0</v>
      </c>
      <c r="AF38">
        <v>0</v>
      </c>
      <c r="AG38">
        <v>0</v>
      </c>
      <c r="AH38">
        <v>0</v>
      </c>
      <c r="AI38">
        <v>0</v>
      </c>
      <c r="AJ38">
        <v>0</v>
      </c>
      <c r="AK38">
        <v>0</v>
      </c>
      <c r="AL38">
        <v>0</v>
      </c>
      <c r="AM38">
        <v>0</v>
      </c>
      <c r="AN38">
        <v>-45.46</v>
      </c>
      <c r="AP38" t="s">
        <v>263</v>
      </c>
      <c r="AS38" t="s">
        <v>450</v>
      </c>
      <c r="AV38" t="s">
        <v>263</v>
      </c>
      <c r="AW38" t="s">
        <v>450</v>
      </c>
      <c r="AX38">
        <v>0</v>
      </c>
      <c r="AY38">
        <v>0</v>
      </c>
      <c r="AZ38" t="s">
        <v>264</v>
      </c>
      <c r="BA38" t="s">
        <v>264</v>
      </c>
      <c r="BB38" t="s">
        <v>411</v>
      </c>
      <c r="BC38">
        <v>8</v>
      </c>
      <c r="BD3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-45.46</v>
      </c>
      <c r="BE38" t="str">
        <f>IF(GetCurrentMonthAging3[[#This Row],[InsGroupPrimary]]="","YES","NO")</f>
        <v>NO</v>
      </c>
      <c r="BF3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-45.46</v>
      </c>
    </row>
    <row r="39" spans="1:58" x14ac:dyDescent="0.25">
      <c r="A39" t="s">
        <v>100</v>
      </c>
      <c r="B39">
        <v>6</v>
      </c>
      <c r="C39" t="s">
        <v>331</v>
      </c>
      <c r="D39" s="142">
        <v>45199</v>
      </c>
      <c r="E39">
        <v>217648</v>
      </c>
      <c r="F39">
        <v>3055962</v>
      </c>
      <c r="G39">
        <v>13934691</v>
      </c>
      <c r="H39" t="b">
        <v>0</v>
      </c>
      <c r="I39">
        <v>2167</v>
      </c>
      <c r="J39" t="s">
        <v>409</v>
      </c>
      <c r="K39">
        <v>30</v>
      </c>
      <c r="L39">
        <v>30</v>
      </c>
      <c r="M39">
        <v>1</v>
      </c>
      <c r="N39">
        <v>0</v>
      </c>
      <c r="O39">
        <v>0</v>
      </c>
      <c r="P39">
        <v>0</v>
      </c>
      <c r="Q39">
        <v>0</v>
      </c>
      <c r="R39">
        <v>0</v>
      </c>
      <c r="T39">
        <v>30</v>
      </c>
      <c r="U39">
        <v>0</v>
      </c>
      <c r="V39">
        <v>0</v>
      </c>
      <c r="W39">
        <v>0</v>
      </c>
      <c r="X39">
        <v>30</v>
      </c>
      <c r="Y39">
        <v>0</v>
      </c>
      <c r="Z39">
        <v>0</v>
      </c>
      <c r="AA39">
        <v>1</v>
      </c>
      <c r="AB39">
        <v>7.2</v>
      </c>
      <c r="AC39">
        <v>0</v>
      </c>
      <c r="AD39">
        <v>0</v>
      </c>
      <c r="AE39">
        <v>0</v>
      </c>
      <c r="AF39">
        <v>0</v>
      </c>
      <c r="AG39">
        <v>0</v>
      </c>
      <c r="AH39">
        <v>0</v>
      </c>
      <c r="AI39">
        <v>0</v>
      </c>
      <c r="AJ39">
        <v>0</v>
      </c>
      <c r="AK39">
        <v>0</v>
      </c>
      <c r="AL39">
        <v>0</v>
      </c>
      <c r="AM39">
        <v>0</v>
      </c>
      <c r="AN39">
        <v>-7.2</v>
      </c>
      <c r="AP39" t="s">
        <v>260</v>
      </c>
      <c r="AQ39" t="s">
        <v>265</v>
      </c>
      <c r="AS39" t="s">
        <v>433</v>
      </c>
      <c r="AT39" t="s">
        <v>425</v>
      </c>
      <c r="AV39" t="s">
        <v>260</v>
      </c>
      <c r="AW39" t="s">
        <v>433</v>
      </c>
      <c r="AX39">
        <v>0</v>
      </c>
      <c r="AY39">
        <v>0</v>
      </c>
      <c r="AZ39" t="s">
        <v>233</v>
      </c>
      <c r="BA39" t="s">
        <v>233</v>
      </c>
      <c r="BB39" t="s">
        <v>411</v>
      </c>
      <c r="BC39">
        <v>8</v>
      </c>
      <c r="BD3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-199.54000000000002</v>
      </c>
      <c r="BE39" t="str">
        <f>IF(GetCurrentMonthAging3[[#This Row],[InsGroupPrimary]]="","YES","NO")</f>
        <v>NO</v>
      </c>
      <c r="BF3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-199.54000000000002</v>
      </c>
    </row>
    <row r="40" spans="1:58" x14ac:dyDescent="0.25">
      <c r="A40" t="s">
        <v>100</v>
      </c>
      <c r="B40">
        <v>6</v>
      </c>
      <c r="C40" t="s">
        <v>331</v>
      </c>
      <c r="D40" s="142">
        <v>45199</v>
      </c>
      <c r="E40">
        <v>242721</v>
      </c>
      <c r="F40">
        <v>3467775</v>
      </c>
      <c r="G40">
        <v>15559496</v>
      </c>
      <c r="H40" t="b">
        <v>0</v>
      </c>
      <c r="I40">
        <v>2011</v>
      </c>
      <c r="J40" t="s">
        <v>419</v>
      </c>
      <c r="K40">
        <v>45</v>
      </c>
      <c r="L40">
        <v>45</v>
      </c>
      <c r="M40">
        <v>1</v>
      </c>
      <c r="N40">
        <v>0</v>
      </c>
      <c r="O40">
        <v>1.91</v>
      </c>
      <c r="P40">
        <v>0</v>
      </c>
      <c r="Q40">
        <v>1.91</v>
      </c>
      <c r="R40">
        <v>0</v>
      </c>
      <c r="T40">
        <v>45</v>
      </c>
      <c r="U40">
        <v>0</v>
      </c>
      <c r="V40">
        <v>2</v>
      </c>
      <c r="W40">
        <v>9.57</v>
      </c>
      <c r="X40">
        <v>35.43</v>
      </c>
      <c r="Y40">
        <v>0</v>
      </c>
      <c r="Z40">
        <v>0</v>
      </c>
      <c r="AA40">
        <v>0</v>
      </c>
      <c r="AB40">
        <v>0</v>
      </c>
      <c r="AC40">
        <v>0</v>
      </c>
      <c r="AD40">
        <v>0</v>
      </c>
      <c r="AE40">
        <v>0</v>
      </c>
      <c r="AF40">
        <v>0</v>
      </c>
      <c r="AG40">
        <v>0</v>
      </c>
      <c r="AH40">
        <v>0</v>
      </c>
      <c r="AI40">
        <v>0</v>
      </c>
      <c r="AJ40">
        <v>0</v>
      </c>
      <c r="AK40">
        <v>0</v>
      </c>
      <c r="AL40">
        <v>0</v>
      </c>
      <c r="AM40">
        <v>0</v>
      </c>
      <c r="AN40">
        <v>-1.91</v>
      </c>
      <c r="AP40" t="s">
        <v>260</v>
      </c>
      <c r="AS40" t="s">
        <v>452</v>
      </c>
      <c r="AV40" t="s">
        <v>260</v>
      </c>
      <c r="AW40" t="s">
        <v>452</v>
      </c>
      <c r="AX40">
        <v>0</v>
      </c>
      <c r="AY40">
        <v>0</v>
      </c>
      <c r="AZ40" t="s">
        <v>233</v>
      </c>
      <c r="BA40" t="s">
        <v>233</v>
      </c>
      <c r="BB40" t="s">
        <v>411</v>
      </c>
      <c r="BC40">
        <v>8</v>
      </c>
      <c r="BD4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-9.99</v>
      </c>
      <c r="BE40" t="str">
        <f>IF(GetCurrentMonthAging3[[#This Row],[InsGroupPrimary]]="","YES","NO")</f>
        <v>NO</v>
      </c>
      <c r="BF4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-9.99</v>
      </c>
    </row>
    <row r="41" spans="1:58" x14ac:dyDescent="0.25">
      <c r="A41" t="s">
        <v>100</v>
      </c>
      <c r="B41">
        <v>6</v>
      </c>
      <c r="C41" t="s">
        <v>331</v>
      </c>
      <c r="D41" s="142">
        <v>45199</v>
      </c>
      <c r="E41">
        <v>217648</v>
      </c>
      <c r="F41">
        <v>3198382</v>
      </c>
      <c r="G41">
        <v>14506083</v>
      </c>
      <c r="H41" t="b">
        <v>0</v>
      </c>
      <c r="I41">
        <v>2115</v>
      </c>
      <c r="J41" t="s">
        <v>419</v>
      </c>
      <c r="K41">
        <v>90</v>
      </c>
      <c r="L41">
        <v>45</v>
      </c>
      <c r="M41">
        <v>2</v>
      </c>
      <c r="N41">
        <v>0</v>
      </c>
      <c r="O41">
        <v>0</v>
      </c>
      <c r="P41">
        <v>0</v>
      </c>
      <c r="Q41">
        <v>0</v>
      </c>
      <c r="R41">
        <v>0</v>
      </c>
      <c r="T41">
        <v>90</v>
      </c>
      <c r="U41">
        <v>0</v>
      </c>
      <c r="V41">
        <v>1</v>
      </c>
      <c r="W41">
        <v>12</v>
      </c>
      <c r="X41">
        <v>75</v>
      </c>
      <c r="Y41">
        <v>0</v>
      </c>
      <c r="Z41">
        <v>3</v>
      </c>
      <c r="AA41">
        <v>1</v>
      </c>
      <c r="AB41">
        <v>24.22</v>
      </c>
      <c r="AC41">
        <v>0</v>
      </c>
      <c r="AD41">
        <v>0</v>
      </c>
      <c r="AE41">
        <v>0</v>
      </c>
      <c r="AF41">
        <v>0</v>
      </c>
      <c r="AG41">
        <v>0</v>
      </c>
      <c r="AH41">
        <v>0</v>
      </c>
      <c r="AI41">
        <v>0</v>
      </c>
      <c r="AJ41">
        <v>0</v>
      </c>
      <c r="AK41">
        <v>0</v>
      </c>
      <c r="AL41">
        <v>0</v>
      </c>
      <c r="AM41">
        <v>0</v>
      </c>
      <c r="AN41">
        <v>-21.22</v>
      </c>
      <c r="AP41" t="s">
        <v>260</v>
      </c>
      <c r="AQ41" t="s">
        <v>265</v>
      </c>
      <c r="AS41" t="s">
        <v>433</v>
      </c>
      <c r="AT41" t="s">
        <v>425</v>
      </c>
      <c r="AV41" t="s">
        <v>332</v>
      </c>
      <c r="AW41" t="s">
        <v>332</v>
      </c>
      <c r="AX41">
        <v>0</v>
      </c>
      <c r="AY41">
        <v>0</v>
      </c>
      <c r="AZ41" t="s">
        <v>233</v>
      </c>
      <c r="BA41" t="s">
        <v>233</v>
      </c>
      <c r="BB41" t="s">
        <v>411</v>
      </c>
      <c r="BC41">
        <v>8</v>
      </c>
      <c r="BD4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-199.54000000000002</v>
      </c>
      <c r="BE41" t="str">
        <f>IF(GetCurrentMonthAging3[[#This Row],[InsGroupPrimary]]="","YES","NO")</f>
        <v>NO</v>
      </c>
      <c r="BF4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-199.54000000000002</v>
      </c>
    </row>
    <row r="42" spans="1:58" x14ac:dyDescent="0.25">
      <c r="A42" t="s">
        <v>100</v>
      </c>
      <c r="B42">
        <v>6</v>
      </c>
      <c r="C42" t="s">
        <v>331</v>
      </c>
      <c r="D42" s="142">
        <v>45199</v>
      </c>
      <c r="E42">
        <v>217648</v>
      </c>
      <c r="F42">
        <v>3211690</v>
      </c>
      <c r="G42">
        <v>14528138</v>
      </c>
      <c r="H42" t="b">
        <v>0</v>
      </c>
      <c r="I42">
        <v>2111</v>
      </c>
      <c r="J42" t="s">
        <v>412</v>
      </c>
      <c r="K42">
        <v>90</v>
      </c>
      <c r="L42">
        <v>45</v>
      </c>
      <c r="M42">
        <v>2</v>
      </c>
      <c r="N42">
        <v>0</v>
      </c>
      <c r="O42">
        <v>0</v>
      </c>
      <c r="P42">
        <v>0</v>
      </c>
      <c r="Q42">
        <v>0</v>
      </c>
      <c r="R42">
        <v>0</v>
      </c>
      <c r="T42">
        <v>90</v>
      </c>
      <c r="U42">
        <v>0</v>
      </c>
      <c r="V42">
        <v>1</v>
      </c>
      <c r="W42">
        <v>48</v>
      </c>
      <c r="X42">
        <v>30</v>
      </c>
      <c r="Y42">
        <v>0</v>
      </c>
      <c r="Z42">
        <v>12</v>
      </c>
      <c r="AA42">
        <v>1</v>
      </c>
      <c r="AB42">
        <v>19.2</v>
      </c>
      <c r="AC42">
        <v>0</v>
      </c>
      <c r="AD42">
        <v>0</v>
      </c>
      <c r="AE42">
        <v>0</v>
      </c>
      <c r="AF42">
        <v>0</v>
      </c>
      <c r="AG42">
        <v>0</v>
      </c>
      <c r="AH42">
        <v>0</v>
      </c>
      <c r="AI42">
        <v>0</v>
      </c>
      <c r="AJ42">
        <v>0</v>
      </c>
      <c r="AK42">
        <v>0</v>
      </c>
      <c r="AL42">
        <v>0</v>
      </c>
      <c r="AM42">
        <v>0</v>
      </c>
      <c r="AN42">
        <v>-7.2</v>
      </c>
      <c r="AP42" t="s">
        <v>260</v>
      </c>
      <c r="AQ42" t="s">
        <v>265</v>
      </c>
      <c r="AS42" t="s">
        <v>433</v>
      </c>
      <c r="AT42" t="s">
        <v>425</v>
      </c>
      <c r="AV42" t="s">
        <v>332</v>
      </c>
      <c r="AW42" t="s">
        <v>332</v>
      </c>
      <c r="AX42">
        <v>0</v>
      </c>
      <c r="AY42">
        <v>0</v>
      </c>
      <c r="AZ42" t="s">
        <v>233</v>
      </c>
      <c r="BA42" t="s">
        <v>233</v>
      </c>
      <c r="BB42" t="s">
        <v>411</v>
      </c>
      <c r="BC42">
        <v>8</v>
      </c>
      <c r="BD4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-199.54000000000002</v>
      </c>
      <c r="BE42" t="str">
        <f>IF(GetCurrentMonthAging3[[#This Row],[InsGroupPrimary]]="","YES","NO")</f>
        <v>NO</v>
      </c>
      <c r="BF4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-199.54000000000002</v>
      </c>
    </row>
    <row r="43" spans="1:58" x14ac:dyDescent="0.25">
      <c r="A43" t="s">
        <v>100</v>
      </c>
      <c r="B43">
        <v>6</v>
      </c>
      <c r="C43" t="s">
        <v>331</v>
      </c>
      <c r="D43" s="142">
        <v>45199</v>
      </c>
      <c r="E43">
        <v>267438</v>
      </c>
      <c r="F43">
        <v>3823968</v>
      </c>
      <c r="G43">
        <v>17167752</v>
      </c>
      <c r="H43" t="b">
        <v>0</v>
      </c>
      <c r="I43">
        <v>1879</v>
      </c>
      <c r="J43" t="s">
        <v>437</v>
      </c>
      <c r="K43">
        <v>90</v>
      </c>
      <c r="L43">
        <v>90</v>
      </c>
      <c r="M43">
        <v>1</v>
      </c>
      <c r="N43">
        <v>0</v>
      </c>
      <c r="O43">
        <v>0</v>
      </c>
      <c r="P43">
        <v>0</v>
      </c>
      <c r="Q43">
        <v>0</v>
      </c>
      <c r="R43">
        <v>0</v>
      </c>
      <c r="T43">
        <v>90</v>
      </c>
      <c r="U43">
        <v>0</v>
      </c>
      <c r="V43">
        <v>1</v>
      </c>
      <c r="W43">
        <v>65.94</v>
      </c>
      <c r="X43">
        <v>0</v>
      </c>
      <c r="Y43">
        <v>0</v>
      </c>
      <c r="Z43">
        <v>0</v>
      </c>
      <c r="AA43">
        <v>0</v>
      </c>
      <c r="AB43">
        <v>0</v>
      </c>
      <c r="AC43">
        <v>0</v>
      </c>
      <c r="AD43">
        <v>0</v>
      </c>
      <c r="AE43">
        <v>0</v>
      </c>
      <c r="AF43">
        <v>0</v>
      </c>
      <c r="AG43">
        <v>0</v>
      </c>
      <c r="AH43">
        <v>0</v>
      </c>
      <c r="AI43">
        <v>0</v>
      </c>
      <c r="AJ43">
        <v>0</v>
      </c>
      <c r="AK43">
        <v>0</v>
      </c>
      <c r="AL43">
        <v>0</v>
      </c>
      <c r="AM43">
        <v>0</v>
      </c>
      <c r="AN43">
        <v>-65.94</v>
      </c>
      <c r="AP43" t="s">
        <v>261</v>
      </c>
      <c r="AS43" t="s">
        <v>413</v>
      </c>
      <c r="AV43" t="s">
        <v>261</v>
      </c>
      <c r="AW43" t="s">
        <v>413</v>
      </c>
      <c r="AX43">
        <v>90</v>
      </c>
      <c r="AY43">
        <v>0</v>
      </c>
      <c r="AZ43" t="s">
        <v>264</v>
      </c>
      <c r="BA43" t="s">
        <v>264</v>
      </c>
      <c r="BB43" t="s">
        <v>411</v>
      </c>
      <c r="BC43">
        <v>8</v>
      </c>
      <c r="BD4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-101.82000000000001</v>
      </c>
      <c r="BE43" t="str">
        <f>IF(GetCurrentMonthAging3[[#This Row],[InsGroupPrimary]]="","YES","NO")</f>
        <v>NO</v>
      </c>
      <c r="BF4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-101.82000000000001</v>
      </c>
    </row>
    <row r="44" spans="1:58" x14ac:dyDescent="0.25">
      <c r="A44" t="s">
        <v>100</v>
      </c>
      <c r="B44">
        <v>6</v>
      </c>
      <c r="C44" t="s">
        <v>331</v>
      </c>
      <c r="D44" s="142">
        <v>45199</v>
      </c>
      <c r="E44">
        <v>267438</v>
      </c>
      <c r="F44">
        <v>3823968</v>
      </c>
      <c r="G44">
        <v>17167754</v>
      </c>
      <c r="H44" t="b">
        <v>0</v>
      </c>
      <c r="I44">
        <v>1879</v>
      </c>
      <c r="J44" t="s">
        <v>419</v>
      </c>
      <c r="K44">
        <v>45</v>
      </c>
      <c r="L44">
        <v>45</v>
      </c>
      <c r="M44">
        <v>1</v>
      </c>
      <c r="N44">
        <v>0</v>
      </c>
      <c r="O44">
        <v>0</v>
      </c>
      <c r="P44">
        <v>0</v>
      </c>
      <c r="Q44">
        <v>0</v>
      </c>
      <c r="R44">
        <v>0</v>
      </c>
      <c r="T44">
        <v>45</v>
      </c>
      <c r="U44">
        <v>0</v>
      </c>
      <c r="V44">
        <v>1</v>
      </c>
      <c r="W44">
        <v>17.170000000000002</v>
      </c>
      <c r="X44">
        <v>0</v>
      </c>
      <c r="Y44">
        <v>0</v>
      </c>
      <c r="Z44">
        <v>0</v>
      </c>
      <c r="AA44">
        <v>0</v>
      </c>
      <c r="AB44">
        <v>0</v>
      </c>
      <c r="AC44">
        <v>0</v>
      </c>
      <c r="AD44">
        <v>0</v>
      </c>
      <c r="AE44">
        <v>0</v>
      </c>
      <c r="AF44">
        <v>0</v>
      </c>
      <c r="AG44">
        <v>0</v>
      </c>
      <c r="AH44">
        <v>0</v>
      </c>
      <c r="AI44">
        <v>0</v>
      </c>
      <c r="AJ44">
        <v>0</v>
      </c>
      <c r="AK44">
        <v>0</v>
      </c>
      <c r="AL44">
        <v>0</v>
      </c>
      <c r="AM44">
        <v>0</v>
      </c>
      <c r="AN44">
        <v>-17.170000000000002</v>
      </c>
      <c r="AP44" t="s">
        <v>261</v>
      </c>
      <c r="AS44" t="s">
        <v>413</v>
      </c>
      <c r="AV44" t="s">
        <v>261</v>
      </c>
      <c r="AW44" t="s">
        <v>413</v>
      </c>
      <c r="AX44">
        <v>45</v>
      </c>
      <c r="AY44">
        <v>0</v>
      </c>
      <c r="AZ44" t="s">
        <v>264</v>
      </c>
      <c r="BA44" t="s">
        <v>264</v>
      </c>
      <c r="BB44" t="s">
        <v>411</v>
      </c>
      <c r="BC44">
        <v>8</v>
      </c>
      <c r="BD4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-101.82000000000001</v>
      </c>
      <c r="BE44" t="str">
        <f>IF(GetCurrentMonthAging3[[#This Row],[InsGroupPrimary]]="","YES","NO")</f>
        <v>NO</v>
      </c>
      <c r="BF4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-101.82000000000001</v>
      </c>
    </row>
    <row r="45" spans="1:58" x14ac:dyDescent="0.25">
      <c r="A45" t="s">
        <v>100</v>
      </c>
      <c r="B45">
        <v>6</v>
      </c>
      <c r="C45" t="s">
        <v>331</v>
      </c>
      <c r="D45" s="142">
        <v>45199</v>
      </c>
      <c r="E45">
        <v>189911</v>
      </c>
      <c r="F45">
        <v>3464994</v>
      </c>
      <c r="G45">
        <v>15602227</v>
      </c>
      <c r="H45" t="b">
        <v>0</v>
      </c>
      <c r="I45">
        <v>2006</v>
      </c>
      <c r="J45" t="s">
        <v>428</v>
      </c>
      <c r="K45">
        <v>25</v>
      </c>
      <c r="L45">
        <v>25</v>
      </c>
      <c r="M45">
        <v>1</v>
      </c>
      <c r="N45">
        <v>0</v>
      </c>
      <c r="O45">
        <v>0</v>
      </c>
      <c r="P45">
        <v>0</v>
      </c>
      <c r="Q45">
        <v>0</v>
      </c>
      <c r="R45">
        <v>0</v>
      </c>
      <c r="T45">
        <v>25</v>
      </c>
      <c r="U45">
        <v>0</v>
      </c>
      <c r="V45">
        <v>0</v>
      </c>
      <c r="W45">
        <v>0</v>
      </c>
      <c r="X45">
        <v>50</v>
      </c>
      <c r="Y45">
        <v>0</v>
      </c>
      <c r="Z45">
        <v>0</v>
      </c>
      <c r="AA45">
        <v>0</v>
      </c>
      <c r="AB45">
        <v>0</v>
      </c>
      <c r="AC45">
        <v>0</v>
      </c>
      <c r="AD45">
        <v>0</v>
      </c>
      <c r="AE45">
        <v>0</v>
      </c>
      <c r="AF45">
        <v>0</v>
      </c>
      <c r="AG45">
        <v>0</v>
      </c>
      <c r="AH45">
        <v>0</v>
      </c>
      <c r="AI45">
        <v>0</v>
      </c>
      <c r="AJ45">
        <v>0</v>
      </c>
      <c r="AK45">
        <v>0</v>
      </c>
      <c r="AL45">
        <v>0</v>
      </c>
      <c r="AM45">
        <v>0</v>
      </c>
      <c r="AN45">
        <v>-25</v>
      </c>
      <c r="AP45" t="s">
        <v>262</v>
      </c>
      <c r="AS45" t="s">
        <v>436</v>
      </c>
      <c r="AV45" t="s">
        <v>262</v>
      </c>
      <c r="AW45" t="s">
        <v>436</v>
      </c>
      <c r="AX45">
        <v>0</v>
      </c>
      <c r="AY45">
        <v>0</v>
      </c>
      <c r="AZ45" t="s">
        <v>264</v>
      </c>
      <c r="BA45" t="s">
        <v>264</v>
      </c>
      <c r="BB45" t="s">
        <v>411</v>
      </c>
      <c r="BC45">
        <v>8</v>
      </c>
      <c r="BD4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-217</v>
      </c>
      <c r="BE45" t="str">
        <f>IF(GetCurrentMonthAging3[[#This Row],[InsGroupPrimary]]="","YES","NO")</f>
        <v>NO</v>
      </c>
      <c r="BF4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-217</v>
      </c>
    </row>
    <row r="46" spans="1:58" x14ac:dyDescent="0.25">
      <c r="A46" t="s">
        <v>100</v>
      </c>
      <c r="B46">
        <v>6</v>
      </c>
      <c r="C46" t="s">
        <v>331</v>
      </c>
      <c r="D46" s="142">
        <v>45199</v>
      </c>
      <c r="E46">
        <v>189911</v>
      </c>
      <c r="F46">
        <v>3464994</v>
      </c>
      <c r="G46">
        <v>15602230</v>
      </c>
      <c r="H46" t="b">
        <v>0</v>
      </c>
      <c r="I46">
        <v>2006</v>
      </c>
      <c r="J46" t="s">
        <v>416</v>
      </c>
      <c r="K46">
        <v>45</v>
      </c>
      <c r="L46">
        <v>45</v>
      </c>
      <c r="M46">
        <v>1</v>
      </c>
      <c r="N46">
        <v>0</v>
      </c>
      <c r="O46">
        <v>0</v>
      </c>
      <c r="P46">
        <v>0</v>
      </c>
      <c r="Q46">
        <v>0</v>
      </c>
      <c r="R46">
        <v>0</v>
      </c>
      <c r="T46">
        <v>45</v>
      </c>
      <c r="U46">
        <v>0</v>
      </c>
      <c r="V46">
        <v>0</v>
      </c>
      <c r="W46">
        <v>0</v>
      </c>
      <c r="X46">
        <v>90</v>
      </c>
      <c r="Y46">
        <v>0</v>
      </c>
      <c r="Z46">
        <v>0</v>
      </c>
      <c r="AA46">
        <v>0</v>
      </c>
      <c r="AB46">
        <v>0</v>
      </c>
      <c r="AC46">
        <v>0</v>
      </c>
      <c r="AD46">
        <v>0</v>
      </c>
      <c r="AE46">
        <v>0</v>
      </c>
      <c r="AF46">
        <v>0</v>
      </c>
      <c r="AG46">
        <v>0</v>
      </c>
      <c r="AH46">
        <v>0</v>
      </c>
      <c r="AI46">
        <v>0</v>
      </c>
      <c r="AJ46">
        <v>0</v>
      </c>
      <c r="AK46">
        <v>0</v>
      </c>
      <c r="AL46">
        <v>0</v>
      </c>
      <c r="AM46">
        <v>0</v>
      </c>
      <c r="AN46">
        <v>-45</v>
      </c>
      <c r="AP46" t="s">
        <v>262</v>
      </c>
      <c r="AS46" t="s">
        <v>436</v>
      </c>
      <c r="AV46" t="s">
        <v>262</v>
      </c>
      <c r="AW46" t="s">
        <v>436</v>
      </c>
      <c r="AX46">
        <v>0</v>
      </c>
      <c r="AY46">
        <v>0</v>
      </c>
      <c r="AZ46" t="s">
        <v>264</v>
      </c>
      <c r="BA46" t="s">
        <v>264</v>
      </c>
      <c r="BB46" t="s">
        <v>411</v>
      </c>
      <c r="BC46">
        <v>8</v>
      </c>
      <c r="BD4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-217</v>
      </c>
      <c r="BE46" t="str">
        <f>IF(GetCurrentMonthAging3[[#This Row],[InsGroupPrimary]]="","YES","NO")</f>
        <v>NO</v>
      </c>
      <c r="BF4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-217</v>
      </c>
    </row>
    <row r="47" spans="1:58" x14ac:dyDescent="0.25">
      <c r="A47" t="s">
        <v>100</v>
      </c>
      <c r="B47">
        <v>6</v>
      </c>
      <c r="C47" t="s">
        <v>331</v>
      </c>
      <c r="D47" s="142">
        <v>45199</v>
      </c>
      <c r="E47">
        <v>64004</v>
      </c>
      <c r="F47">
        <v>798759</v>
      </c>
      <c r="G47">
        <v>4320953</v>
      </c>
      <c r="H47" t="b">
        <v>0</v>
      </c>
      <c r="I47">
        <v>3125</v>
      </c>
      <c r="J47" t="s">
        <v>443</v>
      </c>
      <c r="K47">
        <v>0.01</v>
      </c>
      <c r="L47">
        <v>0.01</v>
      </c>
      <c r="M47">
        <v>1</v>
      </c>
      <c r="N47">
        <v>0</v>
      </c>
      <c r="O47">
        <v>0</v>
      </c>
      <c r="P47">
        <v>0</v>
      </c>
      <c r="Q47">
        <v>0</v>
      </c>
      <c r="R47">
        <v>0</v>
      </c>
      <c r="T47">
        <v>0.01</v>
      </c>
      <c r="U47">
        <v>0</v>
      </c>
      <c r="V47">
        <v>0</v>
      </c>
      <c r="W47">
        <v>0</v>
      </c>
      <c r="X47">
        <v>0</v>
      </c>
      <c r="Y47">
        <v>0</v>
      </c>
      <c r="Z47">
        <v>0.01</v>
      </c>
      <c r="AA47">
        <v>0</v>
      </c>
      <c r="AB47">
        <v>0</v>
      </c>
      <c r="AC47">
        <v>0</v>
      </c>
      <c r="AD47">
        <v>0</v>
      </c>
      <c r="AE47">
        <v>0</v>
      </c>
      <c r="AF47">
        <v>0</v>
      </c>
      <c r="AG47">
        <v>0</v>
      </c>
      <c r="AH47">
        <v>0</v>
      </c>
      <c r="AI47">
        <v>0</v>
      </c>
      <c r="AJ47">
        <v>0</v>
      </c>
      <c r="AK47">
        <v>0</v>
      </c>
      <c r="AL47">
        <v>0</v>
      </c>
      <c r="AM47">
        <v>0</v>
      </c>
      <c r="AN47">
        <v>0.01</v>
      </c>
      <c r="AP47" t="s">
        <v>265</v>
      </c>
      <c r="AQ47" t="s">
        <v>261</v>
      </c>
      <c r="AS47" t="s">
        <v>425</v>
      </c>
      <c r="AT47" t="s">
        <v>413</v>
      </c>
      <c r="AV47" t="s">
        <v>265</v>
      </c>
      <c r="AW47" t="s">
        <v>425</v>
      </c>
      <c r="AX47">
        <v>0</v>
      </c>
      <c r="AY47">
        <v>0</v>
      </c>
      <c r="AZ47" t="s">
        <v>264</v>
      </c>
      <c r="BA47" t="s">
        <v>264</v>
      </c>
      <c r="BB47" t="s">
        <v>411</v>
      </c>
      <c r="BC47">
        <v>8</v>
      </c>
      <c r="BD4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-56.79</v>
      </c>
      <c r="BE47" t="str">
        <f>IF(GetCurrentMonthAging3[[#This Row],[InsGroupPrimary]]="","YES","NO")</f>
        <v>NO</v>
      </c>
      <c r="BF4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-56.79</v>
      </c>
    </row>
    <row r="48" spans="1:58" x14ac:dyDescent="0.25">
      <c r="A48" t="s">
        <v>100</v>
      </c>
      <c r="B48">
        <v>6</v>
      </c>
      <c r="C48" t="s">
        <v>331</v>
      </c>
      <c r="D48" s="142">
        <v>45199</v>
      </c>
      <c r="E48">
        <v>39940</v>
      </c>
      <c r="F48">
        <v>451969</v>
      </c>
      <c r="G48">
        <v>4333700</v>
      </c>
      <c r="H48" t="b">
        <v>0</v>
      </c>
      <c r="I48">
        <v>3463</v>
      </c>
      <c r="J48" t="s">
        <v>456</v>
      </c>
      <c r="K48">
        <v>3.74</v>
      </c>
      <c r="L48">
        <v>3.74</v>
      </c>
      <c r="M48">
        <v>1</v>
      </c>
      <c r="N48">
        <v>0</v>
      </c>
      <c r="O48">
        <v>0</v>
      </c>
      <c r="P48">
        <v>0</v>
      </c>
      <c r="Q48">
        <v>0</v>
      </c>
      <c r="R48">
        <v>0</v>
      </c>
      <c r="T48">
        <v>0</v>
      </c>
      <c r="U48">
        <v>0</v>
      </c>
      <c r="V48">
        <v>0</v>
      </c>
      <c r="W48">
        <v>0</v>
      </c>
      <c r="X48">
        <v>0</v>
      </c>
      <c r="Y48">
        <v>0</v>
      </c>
      <c r="Z48">
        <v>0</v>
      </c>
      <c r="AA48">
        <v>0</v>
      </c>
      <c r="AB48">
        <v>0</v>
      </c>
      <c r="AC48">
        <v>0</v>
      </c>
      <c r="AD48">
        <v>0</v>
      </c>
      <c r="AE48">
        <v>0</v>
      </c>
      <c r="AF48">
        <v>0</v>
      </c>
      <c r="AG48">
        <v>0</v>
      </c>
      <c r="AH48">
        <v>0</v>
      </c>
      <c r="AI48">
        <v>3.74</v>
      </c>
      <c r="AJ48">
        <v>0</v>
      </c>
      <c r="AK48">
        <v>0</v>
      </c>
      <c r="AL48">
        <v>0</v>
      </c>
      <c r="AM48">
        <v>0</v>
      </c>
      <c r="AN48">
        <v>3.74</v>
      </c>
      <c r="AP48" t="s">
        <v>260</v>
      </c>
      <c r="AS48" t="s">
        <v>417</v>
      </c>
      <c r="AV48" t="s">
        <v>260</v>
      </c>
      <c r="AW48" t="s">
        <v>417</v>
      </c>
      <c r="AX48">
        <v>0</v>
      </c>
      <c r="AY48">
        <v>0</v>
      </c>
      <c r="AZ48" t="s">
        <v>233</v>
      </c>
      <c r="BA48" t="s">
        <v>233</v>
      </c>
      <c r="BB48" t="s">
        <v>411</v>
      </c>
      <c r="BC48">
        <v>8</v>
      </c>
      <c r="BD4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8" t="str">
        <f>IF(GetCurrentMonthAging3[[#This Row],[InsGroupPrimary]]="","YES","NO")</f>
        <v>NO</v>
      </c>
      <c r="BF4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49" spans="1:58" x14ac:dyDescent="0.25">
      <c r="A49" t="s">
        <v>100</v>
      </c>
      <c r="B49">
        <v>6</v>
      </c>
      <c r="C49" t="s">
        <v>331</v>
      </c>
      <c r="D49" s="142">
        <v>45199</v>
      </c>
      <c r="E49">
        <v>70966</v>
      </c>
      <c r="F49">
        <v>874679</v>
      </c>
      <c r="G49">
        <v>4633038</v>
      </c>
      <c r="H49" t="b">
        <v>0</v>
      </c>
      <c r="I49">
        <v>3082</v>
      </c>
      <c r="J49" t="s">
        <v>412</v>
      </c>
      <c r="K49">
        <v>135</v>
      </c>
      <c r="L49">
        <v>45</v>
      </c>
      <c r="M49">
        <v>3</v>
      </c>
      <c r="N49">
        <v>0</v>
      </c>
      <c r="O49">
        <v>0</v>
      </c>
      <c r="P49">
        <v>0</v>
      </c>
      <c r="Q49">
        <v>0</v>
      </c>
      <c r="R49">
        <v>0</v>
      </c>
      <c r="T49">
        <v>135</v>
      </c>
      <c r="U49">
        <v>0</v>
      </c>
      <c r="V49">
        <v>3</v>
      </c>
      <c r="W49">
        <v>82.56</v>
      </c>
      <c r="X49">
        <v>52.44</v>
      </c>
      <c r="Y49">
        <v>0</v>
      </c>
      <c r="Z49">
        <v>0</v>
      </c>
      <c r="AA49">
        <v>0</v>
      </c>
      <c r="AB49">
        <v>0</v>
      </c>
      <c r="AC49">
        <v>0</v>
      </c>
      <c r="AD49">
        <v>0</v>
      </c>
      <c r="AE49">
        <v>0</v>
      </c>
      <c r="AF49">
        <v>0</v>
      </c>
      <c r="AG49">
        <v>0</v>
      </c>
      <c r="AH49">
        <v>0</v>
      </c>
      <c r="AI49">
        <v>0</v>
      </c>
      <c r="AJ49">
        <v>0</v>
      </c>
      <c r="AK49">
        <v>20</v>
      </c>
      <c r="AL49">
        <v>1</v>
      </c>
      <c r="AM49">
        <v>0</v>
      </c>
      <c r="AN49">
        <v>-20</v>
      </c>
      <c r="AP49" t="s">
        <v>259</v>
      </c>
      <c r="AS49" t="s">
        <v>426</v>
      </c>
      <c r="AV49" t="s">
        <v>259</v>
      </c>
      <c r="AW49" t="s">
        <v>426</v>
      </c>
      <c r="AX49">
        <v>0</v>
      </c>
      <c r="AY49">
        <v>0</v>
      </c>
      <c r="AZ49" t="s">
        <v>233</v>
      </c>
      <c r="BA49" t="s">
        <v>233</v>
      </c>
      <c r="BB49" t="s">
        <v>411</v>
      </c>
      <c r="BC49">
        <v>8</v>
      </c>
      <c r="BD4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-100</v>
      </c>
      <c r="BE49" t="str">
        <f>IF(GetCurrentMonthAging3[[#This Row],[InsGroupPrimary]]="","YES","NO")</f>
        <v>NO</v>
      </c>
      <c r="BF4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-100</v>
      </c>
    </row>
    <row r="50" spans="1:58" x14ac:dyDescent="0.25">
      <c r="A50" t="s">
        <v>100</v>
      </c>
      <c r="B50">
        <v>6</v>
      </c>
      <c r="C50" t="s">
        <v>331</v>
      </c>
      <c r="D50" s="142">
        <v>45199</v>
      </c>
      <c r="E50">
        <v>70966</v>
      </c>
      <c r="F50">
        <v>869410</v>
      </c>
      <c r="G50">
        <v>4673478</v>
      </c>
      <c r="H50" t="b">
        <v>0</v>
      </c>
      <c r="I50">
        <v>3077</v>
      </c>
      <c r="J50" t="s">
        <v>412</v>
      </c>
      <c r="K50">
        <v>90</v>
      </c>
      <c r="L50">
        <v>45</v>
      </c>
      <c r="M50">
        <v>2</v>
      </c>
      <c r="N50">
        <v>0</v>
      </c>
      <c r="O50">
        <v>0</v>
      </c>
      <c r="P50">
        <v>0</v>
      </c>
      <c r="Q50">
        <v>0</v>
      </c>
      <c r="R50">
        <v>0</v>
      </c>
      <c r="T50">
        <v>90</v>
      </c>
      <c r="U50">
        <v>0</v>
      </c>
      <c r="V50">
        <v>3</v>
      </c>
      <c r="W50">
        <v>55.04</v>
      </c>
      <c r="X50">
        <v>34.96</v>
      </c>
      <c r="Y50">
        <v>0</v>
      </c>
      <c r="Z50">
        <v>0</v>
      </c>
      <c r="AA50">
        <v>0</v>
      </c>
      <c r="AB50">
        <v>0</v>
      </c>
      <c r="AC50">
        <v>0</v>
      </c>
      <c r="AD50">
        <v>0</v>
      </c>
      <c r="AE50">
        <v>0</v>
      </c>
      <c r="AF50">
        <v>0</v>
      </c>
      <c r="AG50">
        <v>0</v>
      </c>
      <c r="AH50">
        <v>0</v>
      </c>
      <c r="AI50">
        <v>0</v>
      </c>
      <c r="AJ50">
        <v>0</v>
      </c>
      <c r="AK50">
        <v>20</v>
      </c>
      <c r="AL50">
        <v>1</v>
      </c>
      <c r="AM50">
        <v>0</v>
      </c>
      <c r="AN50">
        <v>-20</v>
      </c>
      <c r="AP50" t="s">
        <v>259</v>
      </c>
      <c r="AS50" t="s">
        <v>426</v>
      </c>
      <c r="AV50" t="s">
        <v>259</v>
      </c>
      <c r="AW50" t="s">
        <v>426</v>
      </c>
      <c r="AX50">
        <v>0</v>
      </c>
      <c r="AY50">
        <v>0</v>
      </c>
      <c r="AZ50" t="s">
        <v>233</v>
      </c>
      <c r="BA50" t="s">
        <v>233</v>
      </c>
      <c r="BB50" t="s">
        <v>411</v>
      </c>
      <c r="BC50">
        <v>8</v>
      </c>
      <c r="BD5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-100</v>
      </c>
      <c r="BE50" t="str">
        <f>IF(GetCurrentMonthAging3[[#This Row],[InsGroupPrimary]]="","YES","NO")</f>
        <v>NO</v>
      </c>
      <c r="BF5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-100</v>
      </c>
    </row>
    <row r="51" spans="1:58" x14ac:dyDescent="0.25">
      <c r="A51" t="s">
        <v>100</v>
      </c>
      <c r="B51">
        <v>6</v>
      </c>
      <c r="C51" t="s">
        <v>331</v>
      </c>
      <c r="D51" s="142">
        <v>45199</v>
      </c>
      <c r="E51">
        <v>59064</v>
      </c>
      <c r="F51">
        <v>733670</v>
      </c>
      <c r="G51">
        <v>4053274</v>
      </c>
      <c r="H51" t="b">
        <v>0</v>
      </c>
      <c r="I51">
        <v>3168</v>
      </c>
      <c r="J51" t="s">
        <v>412</v>
      </c>
      <c r="K51">
        <v>90</v>
      </c>
      <c r="L51">
        <v>45</v>
      </c>
      <c r="M51">
        <v>2</v>
      </c>
      <c r="N51">
        <v>0</v>
      </c>
      <c r="O51">
        <v>0</v>
      </c>
      <c r="P51">
        <v>0</v>
      </c>
      <c r="Q51">
        <v>0</v>
      </c>
      <c r="R51">
        <v>0</v>
      </c>
      <c r="T51">
        <v>90</v>
      </c>
      <c r="U51">
        <v>0</v>
      </c>
      <c r="V51">
        <v>1</v>
      </c>
      <c r="W51">
        <v>6.5</v>
      </c>
      <c r="X51">
        <v>58.5</v>
      </c>
      <c r="Y51">
        <v>0</v>
      </c>
      <c r="Z51">
        <v>25</v>
      </c>
      <c r="AA51">
        <v>1</v>
      </c>
      <c r="AB51">
        <v>15</v>
      </c>
      <c r="AC51">
        <v>0</v>
      </c>
      <c r="AD51">
        <v>0</v>
      </c>
      <c r="AE51">
        <v>0</v>
      </c>
      <c r="AF51">
        <v>0</v>
      </c>
      <c r="AG51">
        <v>0</v>
      </c>
      <c r="AH51">
        <v>0</v>
      </c>
      <c r="AI51">
        <v>0</v>
      </c>
      <c r="AJ51">
        <v>0</v>
      </c>
      <c r="AK51">
        <v>0</v>
      </c>
      <c r="AL51">
        <v>0</v>
      </c>
      <c r="AM51">
        <v>0</v>
      </c>
      <c r="AN51">
        <v>10</v>
      </c>
      <c r="AP51" t="s">
        <v>265</v>
      </c>
      <c r="AQ51" t="s">
        <v>262</v>
      </c>
      <c r="AS51" t="s">
        <v>425</v>
      </c>
      <c r="AT51" t="s">
        <v>436</v>
      </c>
      <c r="AV51" t="s">
        <v>332</v>
      </c>
      <c r="AW51" t="s">
        <v>332</v>
      </c>
      <c r="AX51">
        <v>0</v>
      </c>
      <c r="AY51">
        <v>0</v>
      </c>
      <c r="AZ51" t="s">
        <v>264</v>
      </c>
      <c r="BA51" t="s">
        <v>264</v>
      </c>
      <c r="BB51" t="s">
        <v>411</v>
      </c>
      <c r="BC51">
        <v>8</v>
      </c>
      <c r="BD5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-95.25</v>
      </c>
      <c r="BE51" t="str">
        <f>IF(GetCurrentMonthAging3[[#This Row],[InsGroupPrimary]]="","YES","NO")</f>
        <v>NO</v>
      </c>
      <c r="BF5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-95.25</v>
      </c>
    </row>
    <row r="52" spans="1:58" x14ac:dyDescent="0.25">
      <c r="A52" t="s">
        <v>100</v>
      </c>
      <c r="B52">
        <v>6</v>
      </c>
      <c r="C52" t="s">
        <v>331</v>
      </c>
      <c r="D52" s="142">
        <v>45199</v>
      </c>
      <c r="E52">
        <v>59064</v>
      </c>
      <c r="F52">
        <v>733670</v>
      </c>
      <c r="G52">
        <v>4053275</v>
      </c>
      <c r="H52" t="b">
        <v>0</v>
      </c>
      <c r="I52">
        <v>3168</v>
      </c>
      <c r="J52" t="s">
        <v>419</v>
      </c>
      <c r="K52">
        <v>45</v>
      </c>
      <c r="L52">
        <v>45</v>
      </c>
      <c r="M52">
        <v>1</v>
      </c>
      <c r="N52">
        <v>0</v>
      </c>
      <c r="O52">
        <v>0</v>
      </c>
      <c r="P52">
        <v>0</v>
      </c>
      <c r="Q52">
        <v>0</v>
      </c>
      <c r="R52">
        <v>0</v>
      </c>
      <c r="T52">
        <v>45</v>
      </c>
      <c r="U52">
        <v>0</v>
      </c>
      <c r="V52">
        <v>1</v>
      </c>
      <c r="W52">
        <v>14</v>
      </c>
      <c r="X52">
        <v>31</v>
      </c>
      <c r="Y52">
        <v>0</v>
      </c>
      <c r="Z52">
        <v>0</v>
      </c>
      <c r="AA52">
        <v>1</v>
      </c>
      <c r="AB52">
        <v>25</v>
      </c>
      <c r="AC52">
        <v>0</v>
      </c>
      <c r="AD52">
        <v>0</v>
      </c>
      <c r="AE52">
        <v>0</v>
      </c>
      <c r="AF52">
        <v>0</v>
      </c>
      <c r="AG52">
        <v>0</v>
      </c>
      <c r="AH52">
        <v>0</v>
      </c>
      <c r="AI52">
        <v>0</v>
      </c>
      <c r="AJ52">
        <v>0</v>
      </c>
      <c r="AK52">
        <v>0</v>
      </c>
      <c r="AL52">
        <v>0</v>
      </c>
      <c r="AM52">
        <v>0</v>
      </c>
      <c r="AN52">
        <v>-25</v>
      </c>
      <c r="AP52" t="s">
        <v>265</v>
      </c>
      <c r="AQ52" t="s">
        <v>262</v>
      </c>
      <c r="AS52" t="s">
        <v>425</v>
      </c>
      <c r="AT52" t="s">
        <v>436</v>
      </c>
      <c r="AV52" t="s">
        <v>332</v>
      </c>
      <c r="AW52" t="s">
        <v>332</v>
      </c>
      <c r="AX52">
        <v>0</v>
      </c>
      <c r="AY52">
        <v>0</v>
      </c>
      <c r="AZ52" t="s">
        <v>264</v>
      </c>
      <c r="BA52" t="s">
        <v>264</v>
      </c>
      <c r="BB52" t="s">
        <v>411</v>
      </c>
      <c r="BC52">
        <v>8</v>
      </c>
      <c r="BD5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-95.25</v>
      </c>
      <c r="BE52" t="str">
        <f>IF(GetCurrentMonthAging3[[#This Row],[InsGroupPrimary]]="","YES","NO")</f>
        <v>NO</v>
      </c>
      <c r="BF5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-95.25</v>
      </c>
    </row>
    <row r="53" spans="1:58" x14ac:dyDescent="0.25">
      <c r="A53" t="s">
        <v>100</v>
      </c>
      <c r="B53">
        <v>6</v>
      </c>
      <c r="C53" t="s">
        <v>331</v>
      </c>
      <c r="D53" s="142">
        <v>45199</v>
      </c>
      <c r="E53">
        <v>62544</v>
      </c>
      <c r="F53">
        <v>743073</v>
      </c>
      <c r="G53">
        <v>4111054</v>
      </c>
      <c r="H53" t="b">
        <v>0</v>
      </c>
      <c r="I53">
        <v>3162</v>
      </c>
      <c r="J53" t="s">
        <v>412</v>
      </c>
      <c r="K53">
        <v>45</v>
      </c>
      <c r="L53">
        <v>45</v>
      </c>
      <c r="M53">
        <v>1</v>
      </c>
      <c r="N53">
        <v>0</v>
      </c>
      <c r="O53">
        <v>0</v>
      </c>
      <c r="P53">
        <v>0</v>
      </c>
      <c r="Q53">
        <v>0</v>
      </c>
      <c r="R53">
        <v>0</v>
      </c>
      <c r="T53">
        <v>45</v>
      </c>
      <c r="U53">
        <v>0</v>
      </c>
      <c r="V53">
        <v>0</v>
      </c>
      <c r="W53">
        <v>0</v>
      </c>
      <c r="X53">
        <v>0</v>
      </c>
      <c r="Y53">
        <v>0</v>
      </c>
      <c r="Z53">
        <v>0</v>
      </c>
      <c r="AA53">
        <v>1</v>
      </c>
      <c r="AB53">
        <v>28.75</v>
      </c>
      <c r="AC53">
        <v>0</v>
      </c>
      <c r="AD53">
        <v>0</v>
      </c>
      <c r="AE53">
        <v>0</v>
      </c>
      <c r="AF53">
        <v>0</v>
      </c>
      <c r="AG53">
        <v>0</v>
      </c>
      <c r="AH53">
        <v>0</v>
      </c>
      <c r="AI53">
        <v>0</v>
      </c>
      <c r="AJ53">
        <v>0</v>
      </c>
      <c r="AK53">
        <v>0</v>
      </c>
      <c r="AL53">
        <v>0</v>
      </c>
      <c r="AM53">
        <v>45</v>
      </c>
      <c r="AN53">
        <v>-28.75</v>
      </c>
      <c r="AP53" t="s">
        <v>260</v>
      </c>
      <c r="AQ53" t="s">
        <v>259</v>
      </c>
      <c r="AS53" t="s">
        <v>414</v>
      </c>
      <c r="AT53" t="s">
        <v>427</v>
      </c>
      <c r="AV53" t="s">
        <v>260</v>
      </c>
      <c r="AW53" t="s">
        <v>414</v>
      </c>
      <c r="AX53">
        <v>0</v>
      </c>
      <c r="AY53">
        <v>0</v>
      </c>
      <c r="AZ53" t="s">
        <v>233</v>
      </c>
      <c r="BA53" t="s">
        <v>233</v>
      </c>
      <c r="BB53" t="s">
        <v>411</v>
      </c>
      <c r="BC53">
        <v>8</v>
      </c>
      <c r="BD5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-55</v>
      </c>
      <c r="BE53" t="str">
        <f>IF(GetCurrentMonthAging3[[#This Row],[InsGroupPrimary]]="","YES","NO")</f>
        <v>NO</v>
      </c>
      <c r="BF5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-55</v>
      </c>
    </row>
    <row r="54" spans="1:58" x14ac:dyDescent="0.25">
      <c r="A54" t="s">
        <v>100</v>
      </c>
      <c r="B54">
        <v>6</v>
      </c>
      <c r="C54" t="s">
        <v>331</v>
      </c>
      <c r="D54" s="142">
        <v>45199</v>
      </c>
      <c r="E54">
        <v>122293</v>
      </c>
      <c r="F54">
        <v>1628035</v>
      </c>
      <c r="G54">
        <v>8010031</v>
      </c>
      <c r="H54" t="b">
        <v>0</v>
      </c>
      <c r="I54">
        <v>2719</v>
      </c>
      <c r="J54" t="s">
        <v>428</v>
      </c>
      <c r="K54">
        <v>25</v>
      </c>
      <c r="L54">
        <v>25</v>
      </c>
      <c r="M54">
        <v>1</v>
      </c>
      <c r="N54">
        <v>0</v>
      </c>
      <c r="O54">
        <v>0</v>
      </c>
      <c r="P54">
        <v>0</v>
      </c>
      <c r="Q54">
        <v>0</v>
      </c>
      <c r="R54">
        <v>0</v>
      </c>
      <c r="T54">
        <v>0</v>
      </c>
      <c r="U54">
        <v>0</v>
      </c>
      <c r="V54">
        <v>1</v>
      </c>
      <c r="W54">
        <v>14.03</v>
      </c>
      <c r="X54">
        <v>0</v>
      </c>
      <c r="Y54">
        <v>25</v>
      </c>
      <c r="Z54">
        <v>0</v>
      </c>
      <c r="AA54">
        <v>0</v>
      </c>
      <c r="AB54">
        <v>0</v>
      </c>
      <c r="AC54">
        <v>25</v>
      </c>
      <c r="AD54">
        <v>0</v>
      </c>
      <c r="AE54">
        <v>0</v>
      </c>
      <c r="AF54">
        <v>0</v>
      </c>
      <c r="AG54">
        <v>0</v>
      </c>
      <c r="AH54">
        <v>0</v>
      </c>
      <c r="AI54">
        <v>0</v>
      </c>
      <c r="AJ54">
        <v>0</v>
      </c>
      <c r="AK54">
        <v>0</v>
      </c>
      <c r="AL54">
        <v>0</v>
      </c>
      <c r="AM54">
        <v>0</v>
      </c>
      <c r="AN54">
        <v>-14.03</v>
      </c>
      <c r="AP54" t="s">
        <v>259</v>
      </c>
      <c r="AQ54" t="s">
        <v>262</v>
      </c>
      <c r="AS54" t="s">
        <v>449</v>
      </c>
      <c r="AT54" t="s">
        <v>436</v>
      </c>
      <c r="AV54" t="s">
        <v>262</v>
      </c>
      <c r="AW54" t="s">
        <v>436</v>
      </c>
      <c r="AX54">
        <v>0</v>
      </c>
      <c r="AY54">
        <v>0</v>
      </c>
      <c r="AZ54" t="s">
        <v>233</v>
      </c>
      <c r="BA54" t="s">
        <v>233</v>
      </c>
      <c r="BB54" t="s">
        <v>411</v>
      </c>
      <c r="BC54">
        <v>8</v>
      </c>
      <c r="BD5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v>
      </c>
      <c r="BE54" t="str">
        <f>IF(GetCurrentMonthAging3[[#This Row],[InsGroupPrimary]]="","YES","NO")</f>
        <v>NO</v>
      </c>
      <c r="BF5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v>
      </c>
    </row>
    <row r="55" spans="1:58" x14ac:dyDescent="0.25">
      <c r="A55" t="s">
        <v>100</v>
      </c>
      <c r="B55">
        <v>6</v>
      </c>
      <c r="C55" t="s">
        <v>331</v>
      </c>
      <c r="D55" s="142">
        <v>45199</v>
      </c>
      <c r="E55">
        <v>140927</v>
      </c>
      <c r="F55">
        <v>1971775</v>
      </c>
      <c r="G55">
        <v>9580667</v>
      </c>
      <c r="H55" t="b">
        <v>0</v>
      </c>
      <c r="I55">
        <v>2574</v>
      </c>
      <c r="J55" t="s">
        <v>419</v>
      </c>
      <c r="K55">
        <v>45</v>
      </c>
      <c r="L55">
        <v>45</v>
      </c>
      <c r="M55">
        <v>1</v>
      </c>
      <c r="N55">
        <v>0</v>
      </c>
      <c r="O55">
        <v>0</v>
      </c>
      <c r="P55">
        <v>0</v>
      </c>
      <c r="Q55">
        <v>0</v>
      </c>
      <c r="R55">
        <v>0</v>
      </c>
      <c r="T55">
        <v>45</v>
      </c>
      <c r="U55">
        <v>0</v>
      </c>
      <c r="V55">
        <v>2</v>
      </c>
      <c r="W55">
        <v>72.45</v>
      </c>
      <c r="X55">
        <v>4.5</v>
      </c>
      <c r="Y55">
        <v>0</v>
      </c>
      <c r="Z55">
        <v>0</v>
      </c>
      <c r="AA55">
        <v>0</v>
      </c>
      <c r="AB55">
        <v>0</v>
      </c>
      <c r="AC55">
        <v>0</v>
      </c>
      <c r="AD55">
        <v>0</v>
      </c>
      <c r="AE55">
        <v>0</v>
      </c>
      <c r="AF55">
        <v>0</v>
      </c>
      <c r="AG55">
        <v>0</v>
      </c>
      <c r="AH55">
        <v>0</v>
      </c>
      <c r="AI55">
        <v>0</v>
      </c>
      <c r="AJ55">
        <v>0</v>
      </c>
      <c r="AK55">
        <v>0</v>
      </c>
      <c r="AL55">
        <v>0</v>
      </c>
      <c r="AM55">
        <v>0</v>
      </c>
      <c r="AN55">
        <v>-31.95</v>
      </c>
      <c r="AP55" t="s">
        <v>263</v>
      </c>
      <c r="AS55" t="s">
        <v>431</v>
      </c>
      <c r="AV55" t="s">
        <v>263</v>
      </c>
      <c r="AW55" t="s">
        <v>431</v>
      </c>
      <c r="AX55">
        <v>0</v>
      </c>
      <c r="AY55">
        <v>0</v>
      </c>
      <c r="AZ55" t="s">
        <v>264</v>
      </c>
      <c r="BA55" t="s">
        <v>264</v>
      </c>
      <c r="BB55" t="s">
        <v>411</v>
      </c>
      <c r="BC55">
        <v>8</v>
      </c>
      <c r="BD5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55" t="str">
        <f>IF(GetCurrentMonthAging3[[#This Row],[InsGroupPrimary]]="","YES","NO")</f>
        <v>NO</v>
      </c>
      <c r="BF5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56" spans="1:58" x14ac:dyDescent="0.25">
      <c r="A56" t="s">
        <v>100</v>
      </c>
      <c r="B56">
        <v>6</v>
      </c>
      <c r="C56" t="s">
        <v>331</v>
      </c>
      <c r="D56" s="142">
        <v>45199</v>
      </c>
      <c r="E56">
        <v>27138</v>
      </c>
      <c r="F56">
        <v>310823</v>
      </c>
      <c r="G56">
        <v>1909240</v>
      </c>
      <c r="H56" t="b">
        <v>0</v>
      </c>
      <c r="I56">
        <v>3781</v>
      </c>
      <c r="J56" t="s">
        <v>412</v>
      </c>
      <c r="K56">
        <v>45</v>
      </c>
      <c r="L56">
        <v>45</v>
      </c>
      <c r="M56">
        <v>1</v>
      </c>
      <c r="N56">
        <v>0</v>
      </c>
      <c r="O56">
        <v>0</v>
      </c>
      <c r="P56">
        <v>0</v>
      </c>
      <c r="Q56">
        <v>0</v>
      </c>
      <c r="R56">
        <v>0</v>
      </c>
      <c r="T56">
        <v>45</v>
      </c>
      <c r="U56">
        <v>0</v>
      </c>
      <c r="V56">
        <v>1</v>
      </c>
      <c r="W56">
        <v>35</v>
      </c>
      <c r="X56">
        <v>-15</v>
      </c>
      <c r="Y56">
        <v>0</v>
      </c>
      <c r="Z56">
        <v>25</v>
      </c>
      <c r="AA56">
        <v>0</v>
      </c>
      <c r="AB56">
        <v>0</v>
      </c>
      <c r="AC56">
        <v>0</v>
      </c>
      <c r="AD56">
        <v>0</v>
      </c>
      <c r="AE56">
        <v>0</v>
      </c>
      <c r="AF56">
        <v>0</v>
      </c>
      <c r="AG56">
        <v>0</v>
      </c>
      <c r="AH56">
        <v>0</v>
      </c>
      <c r="AI56">
        <v>0</v>
      </c>
      <c r="AJ56">
        <v>0</v>
      </c>
      <c r="AK56">
        <v>0</v>
      </c>
      <c r="AL56">
        <v>0</v>
      </c>
      <c r="AM56">
        <v>0</v>
      </c>
      <c r="AN56">
        <v>25</v>
      </c>
      <c r="AP56" t="s">
        <v>262</v>
      </c>
      <c r="AQ56" t="s">
        <v>261</v>
      </c>
      <c r="AS56" t="s">
        <v>436</v>
      </c>
      <c r="AT56" t="s">
        <v>413</v>
      </c>
      <c r="AV56" t="s">
        <v>261</v>
      </c>
      <c r="AW56" t="s">
        <v>413</v>
      </c>
      <c r="AX56">
        <v>0</v>
      </c>
      <c r="AY56">
        <v>0</v>
      </c>
      <c r="AZ56" t="s">
        <v>233</v>
      </c>
      <c r="BA56" t="s">
        <v>233</v>
      </c>
      <c r="BB56" t="s">
        <v>411</v>
      </c>
      <c r="BC56">
        <v>8</v>
      </c>
      <c r="BD5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6" t="str">
        <f>IF(GetCurrentMonthAging3[[#This Row],[InsGroupPrimary]]="","YES","NO")</f>
        <v>NO</v>
      </c>
      <c r="BF5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57" spans="1:58" x14ac:dyDescent="0.25">
      <c r="A57" t="s">
        <v>100</v>
      </c>
      <c r="B57">
        <v>6</v>
      </c>
      <c r="C57" t="s">
        <v>331</v>
      </c>
      <c r="D57" s="142">
        <v>45199</v>
      </c>
      <c r="E57">
        <v>27138</v>
      </c>
      <c r="F57">
        <v>310823</v>
      </c>
      <c r="G57">
        <v>1909242</v>
      </c>
      <c r="H57" t="b">
        <v>0</v>
      </c>
      <c r="I57">
        <v>3781</v>
      </c>
      <c r="J57" t="s">
        <v>428</v>
      </c>
      <c r="K57">
        <v>25</v>
      </c>
      <c r="L57">
        <v>25</v>
      </c>
      <c r="M57">
        <v>1</v>
      </c>
      <c r="N57">
        <v>0</v>
      </c>
      <c r="O57">
        <v>0</v>
      </c>
      <c r="P57">
        <v>0</v>
      </c>
      <c r="Q57">
        <v>0</v>
      </c>
      <c r="R57">
        <v>0</v>
      </c>
      <c r="T57">
        <v>25</v>
      </c>
      <c r="U57">
        <v>0</v>
      </c>
      <c r="V57">
        <v>1</v>
      </c>
      <c r="W57">
        <v>0</v>
      </c>
      <c r="X57">
        <v>25</v>
      </c>
      <c r="Y57">
        <v>0</v>
      </c>
      <c r="Z57">
        <v>0</v>
      </c>
      <c r="AA57">
        <v>0</v>
      </c>
      <c r="AB57">
        <v>0</v>
      </c>
      <c r="AC57">
        <v>25</v>
      </c>
      <c r="AD57">
        <v>0</v>
      </c>
      <c r="AE57">
        <v>0</v>
      </c>
      <c r="AF57">
        <v>0</v>
      </c>
      <c r="AG57">
        <v>0</v>
      </c>
      <c r="AH57">
        <v>0</v>
      </c>
      <c r="AI57">
        <v>0</v>
      </c>
      <c r="AJ57">
        <v>0</v>
      </c>
      <c r="AK57">
        <v>0</v>
      </c>
      <c r="AL57">
        <v>0</v>
      </c>
      <c r="AM57">
        <v>0</v>
      </c>
      <c r="AN57">
        <v>-25</v>
      </c>
      <c r="AP57" t="s">
        <v>262</v>
      </c>
      <c r="AQ57" t="s">
        <v>261</v>
      </c>
      <c r="AS57" t="s">
        <v>436</v>
      </c>
      <c r="AT57" t="s">
        <v>413</v>
      </c>
      <c r="AV57" t="s">
        <v>332</v>
      </c>
      <c r="AW57" t="s">
        <v>332</v>
      </c>
      <c r="AX57">
        <v>0</v>
      </c>
      <c r="AY57">
        <v>0</v>
      </c>
      <c r="AZ57" t="s">
        <v>233</v>
      </c>
      <c r="BA57" t="s">
        <v>233</v>
      </c>
      <c r="BB57" t="s">
        <v>411</v>
      </c>
      <c r="BC57">
        <v>8</v>
      </c>
      <c r="BD5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7" t="str">
        <f>IF(GetCurrentMonthAging3[[#This Row],[InsGroupPrimary]]="","YES","NO")</f>
        <v>NO</v>
      </c>
      <c r="BF5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58" spans="1:58" x14ac:dyDescent="0.25">
      <c r="A58" t="s">
        <v>100</v>
      </c>
      <c r="B58">
        <v>6</v>
      </c>
      <c r="C58" t="s">
        <v>331</v>
      </c>
      <c r="D58" s="142">
        <v>45199</v>
      </c>
      <c r="E58">
        <v>32222</v>
      </c>
      <c r="F58">
        <v>363442</v>
      </c>
      <c r="G58">
        <v>2319377</v>
      </c>
      <c r="H58" t="b">
        <v>0</v>
      </c>
      <c r="I58">
        <v>3670</v>
      </c>
      <c r="J58" t="s">
        <v>422</v>
      </c>
      <c r="K58">
        <v>90</v>
      </c>
      <c r="L58">
        <v>90</v>
      </c>
      <c r="M58">
        <v>1</v>
      </c>
      <c r="N58">
        <v>0</v>
      </c>
      <c r="O58">
        <v>0</v>
      </c>
      <c r="P58">
        <v>0</v>
      </c>
      <c r="Q58">
        <v>0</v>
      </c>
      <c r="R58">
        <v>0</v>
      </c>
      <c r="T58">
        <v>90</v>
      </c>
      <c r="U58">
        <v>0</v>
      </c>
      <c r="V58">
        <v>2</v>
      </c>
      <c r="W58">
        <v>160</v>
      </c>
      <c r="X58">
        <v>0</v>
      </c>
      <c r="Y58">
        <v>0</v>
      </c>
      <c r="Z58">
        <v>0</v>
      </c>
      <c r="AA58">
        <v>0</v>
      </c>
      <c r="AB58">
        <v>0</v>
      </c>
      <c r="AC58">
        <v>0</v>
      </c>
      <c r="AD58">
        <v>0</v>
      </c>
      <c r="AE58">
        <v>0</v>
      </c>
      <c r="AF58">
        <v>0</v>
      </c>
      <c r="AG58">
        <v>0</v>
      </c>
      <c r="AH58">
        <v>0</v>
      </c>
      <c r="AI58">
        <v>0</v>
      </c>
      <c r="AJ58">
        <v>0</v>
      </c>
      <c r="AK58">
        <v>0</v>
      </c>
      <c r="AL58">
        <v>0</v>
      </c>
      <c r="AM58">
        <v>0</v>
      </c>
      <c r="AN58">
        <v>-70</v>
      </c>
      <c r="AP58" t="s">
        <v>263</v>
      </c>
      <c r="AS58" t="s">
        <v>410</v>
      </c>
      <c r="AV58" t="s">
        <v>263</v>
      </c>
      <c r="AW58" t="s">
        <v>410</v>
      </c>
      <c r="AX58">
        <v>0</v>
      </c>
      <c r="AY58">
        <v>0</v>
      </c>
      <c r="AZ58" t="s">
        <v>233</v>
      </c>
      <c r="BA58" t="s">
        <v>233</v>
      </c>
      <c r="BB58" t="s">
        <v>411</v>
      </c>
      <c r="BC58">
        <v>8</v>
      </c>
      <c r="BD5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-210</v>
      </c>
      <c r="BE58" t="str">
        <f>IF(GetCurrentMonthAging3[[#This Row],[InsGroupPrimary]]="","YES","NO")</f>
        <v>NO</v>
      </c>
      <c r="BF5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-210</v>
      </c>
    </row>
    <row r="59" spans="1:58" x14ac:dyDescent="0.25">
      <c r="A59" t="s">
        <v>100</v>
      </c>
      <c r="B59">
        <v>6</v>
      </c>
      <c r="C59" t="s">
        <v>331</v>
      </c>
      <c r="D59" s="142">
        <v>45199</v>
      </c>
      <c r="E59">
        <v>32222</v>
      </c>
      <c r="F59">
        <v>363442</v>
      </c>
      <c r="G59">
        <v>2319379</v>
      </c>
      <c r="H59" t="b">
        <v>0</v>
      </c>
      <c r="I59">
        <v>3670</v>
      </c>
      <c r="J59" t="s">
        <v>412</v>
      </c>
      <c r="K59">
        <v>45</v>
      </c>
      <c r="L59">
        <v>45</v>
      </c>
      <c r="M59">
        <v>1</v>
      </c>
      <c r="N59">
        <v>0</v>
      </c>
      <c r="O59">
        <v>0</v>
      </c>
      <c r="P59">
        <v>0</v>
      </c>
      <c r="Q59">
        <v>0</v>
      </c>
      <c r="R59">
        <v>0</v>
      </c>
      <c r="T59">
        <v>45</v>
      </c>
      <c r="U59">
        <v>0</v>
      </c>
      <c r="V59">
        <v>2</v>
      </c>
      <c r="W59">
        <v>85</v>
      </c>
      <c r="X59">
        <v>0</v>
      </c>
      <c r="Y59">
        <v>0</v>
      </c>
      <c r="Z59">
        <v>0</v>
      </c>
      <c r="AA59">
        <v>0</v>
      </c>
      <c r="AB59">
        <v>0</v>
      </c>
      <c r="AC59">
        <v>0</v>
      </c>
      <c r="AD59">
        <v>0</v>
      </c>
      <c r="AE59">
        <v>0</v>
      </c>
      <c r="AF59">
        <v>0</v>
      </c>
      <c r="AG59">
        <v>0</v>
      </c>
      <c r="AH59">
        <v>0</v>
      </c>
      <c r="AI59">
        <v>0</v>
      </c>
      <c r="AJ59">
        <v>0</v>
      </c>
      <c r="AK59">
        <v>0</v>
      </c>
      <c r="AL59">
        <v>0</v>
      </c>
      <c r="AM59">
        <v>0</v>
      </c>
      <c r="AN59">
        <v>-40</v>
      </c>
      <c r="AP59" t="s">
        <v>263</v>
      </c>
      <c r="AS59" t="s">
        <v>410</v>
      </c>
      <c r="AV59" t="s">
        <v>263</v>
      </c>
      <c r="AW59" t="s">
        <v>410</v>
      </c>
      <c r="AX59">
        <v>0</v>
      </c>
      <c r="AY59">
        <v>0</v>
      </c>
      <c r="AZ59" t="s">
        <v>233</v>
      </c>
      <c r="BA59" t="s">
        <v>233</v>
      </c>
      <c r="BB59" t="s">
        <v>411</v>
      </c>
      <c r="BC59">
        <v>8</v>
      </c>
      <c r="BD5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-210</v>
      </c>
      <c r="BE59" t="str">
        <f>IF(GetCurrentMonthAging3[[#This Row],[InsGroupPrimary]]="","YES","NO")</f>
        <v>NO</v>
      </c>
      <c r="BF5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-210</v>
      </c>
    </row>
    <row r="60" spans="1:58" x14ac:dyDescent="0.25">
      <c r="A60" t="s">
        <v>100</v>
      </c>
      <c r="B60">
        <v>6</v>
      </c>
      <c r="C60" t="s">
        <v>331</v>
      </c>
      <c r="D60" s="142">
        <v>45199</v>
      </c>
      <c r="E60">
        <v>32222</v>
      </c>
      <c r="F60">
        <v>364702</v>
      </c>
      <c r="G60">
        <v>2341237</v>
      </c>
      <c r="H60" t="b">
        <v>0</v>
      </c>
      <c r="I60">
        <v>3664</v>
      </c>
      <c r="J60" t="s">
        <v>412</v>
      </c>
      <c r="K60">
        <v>45</v>
      </c>
      <c r="L60">
        <v>45</v>
      </c>
      <c r="M60">
        <v>1</v>
      </c>
      <c r="N60">
        <v>0</v>
      </c>
      <c r="O60">
        <v>0</v>
      </c>
      <c r="P60">
        <v>0</v>
      </c>
      <c r="Q60">
        <v>0</v>
      </c>
      <c r="R60">
        <v>0</v>
      </c>
      <c r="T60">
        <v>45</v>
      </c>
      <c r="U60">
        <v>0</v>
      </c>
      <c r="V60">
        <v>2</v>
      </c>
      <c r="W60">
        <v>125</v>
      </c>
      <c r="X60">
        <v>0</v>
      </c>
      <c r="Y60">
        <v>0</v>
      </c>
      <c r="Z60">
        <v>0</v>
      </c>
      <c r="AA60">
        <v>0</v>
      </c>
      <c r="AB60">
        <v>0</v>
      </c>
      <c r="AC60">
        <v>0</v>
      </c>
      <c r="AD60">
        <v>0</v>
      </c>
      <c r="AE60">
        <v>0</v>
      </c>
      <c r="AF60">
        <v>0</v>
      </c>
      <c r="AG60">
        <v>0</v>
      </c>
      <c r="AH60">
        <v>0</v>
      </c>
      <c r="AI60">
        <v>0</v>
      </c>
      <c r="AJ60">
        <v>0</v>
      </c>
      <c r="AK60">
        <v>0</v>
      </c>
      <c r="AL60">
        <v>0</v>
      </c>
      <c r="AM60">
        <v>0</v>
      </c>
      <c r="AN60">
        <v>-80</v>
      </c>
      <c r="AP60" t="s">
        <v>263</v>
      </c>
      <c r="AS60" t="s">
        <v>410</v>
      </c>
      <c r="AV60" t="s">
        <v>263</v>
      </c>
      <c r="AW60" t="s">
        <v>410</v>
      </c>
      <c r="AX60">
        <v>0</v>
      </c>
      <c r="AY60">
        <v>0</v>
      </c>
      <c r="AZ60" t="s">
        <v>233</v>
      </c>
      <c r="BA60" t="s">
        <v>233</v>
      </c>
      <c r="BB60" t="s">
        <v>411</v>
      </c>
      <c r="BC60">
        <v>8</v>
      </c>
      <c r="BD6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-210</v>
      </c>
      <c r="BE60" t="str">
        <f>IF(GetCurrentMonthAging3[[#This Row],[InsGroupPrimary]]="","YES","NO")</f>
        <v>NO</v>
      </c>
      <c r="BF6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-210</v>
      </c>
    </row>
    <row r="61" spans="1:58" x14ac:dyDescent="0.25">
      <c r="A61" t="s">
        <v>100</v>
      </c>
      <c r="B61">
        <v>6</v>
      </c>
      <c r="C61" t="s">
        <v>331</v>
      </c>
      <c r="D61" s="142">
        <v>45199</v>
      </c>
      <c r="E61">
        <v>76082</v>
      </c>
      <c r="F61">
        <v>992738</v>
      </c>
      <c r="G61">
        <v>5295326</v>
      </c>
      <c r="H61" t="b">
        <v>0</v>
      </c>
      <c r="I61">
        <v>3005</v>
      </c>
      <c r="J61" t="s">
        <v>412</v>
      </c>
      <c r="K61">
        <v>135</v>
      </c>
      <c r="L61">
        <v>45</v>
      </c>
      <c r="M61">
        <v>3</v>
      </c>
      <c r="N61">
        <v>0</v>
      </c>
      <c r="O61">
        <v>40</v>
      </c>
      <c r="P61">
        <v>0</v>
      </c>
      <c r="Q61">
        <v>40</v>
      </c>
      <c r="R61">
        <v>0</v>
      </c>
      <c r="T61">
        <v>135</v>
      </c>
      <c r="U61">
        <v>0</v>
      </c>
      <c r="V61">
        <v>1</v>
      </c>
      <c r="W61">
        <v>20</v>
      </c>
      <c r="X61">
        <v>75</v>
      </c>
      <c r="Y61">
        <v>0</v>
      </c>
      <c r="Z61">
        <v>0</v>
      </c>
      <c r="AA61">
        <v>0</v>
      </c>
      <c r="AB61">
        <v>0</v>
      </c>
      <c r="AC61">
        <v>0</v>
      </c>
      <c r="AD61">
        <v>0</v>
      </c>
      <c r="AE61">
        <v>0</v>
      </c>
      <c r="AF61">
        <v>0</v>
      </c>
      <c r="AG61">
        <v>0</v>
      </c>
      <c r="AH61">
        <v>0</v>
      </c>
      <c r="AI61">
        <v>0</v>
      </c>
      <c r="AJ61">
        <v>0</v>
      </c>
      <c r="AK61">
        <v>46.68</v>
      </c>
      <c r="AL61">
        <v>1</v>
      </c>
      <c r="AM61">
        <v>0</v>
      </c>
      <c r="AN61">
        <v>-46.68</v>
      </c>
      <c r="AP61" t="s">
        <v>262</v>
      </c>
      <c r="AS61" t="s">
        <v>424</v>
      </c>
      <c r="AV61" t="s">
        <v>262</v>
      </c>
      <c r="AW61" t="s">
        <v>424</v>
      </c>
      <c r="AX61">
        <v>0</v>
      </c>
      <c r="AY61">
        <v>0</v>
      </c>
      <c r="AZ61" t="s">
        <v>233</v>
      </c>
      <c r="BA61" t="s">
        <v>233</v>
      </c>
      <c r="BB61" t="s">
        <v>411</v>
      </c>
      <c r="BC61">
        <v>8</v>
      </c>
      <c r="BD6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-204.36</v>
      </c>
      <c r="BE61" t="str">
        <f>IF(GetCurrentMonthAging3[[#This Row],[InsGroupPrimary]]="","YES","NO")</f>
        <v>NO</v>
      </c>
      <c r="BF6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-204.36</v>
      </c>
    </row>
    <row r="62" spans="1:58" x14ac:dyDescent="0.25">
      <c r="A62" t="s">
        <v>100</v>
      </c>
      <c r="B62">
        <v>6</v>
      </c>
      <c r="C62" t="s">
        <v>331</v>
      </c>
      <c r="D62" s="142">
        <v>45199</v>
      </c>
      <c r="E62">
        <v>76082</v>
      </c>
      <c r="F62">
        <v>992738</v>
      </c>
      <c r="G62">
        <v>5295327</v>
      </c>
      <c r="H62" t="b">
        <v>0</v>
      </c>
      <c r="I62">
        <v>3005</v>
      </c>
      <c r="J62" t="s">
        <v>416</v>
      </c>
      <c r="K62">
        <v>45</v>
      </c>
      <c r="L62">
        <v>45</v>
      </c>
      <c r="M62">
        <v>1</v>
      </c>
      <c r="N62">
        <v>0</v>
      </c>
      <c r="O62">
        <v>0</v>
      </c>
      <c r="P62">
        <v>0</v>
      </c>
      <c r="Q62">
        <v>0</v>
      </c>
      <c r="R62">
        <v>0</v>
      </c>
      <c r="T62">
        <v>45</v>
      </c>
      <c r="U62">
        <v>0</v>
      </c>
      <c r="V62">
        <v>0</v>
      </c>
      <c r="W62">
        <v>0</v>
      </c>
      <c r="X62">
        <v>45</v>
      </c>
      <c r="Y62">
        <v>0</v>
      </c>
      <c r="Z62">
        <v>0</v>
      </c>
      <c r="AA62">
        <v>0</v>
      </c>
      <c r="AB62">
        <v>0</v>
      </c>
      <c r="AC62">
        <v>0</v>
      </c>
      <c r="AD62">
        <v>0</v>
      </c>
      <c r="AE62">
        <v>0</v>
      </c>
      <c r="AF62">
        <v>0</v>
      </c>
      <c r="AG62">
        <v>0</v>
      </c>
      <c r="AH62">
        <v>0</v>
      </c>
      <c r="AI62">
        <v>0</v>
      </c>
      <c r="AJ62">
        <v>0</v>
      </c>
      <c r="AK62">
        <v>21.44</v>
      </c>
      <c r="AL62">
        <v>1</v>
      </c>
      <c r="AM62">
        <v>0</v>
      </c>
      <c r="AN62">
        <v>-21.44</v>
      </c>
      <c r="AP62" t="s">
        <v>262</v>
      </c>
      <c r="AS62" t="s">
        <v>424</v>
      </c>
      <c r="AV62" t="s">
        <v>262</v>
      </c>
      <c r="AW62" t="s">
        <v>424</v>
      </c>
      <c r="AX62">
        <v>0</v>
      </c>
      <c r="AY62">
        <v>0</v>
      </c>
      <c r="AZ62" t="s">
        <v>233</v>
      </c>
      <c r="BA62" t="s">
        <v>233</v>
      </c>
      <c r="BB62" t="s">
        <v>411</v>
      </c>
      <c r="BC62">
        <v>8</v>
      </c>
      <c r="BD6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-204.36</v>
      </c>
      <c r="BE62" t="str">
        <f>IF(GetCurrentMonthAging3[[#This Row],[InsGroupPrimary]]="","YES","NO")</f>
        <v>NO</v>
      </c>
      <c r="BF6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-204.36</v>
      </c>
    </row>
    <row r="63" spans="1:58" x14ac:dyDescent="0.25">
      <c r="A63" t="s">
        <v>100</v>
      </c>
      <c r="B63">
        <v>6</v>
      </c>
      <c r="C63" t="s">
        <v>331</v>
      </c>
      <c r="D63" s="142">
        <v>45199</v>
      </c>
      <c r="E63">
        <v>122293</v>
      </c>
      <c r="F63">
        <v>1628035</v>
      </c>
      <c r="G63">
        <v>8010030</v>
      </c>
      <c r="H63" t="b">
        <v>0</v>
      </c>
      <c r="I63">
        <v>2719</v>
      </c>
      <c r="J63" t="s">
        <v>422</v>
      </c>
      <c r="K63">
        <v>90</v>
      </c>
      <c r="L63">
        <v>90</v>
      </c>
      <c r="M63">
        <v>1</v>
      </c>
      <c r="N63">
        <v>0</v>
      </c>
      <c r="O63">
        <v>40</v>
      </c>
      <c r="P63">
        <v>0</v>
      </c>
      <c r="Q63">
        <v>40</v>
      </c>
      <c r="R63">
        <v>0</v>
      </c>
      <c r="T63">
        <v>0</v>
      </c>
      <c r="U63">
        <v>0</v>
      </c>
      <c r="V63">
        <v>1</v>
      </c>
      <c r="W63">
        <v>50.49</v>
      </c>
      <c r="X63">
        <v>0</v>
      </c>
      <c r="Y63">
        <v>90</v>
      </c>
      <c r="Z63">
        <v>0</v>
      </c>
      <c r="AA63">
        <v>1</v>
      </c>
      <c r="AB63">
        <v>20</v>
      </c>
      <c r="AC63">
        <v>30</v>
      </c>
      <c r="AD63">
        <v>0</v>
      </c>
      <c r="AE63">
        <v>0</v>
      </c>
      <c r="AF63">
        <v>0</v>
      </c>
      <c r="AG63">
        <v>0</v>
      </c>
      <c r="AH63">
        <v>0</v>
      </c>
      <c r="AI63">
        <v>0</v>
      </c>
      <c r="AJ63">
        <v>0</v>
      </c>
      <c r="AK63">
        <v>0</v>
      </c>
      <c r="AL63">
        <v>0</v>
      </c>
      <c r="AM63">
        <v>0</v>
      </c>
      <c r="AN63">
        <v>-50.49</v>
      </c>
      <c r="AP63" t="s">
        <v>259</v>
      </c>
      <c r="AQ63" t="s">
        <v>262</v>
      </c>
      <c r="AS63" t="s">
        <v>449</v>
      </c>
      <c r="AT63" t="s">
        <v>436</v>
      </c>
      <c r="AV63" t="s">
        <v>332</v>
      </c>
      <c r="AW63" t="s">
        <v>332</v>
      </c>
      <c r="AX63">
        <v>0</v>
      </c>
      <c r="AY63">
        <v>0</v>
      </c>
      <c r="AZ63" t="s">
        <v>233</v>
      </c>
      <c r="BA63" t="s">
        <v>233</v>
      </c>
      <c r="BB63" t="s">
        <v>411</v>
      </c>
      <c r="BC63">
        <v>8</v>
      </c>
      <c r="BD6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v>
      </c>
      <c r="BE63" t="str">
        <f>IF(GetCurrentMonthAging3[[#This Row],[InsGroupPrimary]]="","YES","NO")</f>
        <v>NO</v>
      </c>
      <c r="BF6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v>
      </c>
    </row>
    <row r="64" spans="1:58" x14ac:dyDescent="0.25">
      <c r="A64" t="s">
        <v>100</v>
      </c>
      <c r="B64">
        <v>6</v>
      </c>
      <c r="C64" t="s">
        <v>331</v>
      </c>
      <c r="D64" s="142">
        <v>45199</v>
      </c>
      <c r="E64">
        <v>140927</v>
      </c>
      <c r="F64">
        <v>1938736</v>
      </c>
      <c r="G64">
        <v>9476011</v>
      </c>
      <c r="H64" t="b">
        <v>0</v>
      </c>
      <c r="I64">
        <v>2586</v>
      </c>
      <c r="J64" t="s">
        <v>419</v>
      </c>
      <c r="K64">
        <v>45</v>
      </c>
      <c r="L64">
        <v>45</v>
      </c>
      <c r="M64">
        <v>1</v>
      </c>
      <c r="N64">
        <v>0</v>
      </c>
      <c r="O64">
        <v>0</v>
      </c>
      <c r="P64">
        <v>0</v>
      </c>
      <c r="Q64">
        <v>0</v>
      </c>
      <c r="R64">
        <v>0</v>
      </c>
      <c r="T64">
        <v>45</v>
      </c>
      <c r="U64">
        <v>0</v>
      </c>
      <c r="V64">
        <v>2</v>
      </c>
      <c r="W64">
        <v>72.459999999999994</v>
      </c>
      <c r="X64">
        <v>4.5</v>
      </c>
      <c r="Y64">
        <v>0</v>
      </c>
      <c r="Z64">
        <v>0</v>
      </c>
      <c r="AA64">
        <v>0</v>
      </c>
      <c r="AB64">
        <v>0</v>
      </c>
      <c r="AC64">
        <v>0</v>
      </c>
      <c r="AD64">
        <v>0</v>
      </c>
      <c r="AE64">
        <v>0</v>
      </c>
      <c r="AF64">
        <v>0</v>
      </c>
      <c r="AG64">
        <v>0</v>
      </c>
      <c r="AH64">
        <v>0</v>
      </c>
      <c r="AI64">
        <v>0</v>
      </c>
      <c r="AJ64">
        <v>0</v>
      </c>
      <c r="AK64">
        <v>0</v>
      </c>
      <c r="AL64">
        <v>0</v>
      </c>
      <c r="AM64">
        <v>0</v>
      </c>
      <c r="AN64">
        <v>-31.96</v>
      </c>
      <c r="AP64" t="s">
        <v>263</v>
      </c>
      <c r="AS64" t="s">
        <v>431</v>
      </c>
      <c r="AV64" t="s">
        <v>263</v>
      </c>
      <c r="AW64" t="s">
        <v>431</v>
      </c>
      <c r="AX64">
        <v>0</v>
      </c>
      <c r="AY64">
        <v>0</v>
      </c>
      <c r="AZ64" t="s">
        <v>264</v>
      </c>
      <c r="BA64" t="s">
        <v>264</v>
      </c>
      <c r="BB64" t="s">
        <v>411</v>
      </c>
      <c r="BC64">
        <v>8</v>
      </c>
      <c r="BD6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64" t="str">
        <f>IF(GetCurrentMonthAging3[[#This Row],[InsGroupPrimary]]="","YES","NO")</f>
        <v>NO</v>
      </c>
      <c r="BF6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65" spans="1:58" x14ac:dyDescent="0.25">
      <c r="A65" t="s">
        <v>100</v>
      </c>
      <c r="B65">
        <v>6</v>
      </c>
      <c r="C65" t="s">
        <v>331</v>
      </c>
      <c r="D65" s="142">
        <v>45199</v>
      </c>
      <c r="E65">
        <v>189911</v>
      </c>
      <c r="F65">
        <v>3515623</v>
      </c>
      <c r="G65">
        <v>15762150</v>
      </c>
      <c r="H65" t="b">
        <v>0</v>
      </c>
      <c r="I65">
        <v>1991</v>
      </c>
      <c r="J65" t="s">
        <v>412</v>
      </c>
      <c r="K65">
        <v>90</v>
      </c>
      <c r="L65">
        <v>45</v>
      </c>
      <c r="M65">
        <v>2</v>
      </c>
      <c r="N65">
        <v>0</v>
      </c>
      <c r="O65">
        <v>24</v>
      </c>
      <c r="P65">
        <v>0</v>
      </c>
      <c r="Q65">
        <v>24</v>
      </c>
      <c r="R65">
        <v>0</v>
      </c>
      <c r="T65">
        <v>90</v>
      </c>
      <c r="U65">
        <v>0</v>
      </c>
      <c r="V65">
        <v>1</v>
      </c>
      <c r="W65">
        <v>48</v>
      </c>
      <c r="X65">
        <v>30</v>
      </c>
      <c r="Y65">
        <v>0</v>
      </c>
      <c r="Z65">
        <v>0</v>
      </c>
      <c r="AA65">
        <v>0</v>
      </c>
      <c r="AB65">
        <v>0</v>
      </c>
      <c r="AC65">
        <v>0</v>
      </c>
      <c r="AD65">
        <v>0</v>
      </c>
      <c r="AE65">
        <v>0</v>
      </c>
      <c r="AF65">
        <v>0</v>
      </c>
      <c r="AG65">
        <v>0</v>
      </c>
      <c r="AH65">
        <v>0</v>
      </c>
      <c r="AI65">
        <v>0</v>
      </c>
      <c r="AJ65">
        <v>0</v>
      </c>
      <c r="AK65">
        <v>0</v>
      </c>
      <c r="AL65">
        <v>0</v>
      </c>
      <c r="AM65">
        <v>0</v>
      </c>
      <c r="AN65">
        <v>-12</v>
      </c>
      <c r="AP65" t="s">
        <v>262</v>
      </c>
      <c r="AS65" t="s">
        <v>436</v>
      </c>
      <c r="AV65" t="s">
        <v>262</v>
      </c>
      <c r="AW65" t="s">
        <v>436</v>
      </c>
      <c r="AX65">
        <v>0</v>
      </c>
      <c r="AY65">
        <v>0</v>
      </c>
      <c r="AZ65" t="s">
        <v>264</v>
      </c>
      <c r="BA65" t="s">
        <v>264</v>
      </c>
      <c r="BB65" t="s">
        <v>411</v>
      </c>
      <c r="BC65">
        <v>8</v>
      </c>
      <c r="BD6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-217</v>
      </c>
      <c r="BE65" t="str">
        <f>IF(GetCurrentMonthAging3[[#This Row],[InsGroupPrimary]]="","YES","NO")</f>
        <v>NO</v>
      </c>
      <c r="BF6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-217</v>
      </c>
    </row>
    <row r="66" spans="1:58" x14ac:dyDescent="0.25">
      <c r="A66" t="s">
        <v>100</v>
      </c>
      <c r="B66">
        <v>6</v>
      </c>
      <c r="C66" t="s">
        <v>331</v>
      </c>
      <c r="D66" s="142">
        <v>45199</v>
      </c>
      <c r="E66">
        <v>242721</v>
      </c>
      <c r="F66">
        <v>3467775</v>
      </c>
      <c r="G66">
        <v>15559493</v>
      </c>
      <c r="H66" t="b">
        <v>0</v>
      </c>
      <c r="I66">
        <v>2011</v>
      </c>
      <c r="J66" t="s">
        <v>409</v>
      </c>
      <c r="K66">
        <v>30</v>
      </c>
      <c r="L66">
        <v>30</v>
      </c>
      <c r="M66">
        <v>1</v>
      </c>
      <c r="N66">
        <v>0</v>
      </c>
      <c r="O66">
        <v>2.34</v>
      </c>
      <c r="P66">
        <v>0</v>
      </c>
      <c r="Q66">
        <v>2.34</v>
      </c>
      <c r="R66">
        <v>0</v>
      </c>
      <c r="T66">
        <v>30</v>
      </c>
      <c r="U66">
        <v>0</v>
      </c>
      <c r="V66">
        <v>2</v>
      </c>
      <c r="W66">
        <v>11.71</v>
      </c>
      <c r="X66">
        <v>18.29</v>
      </c>
      <c r="Y66">
        <v>0</v>
      </c>
      <c r="Z66">
        <v>0</v>
      </c>
      <c r="AA66">
        <v>0</v>
      </c>
      <c r="AB66">
        <v>0</v>
      </c>
      <c r="AC66">
        <v>0</v>
      </c>
      <c r="AD66">
        <v>0</v>
      </c>
      <c r="AE66">
        <v>0</v>
      </c>
      <c r="AF66">
        <v>0</v>
      </c>
      <c r="AG66">
        <v>0</v>
      </c>
      <c r="AH66">
        <v>0</v>
      </c>
      <c r="AI66">
        <v>0</v>
      </c>
      <c r="AJ66">
        <v>0</v>
      </c>
      <c r="AK66">
        <v>0</v>
      </c>
      <c r="AL66">
        <v>0</v>
      </c>
      <c r="AM66">
        <v>0</v>
      </c>
      <c r="AN66">
        <v>-2.34</v>
      </c>
      <c r="AP66" t="s">
        <v>260</v>
      </c>
      <c r="AS66" t="s">
        <v>452</v>
      </c>
      <c r="AV66" t="s">
        <v>260</v>
      </c>
      <c r="AW66" t="s">
        <v>452</v>
      </c>
      <c r="AX66">
        <v>0</v>
      </c>
      <c r="AY66">
        <v>0</v>
      </c>
      <c r="AZ66" t="s">
        <v>233</v>
      </c>
      <c r="BA66" t="s">
        <v>233</v>
      </c>
      <c r="BB66" t="s">
        <v>411</v>
      </c>
      <c r="BC66">
        <v>8</v>
      </c>
      <c r="BD6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-9.99</v>
      </c>
      <c r="BE66" t="str">
        <f>IF(GetCurrentMonthAging3[[#This Row],[InsGroupPrimary]]="","YES","NO")</f>
        <v>NO</v>
      </c>
      <c r="BF6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-9.99</v>
      </c>
    </row>
    <row r="67" spans="1:58" x14ac:dyDescent="0.25">
      <c r="A67" t="s">
        <v>100</v>
      </c>
      <c r="B67">
        <v>6</v>
      </c>
      <c r="C67" t="s">
        <v>331</v>
      </c>
      <c r="D67" s="142">
        <v>45199</v>
      </c>
      <c r="E67">
        <v>242721</v>
      </c>
      <c r="F67">
        <v>3467775</v>
      </c>
      <c r="G67">
        <v>15559494</v>
      </c>
      <c r="H67" t="b">
        <v>0</v>
      </c>
      <c r="I67">
        <v>2011</v>
      </c>
      <c r="J67" t="s">
        <v>453</v>
      </c>
      <c r="K67">
        <v>90</v>
      </c>
      <c r="L67">
        <v>90</v>
      </c>
      <c r="M67">
        <v>1</v>
      </c>
      <c r="N67">
        <v>0</v>
      </c>
      <c r="O67">
        <v>3.83</v>
      </c>
      <c r="P67">
        <v>0</v>
      </c>
      <c r="Q67">
        <v>3.83</v>
      </c>
      <c r="R67">
        <v>0</v>
      </c>
      <c r="T67">
        <v>90</v>
      </c>
      <c r="U67">
        <v>0</v>
      </c>
      <c r="V67">
        <v>2</v>
      </c>
      <c r="W67">
        <v>19.149999999999999</v>
      </c>
      <c r="X67">
        <v>70.849999999999994</v>
      </c>
      <c r="Y67">
        <v>0</v>
      </c>
      <c r="Z67">
        <v>0</v>
      </c>
      <c r="AA67">
        <v>0</v>
      </c>
      <c r="AB67">
        <v>0</v>
      </c>
      <c r="AC67">
        <v>0</v>
      </c>
      <c r="AD67">
        <v>0</v>
      </c>
      <c r="AE67">
        <v>0</v>
      </c>
      <c r="AF67">
        <v>0</v>
      </c>
      <c r="AG67">
        <v>0</v>
      </c>
      <c r="AH67">
        <v>0</v>
      </c>
      <c r="AI67">
        <v>0</v>
      </c>
      <c r="AJ67">
        <v>0</v>
      </c>
      <c r="AK67">
        <v>0</v>
      </c>
      <c r="AL67">
        <v>0</v>
      </c>
      <c r="AM67">
        <v>0</v>
      </c>
      <c r="AN67">
        <v>-3.83</v>
      </c>
      <c r="AP67" t="s">
        <v>260</v>
      </c>
      <c r="AS67" t="s">
        <v>452</v>
      </c>
      <c r="AV67" t="s">
        <v>260</v>
      </c>
      <c r="AW67" t="s">
        <v>452</v>
      </c>
      <c r="AX67">
        <v>0</v>
      </c>
      <c r="AY67">
        <v>0</v>
      </c>
      <c r="AZ67" t="s">
        <v>233</v>
      </c>
      <c r="BA67" t="s">
        <v>233</v>
      </c>
      <c r="BB67" t="s">
        <v>411</v>
      </c>
      <c r="BC67">
        <v>8</v>
      </c>
      <c r="BD6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-9.99</v>
      </c>
      <c r="BE67" t="str">
        <f>IF(GetCurrentMonthAging3[[#This Row],[InsGroupPrimary]]="","YES","NO")</f>
        <v>NO</v>
      </c>
      <c r="BF6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-9.99</v>
      </c>
    </row>
    <row r="68" spans="1:58" x14ac:dyDescent="0.25">
      <c r="A68" t="s">
        <v>100</v>
      </c>
      <c r="B68">
        <v>6</v>
      </c>
      <c r="C68" t="s">
        <v>331</v>
      </c>
      <c r="D68" s="142">
        <v>45199</v>
      </c>
      <c r="E68">
        <v>242721</v>
      </c>
      <c r="F68">
        <v>3467775</v>
      </c>
      <c r="G68">
        <v>15559497</v>
      </c>
      <c r="H68" t="b">
        <v>0</v>
      </c>
      <c r="I68">
        <v>2011</v>
      </c>
      <c r="J68" t="s">
        <v>412</v>
      </c>
      <c r="K68">
        <v>45</v>
      </c>
      <c r="L68">
        <v>45</v>
      </c>
      <c r="M68">
        <v>1</v>
      </c>
      <c r="N68">
        <v>0</v>
      </c>
      <c r="O68">
        <v>1.91</v>
      </c>
      <c r="P68">
        <v>0</v>
      </c>
      <c r="Q68">
        <v>1.91</v>
      </c>
      <c r="R68">
        <v>0</v>
      </c>
      <c r="T68">
        <v>45</v>
      </c>
      <c r="U68">
        <v>0</v>
      </c>
      <c r="V68">
        <v>2</v>
      </c>
      <c r="W68">
        <v>9.57</v>
      </c>
      <c r="X68">
        <v>35.43</v>
      </c>
      <c r="Y68">
        <v>0</v>
      </c>
      <c r="Z68">
        <v>0</v>
      </c>
      <c r="AA68">
        <v>0</v>
      </c>
      <c r="AB68">
        <v>0</v>
      </c>
      <c r="AC68">
        <v>0</v>
      </c>
      <c r="AD68">
        <v>0</v>
      </c>
      <c r="AE68">
        <v>0</v>
      </c>
      <c r="AF68">
        <v>0</v>
      </c>
      <c r="AG68">
        <v>0</v>
      </c>
      <c r="AH68">
        <v>0</v>
      </c>
      <c r="AI68">
        <v>0</v>
      </c>
      <c r="AJ68">
        <v>0</v>
      </c>
      <c r="AK68">
        <v>0</v>
      </c>
      <c r="AL68">
        <v>0</v>
      </c>
      <c r="AM68">
        <v>0</v>
      </c>
      <c r="AN68">
        <v>-1.91</v>
      </c>
      <c r="AP68" t="s">
        <v>260</v>
      </c>
      <c r="AS68" t="s">
        <v>452</v>
      </c>
      <c r="AV68" t="s">
        <v>260</v>
      </c>
      <c r="AW68" t="s">
        <v>452</v>
      </c>
      <c r="AX68">
        <v>0</v>
      </c>
      <c r="AY68">
        <v>0</v>
      </c>
      <c r="AZ68" t="s">
        <v>233</v>
      </c>
      <c r="BA68" t="s">
        <v>233</v>
      </c>
      <c r="BB68" t="s">
        <v>411</v>
      </c>
      <c r="BC68">
        <v>8</v>
      </c>
      <c r="BD6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-9.99</v>
      </c>
      <c r="BE68" t="str">
        <f>IF(GetCurrentMonthAging3[[#This Row],[InsGroupPrimary]]="","YES","NO")</f>
        <v>NO</v>
      </c>
      <c r="BF6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-9.99</v>
      </c>
    </row>
    <row r="69" spans="1:58" x14ac:dyDescent="0.25">
      <c r="A69" t="s">
        <v>100</v>
      </c>
      <c r="B69">
        <v>6</v>
      </c>
      <c r="C69" t="s">
        <v>331</v>
      </c>
      <c r="D69" s="142">
        <v>45199</v>
      </c>
      <c r="E69">
        <v>76082</v>
      </c>
      <c r="F69">
        <v>992734</v>
      </c>
      <c r="G69">
        <v>5294225</v>
      </c>
      <c r="H69" t="b">
        <v>0</v>
      </c>
      <c r="I69">
        <v>3006</v>
      </c>
      <c r="J69" t="s">
        <v>412</v>
      </c>
      <c r="K69">
        <v>135</v>
      </c>
      <c r="L69">
        <v>45</v>
      </c>
      <c r="M69">
        <v>3</v>
      </c>
      <c r="N69">
        <v>0</v>
      </c>
      <c r="O69">
        <v>40</v>
      </c>
      <c r="P69">
        <v>0</v>
      </c>
      <c r="Q69">
        <v>40</v>
      </c>
      <c r="R69">
        <v>0</v>
      </c>
      <c r="T69">
        <v>135</v>
      </c>
      <c r="U69">
        <v>0</v>
      </c>
      <c r="V69">
        <v>1</v>
      </c>
      <c r="W69">
        <v>20</v>
      </c>
      <c r="X69">
        <v>75</v>
      </c>
      <c r="Y69">
        <v>0</v>
      </c>
      <c r="Z69">
        <v>0</v>
      </c>
      <c r="AA69">
        <v>0</v>
      </c>
      <c r="AB69">
        <v>0</v>
      </c>
      <c r="AC69">
        <v>0</v>
      </c>
      <c r="AD69">
        <v>0</v>
      </c>
      <c r="AE69">
        <v>0</v>
      </c>
      <c r="AF69">
        <v>0</v>
      </c>
      <c r="AG69">
        <v>0</v>
      </c>
      <c r="AH69">
        <v>0</v>
      </c>
      <c r="AI69">
        <v>0</v>
      </c>
      <c r="AJ69">
        <v>0</v>
      </c>
      <c r="AK69">
        <v>46.68</v>
      </c>
      <c r="AL69">
        <v>1</v>
      </c>
      <c r="AM69">
        <v>0</v>
      </c>
      <c r="AN69">
        <v>-46.68</v>
      </c>
      <c r="AP69" t="s">
        <v>262</v>
      </c>
      <c r="AS69" t="s">
        <v>424</v>
      </c>
      <c r="AV69" t="s">
        <v>262</v>
      </c>
      <c r="AW69" t="s">
        <v>424</v>
      </c>
      <c r="AX69">
        <v>0</v>
      </c>
      <c r="AY69">
        <v>0</v>
      </c>
      <c r="AZ69" t="s">
        <v>233</v>
      </c>
      <c r="BA69" t="s">
        <v>233</v>
      </c>
      <c r="BB69" t="s">
        <v>411</v>
      </c>
      <c r="BC69">
        <v>8</v>
      </c>
      <c r="BD6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-204.36</v>
      </c>
      <c r="BE69" t="str">
        <f>IF(GetCurrentMonthAging3[[#This Row],[InsGroupPrimary]]="","YES","NO")</f>
        <v>NO</v>
      </c>
      <c r="BF6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-204.36</v>
      </c>
    </row>
    <row r="70" spans="1:58" x14ac:dyDescent="0.25">
      <c r="A70" t="s">
        <v>100</v>
      </c>
      <c r="B70">
        <v>6</v>
      </c>
      <c r="C70" t="s">
        <v>331</v>
      </c>
      <c r="D70" s="142">
        <v>45199</v>
      </c>
      <c r="E70">
        <v>76082</v>
      </c>
      <c r="F70">
        <v>992734</v>
      </c>
      <c r="G70">
        <v>5294226</v>
      </c>
      <c r="H70" t="b">
        <v>0</v>
      </c>
      <c r="I70">
        <v>3006</v>
      </c>
      <c r="J70" t="s">
        <v>416</v>
      </c>
      <c r="K70">
        <v>45</v>
      </c>
      <c r="L70">
        <v>45</v>
      </c>
      <c r="M70">
        <v>1</v>
      </c>
      <c r="N70">
        <v>0</v>
      </c>
      <c r="O70">
        <v>0</v>
      </c>
      <c r="P70">
        <v>0</v>
      </c>
      <c r="Q70">
        <v>0</v>
      </c>
      <c r="R70">
        <v>0</v>
      </c>
      <c r="T70">
        <v>45</v>
      </c>
      <c r="U70">
        <v>0</v>
      </c>
      <c r="V70">
        <v>0</v>
      </c>
      <c r="W70">
        <v>0</v>
      </c>
      <c r="X70">
        <v>45</v>
      </c>
      <c r="Y70">
        <v>0</v>
      </c>
      <c r="Z70">
        <v>0</v>
      </c>
      <c r="AA70">
        <v>0</v>
      </c>
      <c r="AB70">
        <v>0</v>
      </c>
      <c r="AC70">
        <v>0</v>
      </c>
      <c r="AD70">
        <v>0</v>
      </c>
      <c r="AE70">
        <v>0</v>
      </c>
      <c r="AF70">
        <v>0</v>
      </c>
      <c r="AG70">
        <v>0</v>
      </c>
      <c r="AH70">
        <v>0</v>
      </c>
      <c r="AI70">
        <v>0</v>
      </c>
      <c r="AJ70">
        <v>0</v>
      </c>
      <c r="AK70">
        <v>21.44</v>
      </c>
      <c r="AL70">
        <v>1</v>
      </c>
      <c r="AM70">
        <v>0</v>
      </c>
      <c r="AN70">
        <v>-21.44</v>
      </c>
      <c r="AP70" t="s">
        <v>262</v>
      </c>
      <c r="AS70" t="s">
        <v>424</v>
      </c>
      <c r="AV70" t="s">
        <v>262</v>
      </c>
      <c r="AW70" t="s">
        <v>424</v>
      </c>
      <c r="AX70">
        <v>0</v>
      </c>
      <c r="AY70">
        <v>0</v>
      </c>
      <c r="AZ70" t="s">
        <v>233</v>
      </c>
      <c r="BA70" t="s">
        <v>233</v>
      </c>
      <c r="BB70" t="s">
        <v>411</v>
      </c>
      <c r="BC70">
        <v>8</v>
      </c>
      <c r="BD7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-204.36</v>
      </c>
      <c r="BE70" t="str">
        <f>IF(GetCurrentMonthAging3[[#This Row],[InsGroupPrimary]]="","YES","NO")</f>
        <v>NO</v>
      </c>
      <c r="BF7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-204.36</v>
      </c>
    </row>
    <row r="71" spans="1:58" x14ac:dyDescent="0.25">
      <c r="A71" t="s">
        <v>100</v>
      </c>
      <c r="B71">
        <v>6</v>
      </c>
      <c r="C71" t="s">
        <v>331</v>
      </c>
      <c r="D71" s="142">
        <v>45199</v>
      </c>
      <c r="E71">
        <v>76082</v>
      </c>
      <c r="F71">
        <v>998040</v>
      </c>
      <c r="G71">
        <v>5332537</v>
      </c>
      <c r="H71" t="b">
        <v>0</v>
      </c>
      <c r="I71">
        <v>2999</v>
      </c>
      <c r="J71" t="s">
        <v>412</v>
      </c>
      <c r="K71">
        <v>135</v>
      </c>
      <c r="L71">
        <v>45</v>
      </c>
      <c r="M71">
        <v>3</v>
      </c>
      <c r="N71">
        <v>0</v>
      </c>
      <c r="O71">
        <v>40</v>
      </c>
      <c r="P71">
        <v>0</v>
      </c>
      <c r="Q71">
        <v>40</v>
      </c>
      <c r="R71">
        <v>0</v>
      </c>
      <c r="T71">
        <v>135</v>
      </c>
      <c r="U71">
        <v>0</v>
      </c>
      <c r="V71">
        <v>1</v>
      </c>
      <c r="W71">
        <v>20</v>
      </c>
      <c r="X71">
        <v>75</v>
      </c>
      <c r="Y71">
        <v>0</v>
      </c>
      <c r="Z71">
        <v>0</v>
      </c>
      <c r="AA71">
        <v>0</v>
      </c>
      <c r="AB71">
        <v>0</v>
      </c>
      <c r="AC71">
        <v>0</v>
      </c>
      <c r="AD71">
        <v>0</v>
      </c>
      <c r="AE71">
        <v>0</v>
      </c>
      <c r="AF71">
        <v>0</v>
      </c>
      <c r="AG71">
        <v>0</v>
      </c>
      <c r="AH71">
        <v>0</v>
      </c>
      <c r="AI71">
        <v>0</v>
      </c>
      <c r="AJ71">
        <v>0</v>
      </c>
      <c r="AK71">
        <v>46.68</v>
      </c>
      <c r="AL71">
        <v>1</v>
      </c>
      <c r="AM71">
        <v>0</v>
      </c>
      <c r="AN71">
        <v>-46.68</v>
      </c>
      <c r="AP71" t="s">
        <v>262</v>
      </c>
      <c r="AS71" t="s">
        <v>424</v>
      </c>
      <c r="AV71" t="s">
        <v>262</v>
      </c>
      <c r="AW71" t="s">
        <v>424</v>
      </c>
      <c r="AX71">
        <v>0</v>
      </c>
      <c r="AY71">
        <v>0</v>
      </c>
      <c r="AZ71" t="s">
        <v>233</v>
      </c>
      <c r="BA71" t="s">
        <v>233</v>
      </c>
      <c r="BB71" t="s">
        <v>411</v>
      </c>
      <c r="BC71">
        <v>8</v>
      </c>
      <c r="BD7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-204.36</v>
      </c>
      <c r="BE71" t="str">
        <f>IF(GetCurrentMonthAging3[[#This Row],[InsGroupPrimary]]="","YES","NO")</f>
        <v>NO</v>
      </c>
      <c r="BF7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-204.36</v>
      </c>
    </row>
    <row r="72" spans="1:58" x14ac:dyDescent="0.25">
      <c r="A72" t="s">
        <v>100</v>
      </c>
      <c r="B72">
        <v>6</v>
      </c>
      <c r="C72" t="s">
        <v>331</v>
      </c>
      <c r="D72" s="142">
        <v>45199</v>
      </c>
      <c r="E72">
        <v>112868</v>
      </c>
      <c r="F72">
        <v>1505810</v>
      </c>
      <c r="G72">
        <v>7442148</v>
      </c>
      <c r="H72" t="b">
        <v>0</v>
      </c>
      <c r="I72">
        <v>2770</v>
      </c>
      <c r="J72" t="s">
        <v>412</v>
      </c>
      <c r="K72">
        <v>90</v>
      </c>
      <c r="L72">
        <v>45</v>
      </c>
      <c r="M72">
        <v>2</v>
      </c>
      <c r="N72">
        <v>0</v>
      </c>
      <c r="O72">
        <v>0</v>
      </c>
      <c r="P72">
        <v>0</v>
      </c>
      <c r="Q72">
        <v>0</v>
      </c>
      <c r="R72">
        <v>0</v>
      </c>
      <c r="T72">
        <v>90</v>
      </c>
      <c r="U72">
        <v>0</v>
      </c>
      <c r="V72">
        <v>2</v>
      </c>
      <c r="W72">
        <v>145</v>
      </c>
      <c r="X72">
        <v>45</v>
      </c>
      <c r="Y72">
        <v>0</v>
      </c>
      <c r="Z72">
        <v>0</v>
      </c>
      <c r="AA72">
        <v>0</v>
      </c>
      <c r="AB72">
        <v>0</v>
      </c>
      <c r="AC72">
        <v>0</v>
      </c>
      <c r="AD72">
        <v>0</v>
      </c>
      <c r="AE72">
        <v>0</v>
      </c>
      <c r="AF72">
        <v>0</v>
      </c>
      <c r="AG72">
        <v>0</v>
      </c>
      <c r="AH72">
        <v>0</v>
      </c>
      <c r="AI72">
        <v>0</v>
      </c>
      <c r="AJ72">
        <v>0</v>
      </c>
      <c r="AK72">
        <v>0</v>
      </c>
      <c r="AL72">
        <v>0</v>
      </c>
      <c r="AM72">
        <v>0</v>
      </c>
      <c r="AN72">
        <v>-100</v>
      </c>
      <c r="AP72" t="s">
        <v>263</v>
      </c>
      <c r="AS72" t="s">
        <v>430</v>
      </c>
      <c r="AV72" t="s">
        <v>263</v>
      </c>
      <c r="AW72" t="s">
        <v>430</v>
      </c>
      <c r="AX72">
        <v>0</v>
      </c>
      <c r="AY72">
        <v>0</v>
      </c>
      <c r="AZ72" t="s">
        <v>264</v>
      </c>
      <c r="BA72" t="s">
        <v>264</v>
      </c>
      <c r="BB72" t="s">
        <v>411</v>
      </c>
      <c r="BC72">
        <v>8</v>
      </c>
      <c r="BD7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-400</v>
      </c>
      <c r="BE72" t="str">
        <f>IF(GetCurrentMonthAging3[[#This Row],[InsGroupPrimary]]="","YES","NO")</f>
        <v>NO</v>
      </c>
      <c r="BF7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-400</v>
      </c>
    </row>
    <row r="73" spans="1:58" x14ac:dyDescent="0.25">
      <c r="A73" t="s">
        <v>100</v>
      </c>
      <c r="B73">
        <v>6</v>
      </c>
      <c r="C73" t="s">
        <v>331</v>
      </c>
      <c r="D73" s="142">
        <v>45199</v>
      </c>
      <c r="E73">
        <v>31583</v>
      </c>
      <c r="F73">
        <v>367209</v>
      </c>
      <c r="G73">
        <v>2460213</v>
      </c>
      <c r="H73" t="b">
        <v>0</v>
      </c>
      <c r="I73">
        <v>3657</v>
      </c>
      <c r="J73" t="s">
        <v>454</v>
      </c>
      <c r="K73">
        <v>5</v>
      </c>
      <c r="L73">
        <v>5</v>
      </c>
      <c r="M73">
        <v>1</v>
      </c>
      <c r="N73">
        <v>0</v>
      </c>
      <c r="O73">
        <v>0</v>
      </c>
      <c r="P73">
        <v>0</v>
      </c>
      <c r="Q73">
        <v>0</v>
      </c>
      <c r="R73">
        <v>0</v>
      </c>
      <c r="T73">
        <v>5</v>
      </c>
      <c r="U73">
        <v>0</v>
      </c>
      <c r="V73">
        <v>1</v>
      </c>
      <c r="W73">
        <v>0</v>
      </c>
      <c r="X73">
        <v>0</v>
      </c>
      <c r="Y73">
        <v>0</v>
      </c>
      <c r="Z73">
        <v>0</v>
      </c>
      <c r="AA73">
        <v>0</v>
      </c>
      <c r="AB73">
        <v>0</v>
      </c>
      <c r="AC73">
        <v>0</v>
      </c>
      <c r="AD73">
        <v>0</v>
      </c>
      <c r="AE73">
        <v>0</v>
      </c>
      <c r="AF73">
        <v>0</v>
      </c>
      <c r="AG73">
        <v>0</v>
      </c>
      <c r="AH73">
        <v>0</v>
      </c>
      <c r="AI73">
        <v>0</v>
      </c>
      <c r="AJ73">
        <v>0</v>
      </c>
      <c r="AK73">
        <v>0</v>
      </c>
      <c r="AL73">
        <v>0</v>
      </c>
      <c r="AM73">
        <v>0</v>
      </c>
      <c r="AN73">
        <v>5</v>
      </c>
      <c r="AP73" t="s">
        <v>261</v>
      </c>
      <c r="AQ73" t="s">
        <v>265</v>
      </c>
      <c r="AS73" t="s">
        <v>413</v>
      </c>
      <c r="AT73" t="s">
        <v>425</v>
      </c>
      <c r="AV73" t="s">
        <v>332</v>
      </c>
      <c r="AW73" t="s">
        <v>332</v>
      </c>
      <c r="AX73">
        <v>0</v>
      </c>
      <c r="AY73">
        <v>0</v>
      </c>
      <c r="AZ73" t="s">
        <v>264</v>
      </c>
      <c r="BA73" t="s">
        <v>264</v>
      </c>
      <c r="BB73" t="s">
        <v>411</v>
      </c>
      <c r="BC73">
        <v>8</v>
      </c>
      <c r="BD7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v>
      </c>
      <c r="BE73" t="str">
        <f>IF(GetCurrentMonthAging3[[#This Row],[InsGroupPrimary]]="","YES","NO")</f>
        <v>NO</v>
      </c>
      <c r="BF7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v>
      </c>
    </row>
    <row r="74" spans="1:58" x14ac:dyDescent="0.25">
      <c r="A74" t="s">
        <v>100</v>
      </c>
      <c r="B74">
        <v>6</v>
      </c>
      <c r="C74" t="s">
        <v>331</v>
      </c>
      <c r="D74" s="142">
        <v>45199</v>
      </c>
      <c r="E74">
        <v>32798</v>
      </c>
      <c r="F74">
        <v>370706</v>
      </c>
      <c r="G74">
        <v>2758697</v>
      </c>
      <c r="H74" t="b">
        <v>0</v>
      </c>
      <c r="I74">
        <v>3655</v>
      </c>
      <c r="J74" t="s">
        <v>419</v>
      </c>
      <c r="K74">
        <v>45</v>
      </c>
      <c r="L74">
        <v>45</v>
      </c>
      <c r="M74">
        <v>1</v>
      </c>
      <c r="N74">
        <v>0</v>
      </c>
      <c r="O74">
        <v>0</v>
      </c>
      <c r="P74">
        <v>0</v>
      </c>
      <c r="Q74">
        <v>0</v>
      </c>
      <c r="R74">
        <v>0</v>
      </c>
      <c r="T74">
        <v>45</v>
      </c>
      <c r="U74">
        <v>0</v>
      </c>
      <c r="V74">
        <v>0</v>
      </c>
      <c r="W74">
        <v>0</v>
      </c>
      <c r="X74">
        <v>0</v>
      </c>
      <c r="Y74">
        <v>0</v>
      </c>
      <c r="Z74">
        <v>0</v>
      </c>
      <c r="AA74">
        <v>0</v>
      </c>
      <c r="AB74">
        <v>0</v>
      </c>
      <c r="AC74">
        <v>0</v>
      </c>
      <c r="AD74">
        <v>0</v>
      </c>
      <c r="AE74">
        <v>0</v>
      </c>
      <c r="AF74">
        <v>0</v>
      </c>
      <c r="AG74">
        <v>0</v>
      </c>
      <c r="AH74">
        <v>0</v>
      </c>
      <c r="AI74">
        <v>0</v>
      </c>
      <c r="AJ74">
        <v>0</v>
      </c>
      <c r="AK74">
        <v>0</v>
      </c>
      <c r="AL74">
        <v>0</v>
      </c>
      <c r="AM74">
        <v>0</v>
      </c>
      <c r="AN74">
        <v>45</v>
      </c>
      <c r="AP74" t="s">
        <v>263</v>
      </c>
      <c r="AS74" t="s">
        <v>439</v>
      </c>
      <c r="AV74" t="s">
        <v>263</v>
      </c>
      <c r="AW74" t="s">
        <v>439</v>
      </c>
      <c r="AX74">
        <v>0</v>
      </c>
      <c r="AY74">
        <v>0</v>
      </c>
      <c r="AZ74" t="s">
        <v>233</v>
      </c>
      <c r="BA74" t="s">
        <v>233</v>
      </c>
      <c r="BB74" t="s">
        <v>411</v>
      </c>
      <c r="BC74">
        <v>8</v>
      </c>
      <c r="BD7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74" t="str">
        <f>IF(GetCurrentMonthAging3[[#This Row],[InsGroupPrimary]]="","YES","NO")</f>
        <v>NO</v>
      </c>
      <c r="BF7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75" spans="1:58" x14ac:dyDescent="0.25">
      <c r="A75" t="s">
        <v>100</v>
      </c>
      <c r="B75">
        <v>6</v>
      </c>
      <c r="C75" t="s">
        <v>331</v>
      </c>
      <c r="D75" s="142">
        <v>45199</v>
      </c>
      <c r="E75">
        <v>32798</v>
      </c>
      <c r="F75">
        <v>370706</v>
      </c>
      <c r="G75">
        <v>2758693</v>
      </c>
      <c r="H75" t="b">
        <v>0</v>
      </c>
      <c r="I75">
        <v>3655</v>
      </c>
      <c r="J75" t="s">
        <v>412</v>
      </c>
      <c r="K75">
        <v>90</v>
      </c>
      <c r="L75">
        <v>45</v>
      </c>
      <c r="M75">
        <v>2</v>
      </c>
      <c r="N75">
        <v>0</v>
      </c>
      <c r="O75">
        <v>0</v>
      </c>
      <c r="P75">
        <v>0</v>
      </c>
      <c r="Q75">
        <v>0</v>
      </c>
      <c r="R75">
        <v>0</v>
      </c>
      <c r="T75">
        <v>90</v>
      </c>
      <c r="U75">
        <v>0</v>
      </c>
      <c r="V75">
        <v>0</v>
      </c>
      <c r="W75">
        <v>0</v>
      </c>
      <c r="X75">
        <v>0</v>
      </c>
      <c r="Y75">
        <v>0</v>
      </c>
      <c r="Z75">
        <v>0</v>
      </c>
      <c r="AA75">
        <v>0</v>
      </c>
      <c r="AB75">
        <v>0</v>
      </c>
      <c r="AC75">
        <v>0</v>
      </c>
      <c r="AD75">
        <v>0</v>
      </c>
      <c r="AE75">
        <v>0</v>
      </c>
      <c r="AF75">
        <v>0</v>
      </c>
      <c r="AG75">
        <v>0</v>
      </c>
      <c r="AH75">
        <v>0</v>
      </c>
      <c r="AI75">
        <v>0</v>
      </c>
      <c r="AJ75">
        <v>0</v>
      </c>
      <c r="AK75">
        <v>0</v>
      </c>
      <c r="AL75">
        <v>0</v>
      </c>
      <c r="AM75">
        <v>0</v>
      </c>
      <c r="AN75">
        <v>90</v>
      </c>
      <c r="AP75" t="s">
        <v>263</v>
      </c>
      <c r="AS75" t="s">
        <v>439</v>
      </c>
      <c r="AV75" t="s">
        <v>263</v>
      </c>
      <c r="AW75" t="s">
        <v>439</v>
      </c>
      <c r="AX75">
        <v>0</v>
      </c>
      <c r="AY75">
        <v>0</v>
      </c>
      <c r="AZ75" t="s">
        <v>233</v>
      </c>
      <c r="BA75" t="s">
        <v>233</v>
      </c>
      <c r="BB75" t="s">
        <v>411</v>
      </c>
      <c r="BC75">
        <v>8</v>
      </c>
      <c r="BD7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75" t="str">
        <f>IF(GetCurrentMonthAging3[[#This Row],[InsGroupPrimary]]="","YES","NO")</f>
        <v>NO</v>
      </c>
      <c r="BF7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76" spans="1:58" x14ac:dyDescent="0.25">
      <c r="A76" t="s">
        <v>100</v>
      </c>
      <c r="B76">
        <v>6</v>
      </c>
      <c r="C76" t="s">
        <v>331</v>
      </c>
      <c r="D76" s="142">
        <v>45199</v>
      </c>
      <c r="E76">
        <v>37642</v>
      </c>
      <c r="F76">
        <v>438553</v>
      </c>
      <c r="G76">
        <v>2904135</v>
      </c>
      <c r="H76" t="b">
        <v>0</v>
      </c>
      <c r="I76">
        <v>3496</v>
      </c>
      <c r="J76" t="s">
        <v>419</v>
      </c>
      <c r="K76">
        <v>45</v>
      </c>
      <c r="L76">
        <v>45</v>
      </c>
      <c r="M76">
        <v>1</v>
      </c>
      <c r="N76">
        <v>0</v>
      </c>
      <c r="O76">
        <v>0</v>
      </c>
      <c r="P76">
        <v>0</v>
      </c>
      <c r="Q76">
        <v>0</v>
      </c>
      <c r="R76">
        <v>0</v>
      </c>
      <c r="T76">
        <v>45</v>
      </c>
      <c r="U76">
        <v>0</v>
      </c>
      <c r="V76">
        <v>1</v>
      </c>
      <c r="W76">
        <v>17.77</v>
      </c>
      <c r="X76">
        <v>22.7</v>
      </c>
      <c r="Y76">
        <v>0</v>
      </c>
      <c r="Z76">
        <v>4.53</v>
      </c>
      <c r="AA76">
        <v>1</v>
      </c>
      <c r="AB76">
        <v>35</v>
      </c>
      <c r="AC76">
        <v>0</v>
      </c>
      <c r="AD76">
        <v>0</v>
      </c>
      <c r="AE76">
        <v>0</v>
      </c>
      <c r="AF76">
        <v>0</v>
      </c>
      <c r="AG76">
        <v>0</v>
      </c>
      <c r="AH76">
        <v>0</v>
      </c>
      <c r="AI76">
        <v>0</v>
      </c>
      <c r="AJ76">
        <v>0</v>
      </c>
      <c r="AK76">
        <v>0</v>
      </c>
      <c r="AL76">
        <v>0</v>
      </c>
      <c r="AM76">
        <v>0</v>
      </c>
      <c r="AN76">
        <v>-30.47</v>
      </c>
      <c r="AP76" t="s">
        <v>261</v>
      </c>
      <c r="AQ76" t="s">
        <v>262</v>
      </c>
      <c r="AS76" t="s">
        <v>413</v>
      </c>
      <c r="AT76" t="s">
        <v>424</v>
      </c>
      <c r="AV76" t="s">
        <v>332</v>
      </c>
      <c r="AW76" t="s">
        <v>332</v>
      </c>
      <c r="AX76">
        <v>0</v>
      </c>
      <c r="AY76">
        <v>0</v>
      </c>
      <c r="AZ76" t="s">
        <v>233</v>
      </c>
      <c r="BA76" t="s">
        <v>233</v>
      </c>
      <c r="BB76" t="s">
        <v>411</v>
      </c>
      <c r="BC76">
        <v>8</v>
      </c>
      <c r="BD7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-143.34</v>
      </c>
      <c r="BE76" t="str">
        <f>IF(GetCurrentMonthAging3[[#This Row],[InsGroupPrimary]]="","YES","NO")</f>
        <v>NO</v>
      </c>
      <c r="BF7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-143.34</v>
      </c>
    </row>
    <row r="77" spans="1:58" x14ac:dyDescent="0.25">
      <c r="A77" t="s">
        <v>100</v>
      </c>
      <c r="B77">
        <v>6</v>
      </c>
      <c r="C77" t="s">
        <v>331</v>
      </c>
      <c r="D77" s="142">
        <v>45199</v>
      </c>
      <c r="E77">
        <v>37642</v>
      </c>
      <c r="F77">
        <v>438553</v>
      </c>
      <c r="G77">
        <v>2904136</v>
      </c>
      <c r="H77" t="b">
        <v>0</v>
      </c>
      <c r="I77">
        <v>3496</v>
      </c>
      <c r="J77" t="s">
        <v>412</v>
      </c>
      <c r="K77">
        <v>90</v>
      </c>
      <c r="L77">
        <v>45</v>
      </c>
      <c r="M77">
        <v>2</v>
      </c>
      <c r="N77">
        <v>0</v>
      </c>
      <c r="O77">
        <v>0</v>
      </c>
      <c r="P77">
        <v>0</v>
      </c>
      <c r="Q77">
        <v>0</v>
      </c>
      <c r="R77">
        <v>0</v>
      </c>
      <c r="T77">
        <v>90</v>
      </c>
      <c r="U77">
        <v>0</v>
      </c>
      <c r="V77">
        <v>1</v>
      </c>
      <c r="W77">
        <v>43.66</v>
      </c>
      <c r="X77">
        <v>35.200000000000003</v>
      </c>
      <c r="Y77">
        <v>0</v>
      </c>
      <c r="Z77">
        <v>11.14</v>
      </c>
      <c r="AA77">
        <v>1</v>
      </c>
      <c r="AB77">
        <v>60</v>
      </c>
      <c r="AC77">
        <v>0</v>
      </c>
      <c r="AD77">
        <v>0</v>
      </c>
      <c r="AE77">
        <v>0</v>
      </c>
      <c r="AF77">
        <v>0</v>
      </c>
      <c r="AG77">
        <v>0</v>
      </c>
      <c r="AH77">
        <v>0</v>
      </c>
      <c r="AI77">
        <v>0</v>
      </c>
      <c r="AJ77">
        <v>0</v>
      </c>
      <c r="AK77">
        <v>0</v>
      </c>
      <c r="AL77">
        <v>0</v>
      </c>
      <c r="AM77">
        <v>0</v>
      </c>
      <c r="AN77">
        <v>-48.86</v>
      </c>
      <c r="AP77" t="s">
        <v>261</v>
      </c>
      <c r="AQ77" t="s">
        <v>262</v>
      </c>
      <c r="AS77" t="s">
        <v>413</v>
      </c>
      <c r="AT77" t="s">
        <v>424</v>
      </c>
      <c r="AV77" t="s">
        <v>332</v>
      </c>
      <c r="AW77" t="s">
        <v>332</v>
      </c>
      <c r="AX77">
        <v>0</v>
      </c>
      <c r="AY77">
        <v>0</v>
      </c>
      <c r="AZ77" t="s">
        <v>233</v>
      </c>
      <c r="BA77" t="s">
        <v>233</v>
      </c>
      <c r="BB77" t="s">
        <v>411</v>
      </c>
      <c r="BC77">
        <v>8</v>
      </c>
      <c r="BD7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-143.34</v>
      </c>
      <c r="BE77" t="str">
        <f>IF(GetCurrentMonthAging3[[#This Row],[InsGroupPrimary]]="","YES","NO")</f>
        <v>NO</v>
      </c>
      <c r="BF7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-143.34</v>
      </c>
    </row>
    <row r="78" spans="1:58" x14ac:dyDescent="0.25">
      <c r="A78" t="s">
        <v>100</v>
      </c>
      <c r="B78">
        <v>6</v>
      </c>
      <c r="C78" t="s">
        <v>331</v>
      </c>
      <c r="D78" s="142">
        <v>45199</v>
      </c>
      <c r="E78">
        <v>39104</v>
      </c>
      <c r="F78">
        <v>445428</v>
      </c>
      <c r="G78">
        <v>2955266</v>
      </c>
      <c r="H78" t="b">
        <v>0</v>
      </c>
      <c r="I78">
        <v>3476</v>
      </c>
      <c r="J78" t="s">
        <v>412</v>
      </c>
      <c r="K78">
        <v>135</v>
      </c>
      <c r="L78">
        <v>45</v>
      </c>
      <c r="M78">
        <v>3</v>
      </c>
      <c r="N78">
        <v>0</v>
      </c>
      <c r="O78">
        <v>0</v>
      </c>
      <c r="P78">
        <v>0</v>
      </c>
      <c r="Q78">
        <v>0</v>
      </c>
      <c r="R78">
        <v>0</v>
      </c>
      <c r="T78">
        <v>135</v>
      </c>
      <c r="U78">
        <v>0</v>
      </c>
      <c r="V78">
        <v>1</v>
      </c>
      <c r="W78">
        <v>56.59</v>
      </c>
      <c r="X78">
        <v>63.97</v>
      </c>
      <c r="Y78">
        <v>0</v>
      </c>
      <c r="Z78">
        <v>14.44</v>
      </c>
      <c r="AA78">
        <v>1</v>
      </c>
      <c r="AB78">
        <v>121.5</v>
      </c>
      <c r="AC78">
        <v>0</v>
      </c>
      <c r="AD78">
        <v>0</v>
      </c>
      <c r="AE78">
        <v>0</v>
      </c>
      <c r="AF78">
        <v>0</v>
      </c>
      <c r="AG78">
        <v>0</v>
      </c>
      <c r="AH78">
        <v>0</v>
      </c>
      <c r="AI78">
        <v>0</v>
      </c>
      <c r="AJ78">
        <v>0</v>
      </c>
      <c r="AK78">
        <v>0</v>
      </c>
      <c r="AL78">
        <v>0</v>
      </c>
      <c r="AM78">
        <v>0</v>
      </c>
      <c r="AN78">
        <v>-107.06</v>
      </c>
      <c r="AP78" t="s">
        <v>261</v>
      </c>
      <c r="AQ78" t="s">
        <v>260</v>
      </c>
      <c r="AS78" t="s">
        <v>413</v>
      </c>
      <c r="AT78" t="s">
        <v>415</v>
      </c>
      <c r="AV78" t="s">
        <v>332</v>
      </c>
      <c r="AW78" t="s">
        <v>332</v>
      </c>
      <c r="AX78">
        <v>0</v>
      </c>
      <c r="AY78">
        <v>0</v>
      </c>
      <c r="AZ78" t="s">
        <v>233</v>
      </c>
      <c r="BA78" t="s">
        <v>233</v>
      </c>
      <c r="BB78" t="s">
        <v>411</v>
      </c>
      <c r="BC78">
        <v>8</v>
      </c>
      <c r="BD7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78" t="str">
        <f>IF(GetCurrentMonthAging3[[#This Row],[InsGroupPrimary]]="","YES","NO")</f>
        <v>NO</v>
      </c>
      <c r="BF7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79" spans="1:58" x14ac:dyDescent="0.25">
      <c r="A79" t="s">
        <v>100</v>
      </c>
      <c r="B79">
        <v>6</v>
      </c>
      <c r="C79" t="s">
        <v>331</v>
      </c>
      <c r="D79" s="142">
        <v>45199</v>
      </c>
      <c r="E79">
        <v>37262</v>
      </c>
      <c r="F79">
        <v>450984</v>
      </c>
      <c r="G79">
        <v>2984679</v>
      </c>
      <c r="H79" t="b">
        <v>0</v>
      </c>
      <c r="I79">
        <v>3469</v>
      </c>
      <c r="J79" t="s">
        <v>444</v>
      </c>
      <c r="K79">
        <v>25</v>
      </c>
      <c r="L79">
        <v>25</v>
      </c>
      <c r="M79">
        <v>1</v>
      </c>
      <c r="N79">
        <v>0</v>
      </c>
      <c r="O79">
        <v>0</v>
      </c>
      <c r="P79">
        <v>0</v>
      </c>
      <c r="Q79">
        <v>0</v>
      </c>
      <c r="R79">
        <v>0</v>
      </c>
      <c r="T79">
        <v>25</v>
      </c>
      <c r="U79">
        <v>0</v>
      </c>
      <c r="V79">
        <v>1</v>
      </c>
      <c r="W79">
        <v>8.0500000000000007</v>
      </c>
      <c r="X79">
        <v>14.9</v>
      </c>
      <c r="Y79">
        <v>0</v>
      </c>
      <c r="Z79">
        <v>2.0499999999999998</v>
      </c>
      <c r="AA79">
        <v>2</v>
      </c>
      <c r="AB79">
        <v>4.0999999999999996</v>
      </c>
      <c r="AC79">
        <v>0</v>
      </c>
      <c r="AD79">
        <v>0</v>
      </c>
      <c r="AE79">
        <v>0</v>
      </c>
      <c r="AF79">
        <v>0</v>
      </c>
      <c r="AG79">
        <v>0</v>
      </c>
      <c r="AH79">
        <v>0</v>
      </c>
      <c r="AI79">
        <v>0</v>
      </c>
      <c r="AJ79">
        <v>0</v>
      </c>
      <c r="AK79">
        <v>0</v>
      </c>
      <c r="AL79">
        <v>0</v>
      </c>
      <c r="AM79">
        <v>0</v>
      </c>
      <c r="AN79">
        <v>-2.0499999999999998</v>
      </c>
      <c r="AP79" t="s">
        <v>261</v>
      </c>
      <c r="AQ79" t="s">
        <v>262</v>
      </c>
      <c r="AS79" t="s">
        <v>413</v>
      </c>
      <c r="AT79" t="s">
        <v>441</v>
      </c>
      <c r="AV79" t="s">
        <v>332</v>
      </c>
      <c r="AW79" t="s">
        <v>332</v>
      </c>
      <c r="AX79">
        <v>0</v>
      </c>
      <c r="AY79">
        <v>0</v>
      </c>
      <c r="AZ79" t="s">
        <v>264</v>
      </c>
      <c r="BA79" t="s">
        <v>264</v>
      </c>
      <c r="BB79" t="s">
        <v>411</v>
      </c>
      <c r="BC79">
        <v>8</v>
      </c>
      <c r="BD7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-17.72</v>
      </c>
      <c r="BE79" t="str">
        <f>IF(GetCurrentMonthAging3[[#This Row],[InsGroupPrimary]]="","YES","NO")</f>
        <v>NO</v>
      </c>
      <c r="BF7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-17.72</v>
      </c>
    </row>
    <row r="80" spans="1:58" x14ac:dyDescent="0.25">
      <c r="A80" t="s">
        <v>100</v>
      </c>
      <c r="B80">
        <v>6</v>
      </c>
      <c r="C80" t="s">
        <v>331</v>
      </c>
      <c r="D80" s="142">
        <v>45199</v>
      </c>
      <c r="E80">
        <v>37262</v>
      </c>
      <c r="F80">
        <v>450984</v>
      </c>
      <c r="G80">
        <v>2984681</v>
      </c>
      <c r="H80" t="b">
        <v>0</v>
      </c>
      <c r="I80">
        <v>3469</v>
      </c>
      <c r="J80" t="s">
        <v>419</v>
      </c>
      <c r="K80">
        <v>45</v>
      </c>
      <c r="L80">
        <v>45</v>
      </c>
      <c r="M80">
        <v>1</v>
      </c>
      <c r="N80">
        <v>0</v>
      </c>
      <c r="O80">
        <v>0</v>
      </c>
      <c r="P80">
        <v>0</v>
      </c>
      <c r="Q80">
        <v>0</v>
      </c>
      <c r="R80">
        <v>0</v>
      </c>
      <c r="T80">
        <v>45</v>
      </c>
      <c r="U80">
        <v>0</v>
      </c>
      <c r="V80">
        <v>1</v>
      </c>
      <c r="W80">
        <v>17.77</v>
      </c>
      <c r="X80">
        <v>22.7</v>
      </c>
      <c r="Y80">
        <v>0</v>
      </c>
      <c r="Z80">
        <v>4.53</v>
      </c>
      <c r="AA80">
        <v>2</v>
      </c>
      <c r="AB80">
        <v>9.06</v>
      </c>
      <c r="AC80">
        <v>0</v>
      </c>
      <c r="AD80">
        <v>0</v>
      </c>
      <c r="AE80">
        <v>0</v>
      </c>
      <c r="AF80">
        <v>0</v>
      </c>
      <c r="AG80">
        <v>0</v>
      </c>
      <c r="AH80">
        <v>0</v>
      </c>
      <c r="AI80">
        <v>0</v>
      </c>
      <c r="AJ80">
        <v>0</v>
      </c>
      <c r="AK80">
        <v>0</v>
      </c>
      <c r="AL80">
        <v>0</v>
      </c>
      <c r="AM80">
        <v>0</v>
      </c>
      <c r="AN80">
        <v>-4.53</v>
      </c>
      <c r="AP80" t="s">
        <v>261</v>
      </c>
      <c r="AQ80" t="s">
        <v>262</v>
      </c>
      <c r="AS80" t="s">
        <v>413</v>
      </c>
      <c r="AT80" t="s">
        <v>441</v>
      </c>
      <c r="AV80" t="s">
        <v>332</v>
      </c>
      <c r="AW80" t="s">
        <v>332</v>
      </c>
      <c r="AX80">
        <v>0</v>
      </c>
      <c r="AY80">
        <v>0</v>
      </c>
      <c r="AZ80" t="s">
        <v>264</v>
      </c>
      <c r="BA80" t="s">
        <v>264</v>
      </c>
      <c r="BB80" t="s">
        <v>411</v>
      </c>
      <c r="BC80">
        <v>8</v>
      </c>
      <c r="BD8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-17.72</v>
      </c>
      <c r="BE80" t="str">
        <f>IF(GetCurrentMonthAging3[[#This Row],[InsGroupPrimary]]="","YES","NO")</f>
        <v>NO</v>
      </c>
      <c r="BF8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-17.72</v>
      </c>
    </row>
    <row r="81" spans="1:58" x14ac:dyDescent="0.25">
      <c r="A81" t="s">
        <v>100</v>
      </c>
      <c r="B81">
        <v>6</v>
      </c>
      <c r="C81" t="s">
        <v>331</v>
      </c>
      <c r="D81" s="142">
        <v>45199</v>
      </c>
      <c r="E81">
        <v>39104</v>
      </c>
      <c r="F81">
        <v>451584</v>
      </c>
      <c r="G81">
        <v>2996307</v>
      </c>
      <c r="H81" t="b">
        <v>0</v>
      </c>
      <c r="I81">
        <v>3466</v>
      </c>
      <c r="J81" t="s">
        <v>412</v>
      </c>
      <c r="K81">
        <v>45</v>
      </c>
      <c r="L81">
        <v>45</v>
      </c>
      <c r="M81">
        <v>1</v>
      </c>
      <c r="N81">
        <v>0</v>
      </c>
      <c r="O81">
        <v>0</v>
      </c>
      <c r="P81">
        <v>0</v>
      </c>
      <c r="Q81">
        <v>0</v>
      </c>
      <c r="R81">
        <v>0</v>
      </c>
      <c r="T81">
        <v>45</v>
      </c>
      <c r="U81">
        <v>0</v>
      </c>
      <c r="V81">
        <v>1</v>
      </c>
      <c r="W81">
        <v>18.86</v>
      </c>
      <c r="X81">
        <v>21.33</v>
      </c>
      <c r="Y81">
        <v>0</v>
      </c>
      <c r="Z81">
        <v>4.8099999999999996</v>
      </c>
      <c r="AA81">
        <v>1</v>
      </c>
      <c r="AB81">
        <v>40.5</v>
      </c>
      <c r="AC81">
        <v>0</v>
      </c>
      <c r="AD81">
        <v>0</v>
      </c>
      <c r="AE81">
        <v>0</v>
      </c>
      <c r="AF81">
        <v>0</v>
      </c>
      <c r="AG81">
        <v>0</v>
      </c>
      <c r="AH81">
        <v>0</v>
      </c>
      <c r="AI81">
        <v>0</v>
      </c>
      <c r="AJ81">
        <v>0</v>
      </c>
      <c r="AK81">
        <v>0</v>
      </c>
      <c r="AL81">
        <v>0</v>
      </c>
      <c r="AM81">
        <v>0</v>
      </c>
      <c r="AN81">
        <v>-35.69</v>
      </c>
      <c r="AP81" t="s">
        <v>261</v>
      </c>
      <c r="AQ81" t="s">
        <v>260</v>
      </c>
      <c r="AS81" t="s">
        <v>413</v>
      </c>
      <c r="AT81" t="s">
        <v>415</v>
      </c>
      <c r="AV81" t="s">
        <v>332</v>
      </c>
      <c r="AW81" t="s">
        <v>332</v>
      </c>
      <c r="AX81">
        <v>0</v>
      </c>
      <c r="AY81">
        <v>0</v>
      </c>
      <c r="AZ81" t="s">
        <v>233</v>
      </c>
      <c r="BA81" t="s">
        <v>233</v>
      </c>
      <c r="BB81" t="s">
        <v>411</v>
      </c>
      <c r="BC81">
        <v>8</v>
      </c>
      <c r="BD8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81" t="str">
        <f>IF(GetCurrentMonthAging3[[#This Row],[InsGroupPrimary]]="","YES","NO")</f>
        <v>NO</v>
      </c>
      <c r="BF8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82" spans="1:58" x14ac:dyDescent="0.25">
      <c r="A82" t="s">
        <v>100</v>
      </c>
      <c r="B82">
        <v>6</v>
      </c>
      <c r="C82" t="s">
        <v>331</v>
      </c>
      <c r="D82" s="142">
        <v>45199</v>
      </c>
      <c r="E82">
        <v>39104</v>
      </c>
      <c r="F82">
        <v>451584</v>
      </c>
      <c r="G82">
        <v>2996308</v>
      </c>
      <c r="H82" t="b">
        <v>0</v>
      </c>
      <c r="I82">
        <v>3466</v>
      </c>
      <c r="J82" t="s">
        <v>416</v>
      </c>
      <c r="K82">
        <v>135</v>
      </c>
      <c r="L82">
        <v>45</v>
      </c>
      <c r="M82">
        <v>3</v>
      </c>
      <c r="N82">
        <v>0</v>
      </c>
      <c r="O82">
        <v>0</v>
      </c>
      <c r="P82">
        <v>0</v>
      </c>
      <c r="Q82">
        <v>0</v>
      </c>
      <c r="R82">
        <v>0</v>
      </c>
      <c r="T82">
        <v>135</v>
      </c>
      <c r="U82">
        <v>0</v>
      </c>
      <c r="V82">
        <v>1</v>
      </c>
      <c r="W82">
        <v>64.680000000000007</v>
      </c>
      <c r="X82">
        <v>53.82</v>
      </c>
      <c r="Y82">
        <v>0</v>
      </c>
      <c r="Z82">
        <v>16.5</v>
      </c>
      <c r="AA82">
        <v>1</v>
      </c>
      <c r="AB82">
        <v>121.5</v>
      </c>
      <c r="AC82">
        <v>0</v>
      </c>
      <c r="AD82">
        <v>0</v>
      </c>
      <c r="AE82">
        <v>0</v>
      </c>
      <c r="AF82">
        <v>0</v>
      </c>
      <c r="AG82">
        <v>0</v>
      </c>
      <c r="AH82">
        <v>0</v>
      </c>
      <c r="AI82">
        <v>0</v>
      </c>
      <c r="AJ82">
        <v>0</v>
      </c>
      <c r="AK82">
        <v>0</v>
      </c>
      <c r="AL82">
        <v>0</v>
      </c>
      <c r="AM82">
        <v>0</v>
      </c>
      <c r="AN82">
        <v>-105</v>
      </c>
      <c r="AP82" t="s">
        <v>261</v>
      </c>
      <c r="AQ82" t="s">
        <v>260</v>
      </c>
      <c r="AS82" t="s">
        <v>413</v>
      </c>
      <c r="AT82" t="s">
        <v>415</v>
      </c>
      <c r="AV82" t="s">
        <v>332</v>
      </c>
      <c r="AW82" t="s">
        <v>332</v>
      </c>
      <c r="AX82">
        <v>0</v>
      </c>
      <c r="AY82">
        <v>0</v>
      </c>
      <c r="AZ82" t="s">
        <v>233</v>
      </c>
      <c r="BA82" t="s">
        <v>233</v>
      </c>
      <c r="BB82" t="s">
        <v>411</v>
      </c>
      <c r="BC82">
        <v>8</v>
      </c>
      <c r="BD8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82" t="str">
        <f>IF(GetCurrentMonthAging3[[#This Row],[InsGroupPrimary]]="","YES","NO")</f>
        <v>NO</v>
      </c>
      <c r="BF8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83" spans="1:58" x14ac:dyDescent="0.25">
      <c r="A83" t="s">
        <v>100</v>
      </c>
      <c r="B83">
        <v>6</v>
      </c>
      <c r="C83" t="s">
        <v>331</v>
      </c>
      <c r="D83" s="142">
        <v>45199</v>
      </c>
      <c r="E83">
        <v>37642</v>
      </c>
      <c r="F83">
        <v>444018</v>
      </c>
      <c r="G83">
        <v>2947292</v>
      </c>
      <c r="H83" t="b">
        <v>0</v>
      </c>
      <c r="I83">
        <v>3481</v>
      </c>
      <c r="J83" t="s">
        <v>440</v>
      </c>
      <c r="K83">
        <v>25</v>
      </c>
      <c r="L83">
        <v>25</v>
      </c>
      <c r="M83">
        <v>1</v>
      </c>
      <c r="N83">
        <v>0</v>
      </c>
      <c r="O83">
        <v>0</v>
      </c>
      <c r="P83">
        <v>0</v>
      </c>
      <c r="Q83">
        <v>0</v>
      </c>
      <c r="R83">
        <v>0</v>
      </c>
      <c r="T83">
        <v>25</v>
      </c>
      <c r="U83">
        <v>0</v>
      </c>
      <c r="V83">
        <v>1</v>
      </c>
      <c r="W83">
        <v>9.8800000000000008</v>
      </c>
      <c r="X83">
        <v>12.6</v>
      </c>
      <c r="Y83">
        <v>0</v>
      </c>
      <c r="Z83">
        <v>2.52</v>
      </c>
      <c r="AA83">
        <v>0</v>
      </c>
      <c r="AB83">
        <v>0</v>
      </c>
      <c r="AC83">
        <v>0</v>
      </c>
      <c r="AD83">
        <v>0</v>
      </c>
      <c r="AE83">
        <v>0</v>
      </c>
      <c r="AF83">
        <v>0</v>
      </c>
      <c r="AG83">
        <v>0</v>
      </c>
      <c r="AH83">
        <v>0</v>
      </c>
      <c r="AI83">
        <v>0</v>
      </c>
      <c r="AJ83">
        <v>0</v>
      </c>
      <c r="AK83">
        <v>0</v>
      </c>
      <c r="AL83">
        <v>0</v>
      </c>
      <c r="AM83">
        <v>0</v>
      </c>
      <c r="AN83">
        <v>2.52</v>
      </c>
      <c r="AP83" t="s">
        <v>261</v>
      </c>
      <c r="AQ83" t="s">
        <v>262</v>
      </c>
      <c r="AS83" t="s">
        <v>413</v>
      </c>
      <c r="AT83" t="s">
        <v>424</v>
      </c>
      <c r="AV83" t="s">
        <v>262</v>
      </c>
      <c r="AW83" t="s">
        <v>424</v>
      </c>
      <c r="AX83">
        <v>0</v>
      </c>
      <c r="AY83">
        <v>0</v>
      </c>
      <c r="AZ83" t="s">
        <v>233</v>
      </c>
      <c r="BA83" t="s">
        <v>233</v>
      </c>
      <c r="BB83" t="s">
        <v>411</v>
      </c>
      <c r="BC83">
        <v>8</v>
      </c>
      <c r="BD8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-143.34</v>
      </c>
      <c r="BE83" t="str">
        <f>IF(GetCurrentMonthAging3[[#This Row],[InsGroupPrimary]]="","YES","NO")</f>
        <v>NO</v>
      </c>
      <c r="BF8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-143.34</v>
      </c>
    </row>
    <row r="84" spans="1:58" x14ac:dyDescent="0.25">
      <c r="A84" t="s">
        <v>100</v>
      </c>
      <c r="B84">
        <v>6</v>
      </c>
      <c r="C84" t="s">
        <v>331</v>
      </c>
      <c r="D84" s="142">
        <v>45199</v>
      </c>
      <c r="E84">
        <v>39104</v>
      </c>
      <c r="F84">
        <v>445428</v>
      </c>
      <c r="G84">
        <v>2955267</v>
      </c>
      <c r="H84" t="b">
        <v>0</v>
      </c>
      <c r="I84">
        <v>3476</v>
      </c>
      <c r="J84" t="s">
        <v>416</v>
      </c>
      <c r="K84">
        <v>45</v>
      </c>
      <c r="L84">
        <v>45</v>
      </c>
      <c r="M84">
        <v>1</v>
      </c>
      <c r="N84">
        <v>0</v>
      </c>
      <c r="O84">
        <v>0</v>
      </c>
      <c r="P84">
        <v>0</v>
      </c>
      <c r="Q84">
        <v>0</v>
      </c>
      <c r="R84">
        <v>0</v>
      </c>
      <c r="T84">
        <v>45</v>
      </c>
      <c r="U84">
        <v>0</v>
      </c>
      <c r="V84">
        <v>1</v>
      </c>
      <c r="W84">
        <v>25.87</v>
      </c>
      <c r="X84">
        <v>12.53</v>
      </c>
      <c r="Y84">
        <v>0</v>
      </c>
      <c r="Z84">
        <v>6.6</v>
      </c>
      <c r="AA84">
        <v>1</v>
      </c>
      <c r="AB84">
        <v>40.5</v>
      </c>
      <c r="AC84">
        <v>0</v>
      </c>
      <c r="AD84">
        <v>0</v>
      </c>
      <c r="AE84">
        <v>0</v>
      </c>
      <c r="AF84">
        <v>0</v>
      </c>
      <c r="AG84">
        <v>0</v>
      </c>
      <c r="AH84">
        <v>0</v>
      </c>
      <c r="AI84">
        <v>0</v>
      </c>
      <c r="AJ84">
        <v>0</v>
      </c>
      <c r="AK84">
        <v>0</v>
      </c>
      <c r="AL84">
        <v>0</v>
      </c>
      <c r="AM84">
        <v>0</v>
      </c>
      <c r="AN84">
        <v>-33.9</v>
      </c>
      <c r="AP84" t="s">
        <v>261</v>
      </c>
      <c r="AQ84" t="s">
        <v>260</v>
      </c>
      <c r="AS84" t="s">
        <v>413</v>
      </c>
      <c r="AT84" t="s">
        <v>415</v>
      </c>
      <c r="AV84" t="s">
        <v>332</v>
      </c>
      <c r="AW84" t="s">
        <v>332</v>
      </c>
      <c r="AX84">
        <v>0</v>
      </c>
      <c r="AY84">
        <v>0</v>
      </c>
      <c r="AZ84" t="s">
        <v>233</v>
      </c>
      <c r="BA84" t="s">
        <v>233</v>
      </c>
      <c r="BB84" t="s">
        <v>411</v>
      </c>
      <c r="BC84">
        <v>8</v>
      </c>
      <c r="BD8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84" t="str">
        <f>IF(GetCurrentMonthAging3[[#This Row],[InsGroupPrimary]]="","YES","NO")</f>
        <v>NO</v>
      </c>
      <c r="BF8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85" spans="1:58" x14ac:dyDescent="0.25">
      <c r="A85" t="s">
        <v>100</v>
      </c>
      <c r="B85">
        <v>6</v>
      </c>
      <c r="C85" t="s">
        <v>331</v>
      </c>
      <c r="D85" s="142">
        <v>45199</v>
      </c>
      <c r="E85">
        <v>40692</v>
      </c>
      <c r="F85">
        <v>459636</v>
      </c>
      <c r="G85">
        <v>3022356</v>
      </c>
      <c r="H85" t="b">
        <v>0</v>
      </c>
      <c r="I85">
        <v>3452</v>
      </c>
      <c r="J85" t="s">
        <v>419</v>
      </c>
      <c r="K85">
        <v>45</v>
      </c>
      <c r="L85">
        <v>45</v>
      </c>
      <c r="M85">
        <v>1</v>
      </c>
      <c r="N85">
        <v>0</v>
      </c>
      <c r="O85">
        <v>45</v>
      </c>
      <c r="P85">
        <v>45</v>
      </c>
      <c r="Q85">
        <v>0</v>
      </c>
      <c r="R85">
        <v>0</v>
      </c>
      <c r="T85">
        <v>45</v>
      </c>
      <c r="U85">
        <v>0</v>
      </c>
      <c r="V85">
        <v>0</v>
      </c>
      <c r="W85">
        <v>0</v>
      </c>
      <c r="X85">
        <v>0</v>
      </c>
      <c r="Y85">
        <v>0</v>
      </c>
      <c r="Z85">
        <v>0</v>
      </c>
      <c r="AA85">
        <v>0</v>
      </c>
      <c r="AB85">
        <v>0</v>
      </c>
      <c r="AC85">
        <v>0</v>
      </c>
      <c r="AD85">
        <v>0</v>
      </c>
      <c r="AE85">
        <v>0</v>
      </c>
      <c r="AF85">
        <v>0</v>
      </c>
      <c r="AG85">
        <v>0</v>
      </c>
      <c r="AH85">
        <v>0</v>
      </c>
      <c r="AI85">
        <v>0</v>
      </c>
      <c r="AJ85">
        <v>0</v>
      </c>
      <c r="AK85">
        <v>22.3</v>
      </c>
      <c r="AL85">
        <v>2</v>
      </c>
      <c r="AM85">
        <v>0</v>
      </c>
      <c r="AN85">
        <v>-22.3</v>
      </c>
      <c r="AP85" t="s">
        <v>259</v>
      </c>
      <c r="AS85" t="s">
        <v>420</v>
      </c>
      <c r="AV85" t="s">
        <v>259</v>
      </c>
      <c r="AW85" t="s">
        <v>420</v>
      </c>
      <c r="AX85">
        <v>0</v>
      </c>
      <c r="AY85">
        <v>0</v>
      </c>
      <c r="AZ85" t="s">
        <v>264</v>
      </c>
      <c r="BA85" t="s">
        <v>264</v>
      </c>
      <c r="BB85" t="s">
        <v>411</v>
      </c>
      <c r="BC85">
        <v>8</v>
      </c>
      <c r="BD8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85" t="str">
        <f>IF(GetCurrentMonthAging3[[#This Row],[InsGroupPrimary]]="","YES","NO")</f>
        <v>NO</v>
      </c>
      <c r="BF8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86" spans="1:58" x14ac:dyDescent="0.25">
      <c r="A86" t="s">
        <v>100</v>
      </c>
      <c r="B86">
        <v>6</v>
      </c>
      <c r="C86" t="s">
        <v>331</v>
      </c>
      <c r="D86" s="142">
        <v>45199</v>
      </c>
      <c r="E86">
        <v>40692</v>
      </c>
      <c r="F86">
        <v>459636</v>
      </c>
      <c r="G86">
        <v>3022357</v>
      </c>
      <c r="H86" t="b">
        <v>0</v>
      </c>
      <c r="I86">
        <v>3452</v>
      </c>
      <c r="J86" t="s">
        <v>412</v>
      </c>
      <c r="K86">
        <v>45</v>
      </c>
      <c r="L86">
        <v>45</v>
      </c>
      <c r="M86">
        <v>1</v>
      </c>
      <c r="N86">
        <v>0</v>
      </c>
      <c r="O86">
        <v>45</v>
      </c>
      <c r="P86">
        <v>45</v>
      </c>
      <c r="Q86">
        <v>0</v>
      </c>
      <c r="R86">
        <v>0</v>
      </c>
      <c r="T86">
        <v>45</v>
      </c>
      <c r="U86">
        <v>0</v>
      </c>
      <c r="V86">
        <v>0</v>
      </c>
      <c r="W86">
        <v>0</v>
      </c>
      <c r="X86">
        <v>0</v>
      </c>
      <c r="Y86">
        <v>0</v>
      </c>
      <c r="Z86">
        <v>0</v>
      </c>
      <c r="AA86">
        <v>0</v>
      </c>
      <c r="AB86">
        <v>0</v>
      </c>
      <c r="AC86">
        <v>0</v>
      </c>
      <c r="AD86">
        <v>0</v>
      </c>
      <c r="AE86">
        <v>0</v>
      </c>
      <c r="AF86">
        <v>0</v>
      </c>
      <c r="AG86">
        <v>0</v>
      </c>
      <c r="AH86">
        <v>0</v>
      </c>
      <c r="AI86">
        <v>0</v>
      </c>
      <c r="AJ86">
        <v>0</v>
      </c>
      <c r="AK86">
        <v>31.12</v>
      </c>
      <c r="AL86">
        <v>2</v>
      </c>
      <c r="AM86">
        <v>0</v>
      </c>
      <c r="AN86">
        <v>-31.12</v>
      </c>
      <c r="AP86" t="s">
        <v>259</v>
      </c>
      <c r="AS86" t="s">
        <v>420</v>
      </c>
      <c r="AV86" t="s">
        <v>259</v>
      </c>
      <c r="AW86" t="s">
        <v>420</v>
      </c>
      <c r="AX86">
        <v>0</v>
      </c>
      <c r="AY86">
        <v>0</v>
      </c>
      <c r="AZ86" t="s">
        <v>264</v>
      </c>
      <c r="BA86" t="s">
        <v>264</v>
      </c>
      <c r="BB86" t="s">
        <v>411</v>
      </c>
      <c r="BC86">
        <v>8</v>
      </c>
      <c r="BD8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86" t="str">
        <f>IF(GetCurrentMonthAging3[[#This Row],[InsGroupPrimary]]="","YES","NO")</f>
        <v>NO</v>
      </c>
      <c r="BF8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87" spans="1:58" x14ac:dyDescent="0.25">
      <c r="A87" t="s">
        <v>100</v>
      </c>
      <c r="B87">
        <v>6</v>
      </c>
      <c r="C87" t="s">
        <v>331</v>
      </c>
      <c r="D87" s="142">
        <v>45199</v>
      </c>
      <c r="E87">
        <v>40792</v>
      </c>
      <c r="F87">
        <v>460570</v>
      </c>
      <c r="G87">
        <v>3022595</v>
      </c>
      <c r="H87" t="b">
        <v>0</v>
      </c>
      <c r="I87">
        <v>3452</v>
      </c>
      <c r="J87" t="s">
        <v>422</v>
      </c>
      <c r="K87">
        <v>90</v>
      </c>
      <c r="L87">
        <v>90</v>
      </c>
      <c r="M87">
        <v>1</v>
      </c>
      <c r="N87">
        <v>0</v>
      </c>
      <c r="O87">
        <v>0</v>
      </c>
      <c r="P87">
        <v>0</v>
      </c>
      <c r="Q87">
        <v>0</v>
      </c>
      <c r="R87">
        <v>0</v>
      </c>
      <c r="T87">
        <v>90</v>
      </c>
      <c r="U87">
        <v>0</v>
      </c>
      <c r="V87">
        <v>1</v>
      </c>
      <c r="W87">
        <v>58.62</v>
      </c>
      <c r="X87">
        <v>16.420000000000002</v>
      </c>
      <c r="Y87">
        <v>0</v>
      </c>
      <c r="Z87">
        <v>14.96</v>
      </c>
      <c r="AA87">
        <v>1</v>
      </c>
      <c r="AB87">
        <v>45.79</v>
      </c>
      <c r="AC87">
        <v>0</v>
      </c>
      <c r="AD87">
        <v>0</v>
      </c>
      <c r="AE87">
        <v>0</v>
      </c>
      <c r="AF87">
        <v>0</v>
      </c>
      <c r="AG87">
        <v>0</v>
      </c>
      <c r="AH87">
        <v>0</v>
      </c>
      <c r="AI87">
        <v>0</v>
      </c>
      <c r="AJ87">
        <v>0</v>
      </c>
      <c r="AK87">
        <v>0</v>
      </c>
      <c r="AL87">
        <v>0</v>
      </c>
      <c r="AM87">
        <v>0</v>
      </c>
      <c r="AN87">
        <v>-30.83</v>
      </c>
      <c r="AP87" t="s">
        <v>261</v>
      </c>
      <c r="AQ87" t="s">
        <v>260</v>
      </c>
      <c r="AS87" t="s">
        <v>413</v>
      </c>
      <c r="AT87" t="s">
        <v>418</v>
      </c>
      <c r="AV87" t="s">
        <v>332</v>
      </c>
      <c r="AW87" t="s">
        <v>332</v>
      </c>
      <c r="AX87">
        <v>0</v>
      </c>
      <c r="AY87">
        <v>0</v>
      </c>
      <c r="AZ87" t="s">
        <v>233</v>
      </c>
      <c r="BA87" t="s">
        <v>233</v>
      </c>
      <c r="BB87" t="s">
        <v>411</v>
      </c>
      <c r="BC87">
        <v>8</v>
      </c>
      <c r="BD8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87" t="str">
        <f>IF(GetCurrentMonthAging3[[#This Row],[InsGroupPrimary]]="","YES","NO")</f>
        <v>NO</v>
      </c>
      <c r="BF8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88" spans="1:58" x14ac:dyDescent="0.25">
      <c r="A88" t="s">
        <v>100</v>
      </c>
      <c r="B88">
        <v>6</v>
      </c>
      <c r="C88" t="s">
        <v>331</v>
      </c>
      <c r="D88" s="142">
        <v>45199</v>
      </c>
      <c r="E88">
        <v>40692</v>
      </c>
      <c r="F88">
        <v>467604</v>
      </c>
      <c r="G88">
        <v>3079771</v>
      </c>
      <c r="H88" t="b">
        <v>0</v>
      </c>
      <c r="I88">
        <v>3431</v>
      </c>
      <c r="J88" t="s">
        <v>421</v>
      </c>
      <c r="K88">
        <v>30</v>
      </c>
      <c r="L88">
        <v>30</v>
      </c>
      <c r="M88">
        <v>1</v>
      </c>
      <c r="N88">
        <v>0</v>
      </c>
      <c r="O88">
        <v>30</v>
      </c>
      <c r="P88">
        <v>0</v>
      </c>
      <c r="Q88">
        <v>0</v>
      </c>
      <c r="R88">
        <v>30</v>
      </c>
      <c r="T88">
        <v>30</v>
      </c>
      <c r="U88">
        <v>0</v>
      </c>
      <c r="V88">
        <v>0</v>
      </c>
      <c r="W88">
        <v>0</v>
      </c>
      <c r="X88">
        <v>0</v>
      </c>
      <c r="Y88">
        <v>0</v>
      </c>
      <c r="Z88">
        <v>0</v>
      </c>
      <c r="AA88">
        <v>0</v>
      </c>
      <c r="AB88">
        <v>0</v>
      </c>
      <c r="AC88">
        <v>0</v>
      </c>
      <c r="AD88">
        <v>0</v>
      </c>
      <c r="AE88">
        <v>0</v>
      </c>
      <c r="AF88">
        <v>0</v>
      </c>
      <c r="AG88">
        <v>0</v>
      </c>
      <c r="AH88">
        <v>0</v>
      </c>
      <c r="AI88">
        <v>0</v>
      </c>
      <c r="AJ88">
        <v>0</v>
      </c>
      <c r="AK88">
        <v>10.14</v>
      </c>
      <c r="AL88">
        <v>2</v>
      </c>
      <c r="AM88">
        <v>0</v>
      </c>
      <c r="AN88">
        <v>-10.14</v>
      </c>
      <c r="AP88" t="s">
        <v>259</v>
      </c>
      <c r="AS88" t="s">
        <v>420</v>
      </c>
      <c r="AV88" t="s">
        <v>259</v>
      </c>
      <c r="AW88" t="s">
        <v>420</v>
      </c>
      <c r="AX88">
        <v>0</v>
      </c>
      <c r="AY88">
        <v>0</v>
      </c>
      <c r="AZ88" t="s">
        <v>264</v>
      </c>
      <c r="BA88" t="s">
        <v>264</v>
      </c>
      <c r="BB88" t="s">
        <v>411</v>
      </c>
      <c r="BC88">
        <v>8</v>
      </c>
      <c r="BD8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88" t="str">
        <f>IF(GetCurrentMonthAging3[[#This Row],[InsGroupPrimary]]="","YES","NO")</f>
        <v>NO</v>
      </c>
      <c r="BF8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89" spans="1:58" x14ac:dyDescent="0.25">
      <c r="A89" t="s">
        <v>100</v>
      </c>
      <c r="B89">
        <v>6</v>
      </c>
      <c r="C89" t="s">
        <v>331</v>
      </c>
      <c r="D89" s="142">
        <v>45199</v>
      </c>
      <c r="E89">
        <v>40792</v>
      </c>
      <c r="F89">
        <v>460570</v>
      </c>
      <c r="G89">
        <v>3022596</v>
      </c>
      <c r="H89" t="b">
        <v>0</v>
      </c>
      <c r="I89">
        <v>3452</v>
      </c>
      <c r="J89" t="s">
        <v>409</v>
      </c>
      <c r="K89">
        <v>30</v>
      </c>
      <c r="L89">
        <v>30</v>
      </c>
      <c r="M89">
        <v>1</v>
      </c>
      <c r="N89">
        <v>0</v>
      </c>
      <c r="O89">
        <v>0</v>
      </c>
      <c r="P89">
        <v>0</v>
      </c>
      <c r="Q89">
        <v>0</v>
      </c>
      <c r="R89">
        <v>0</v>
      </c>
      <c r="T89">
        <v>30</v>
      </c>
      <c r="U89">
        <v>0</v>
      </c>
      <c r="V89">
        <v>1</v>
      </c>
      <c r="W89">
        <v>8.0500000000000007</v>
      </c>
      <c r="X89">
        <v>19.899999999999999</v>
      </c>
      <c r="Y89">
        <v>0</v>
      </c>
      <c r="Z89">
        <v>2.0499999999999998</v>
      </c>
      <c r="AA89">
        <v>1</v>
      </c>
      <c r="AB89">
        <v>9.19</v>
      </c>
      <c r="AC89">
        <v>0</v>
      </c>
      <c r="AD89">
        <v>0</v>
      </c>
      <c r="AE89">
        <v>0</v>
      </c>
      <c r="AF89">
        <v>0</v>
      </c>
      <c r="AG89">
        <v>0</v>
      </c>
      <c r="AH89">
        <v>0</v>
      </c>
      <c r="AI89">
        <v>0</v>
      </c>
      <c r="AJ89">
        <v>0</v>
      </c>
      <c r="AK89">
        <v>0</v>
      </c>
      <c r="AL89">
        <v>0</v>
      </c>
      <c r="AM89">
        <v>0</v>
      </c>
      <c r="AN89">
        <v>-7.14</v>
      </c>
      <c r="AP89" t="s">
        <v>261</v>
      </c>
      <c r="AQ89" t="s">
        <v>260</v>
      </c>
      <c r="AS89" t="s">
        <v>413</v>
      </c>
      <c r="AT89" t="s">
        <v>418</v>
      </c>
      <c r="AV89" t="s">
        <v>332</v>
      </c>
      <c r="AW89" t="s">
        <v>332</v>
      </c>
      <c r="AX89">
        <v>0</v>
      </c>
      <c r="AY89">
        <v>0</v>
      </c>
      <c r="AZ89" t="s">
        <v>233</v>
      </c>
      <c r="BA89" t="s">
        <v>233</v>
      </c>
      <c r="BB89" t="s">
        <v>411</v>
      </c>
      <c r="BC89">
        <v>8</v>
      </c>
      <c r="BD8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89" t="str">
        <f>IF(GetCurrentMonthAging3[[#This Row],[InsGroupPrimary]]="","YES","NO")</f>
        <v>NO</v>
      </c>
      <c r="BF8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90" spans="1:58" x14ac:dyDescent="0.25">
      <c r="A90" t="s">
        <v>100</v>
      </c>
      <c r="B90">
        <v>6</v>
      </c>
      <c r="C90" t="s">
        <v>331</v>
      </c>
      <c r="D90" s="142">
        <v>45199</v>
      </c>
      <c r="E90">
        <v>40792</v>
      </c>
      <c r="F90">
        <v>460570</v>
      </c>
      <c r="G90">
        <v>3022598</v>
      </c>
      <c r="H90" t="b">
        <v>0</v>
      </c>
      <c r="I90">
        <v>3452</v>
      </c>
      <c r="J90" t="s">
        <v>412</v>
      </c>
      <c r="K90">
        <v>45</v>
      </c>
      <c r="L90">
        <v>45</v>
      </c>
      <c r="M90">
        <v>1</v>
      </c>
      <c r="N90">
        <v>0</v>
      </c>
      <c r="O90">
        <v>0</v>
      </c>
      <c r="P90">
        <v>0</v>
      </c>
      <c r="Q90">
        <v>0</v>
      </c>
      <c r="R90">
        <v>0</v>
      </c>
      <c r="T90">
        <v>45</v>
      </c>
      <c r="U90">
        <v>0</v>
      </c>
      <c r="V90">
        <v>1</v>
      </c>
      <c r="W90">
        <v>18.86</v>
      </c>
      <c r="X90">
        <v>21.33</v>
      </c>
      <c r="Y90">
        <v>0</v>
      </c>
      <c r="Z90">
        <v>4.8099999999999996</v>
      </c>
      <c r="AA90">
        <v>1</v>
      </c>
      <c r="AB90">
        <v>18.47</v>
      </c>
      <c r="AC90">
        <v>0</v>
      </c>
      <c r="AD90">
        <v>0</v>
      </c>
      <c r="AE90">
        <v>0</v>
      </c>
      <c r="AF90">
        <v>0</v>
      </c>
      <c r="AG90">
        <v>0</v>
      </c>
      <c r="AH90">
        <v>0</v>
      </c>
      <c r="AI90">
        <v>0</v>
      </c>
      <c r="AJ90">
        <v>0</v>
      </c>
      <c r="AK90">
        <v>0</v>
      </c>
      <c r="AL90">
        <v>0</v>
      </c>
      <c r="AM90">
        <v>0</v>
      </c>
      <c r="AN90">
        <v>-13.66</v>
      </c>
      <c r="AP90" t="s">
        <v>261</v>
      </c>
      <c r="AQ90" t="s">
        <v>260</v>
      </c>
      <c r="AS90" t="s">
        <v>413</v>
      </c>
      <c r="AT90" t="s">
        <v>418</v>
      </c>
      <c r="AV90" t="s">
        <v>332</v>
      </c>
      <c r="AW90" t="s">
        <v>332</v>
      </c>
      <c r="AX90">
        <v>0</v>
      </c>
      <c r="AY90">
        <v>0</v>
      </c>
      <c r="AZ90" t="s">
        <v>233</v>
      </c>
      <c r="BA90" t="s">
        <v>233</v>
      </c>
      <c r="BB90" t="s">
        <v>411</v>
      </c>
      <c r="BC90">
        <v>8</v>
      </c>
      <c r="BD9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90" t="str">
        <f>IF(GetCurrentMonthAging3[[#This Row],[InsGroupPrimary]]="","YES","NO")</f>
        <v>NO</v>
      </c>
      <c r="BF9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91" spans="1:58" x14ac:dyDescent="0.25">
      <c r="A91" t="s">
        <v>100</v>
      </c>
      <c r="B91">
        <v>6</v>
      </c>
      <c r="C91" t="s">
        <v>331</v>
      </c>
      <c r="D91" s="142">
        <v>45199</v>
      </c>
      <c r="E91">
        <v>40792</v>
      </c>
      <c r="F91">
        <v>463665</v>
      </c>
      <c r="G91">
        <v>3025661</v>
      </c>
      <c r="H91" t="b">
        <v>0</v>
      </c>
      <c r="I91">
        <v>3449</v>
      </c>
      <c r="J91" t="s">
        <v>416</v>
      </c>
      <c r="K91">
        <v>45</v>
      </c>
      <c r="L91">
        <v>45</v>
      </c>
      <c r="M91">
        <v>1</v>
      </c>
      <c r="N91">
        <v>0</v>
      </c>
      <c r="O91">
        <v>0</v>
      </c>
      <c r="P91">
        <v>0</v>
      </c>
      <c r="Q91">
        <v>0</v>
      </c>
      <c r="R91">
        <v>0</v>
      </c>
      <c r="T91">
        <v>45</v>
      </c>
      <c r="U91">
        <v>0</v>
      </c>
      <c r="V91">
        <v>1</v>
      </c>
      <c r="W91">
        <v>25.87</v>
      </c>
      <c r="X91">
        <v>12.53</v>
      </c>
      <c r="Y91">
        <v>0</v>
      </c>
      <c r="Z91">
        <v>6.6</v>
      </c>
      <c r="AA91">
        <v>1</v>
      </c>
      <c r="AB91">
        <v>19.3</v>
      </c>
      <c r="AC91">
        <v>0</v>
      </c>
      <c r="AD91">
        <v>0</v>
      </c>
      <c r="AE91">
        <v>0</v>
      </c>
      <c r="AF91">
        <v>0</v>
      </c>
      <c r="AG91">
        <v>0</v>
      </c>
      <c r="AH91">
        <v>0</v>
      </c>
      <c r="AI91">
        <v>0</v>
      </c>
      <c r="AJ91">
        <v>0</v>
      </c>
      <c r="AK91">
        <v>0</v>
      </c>
      <c r="AL91">
        <v>0</v>
      </c>
      <c r="AM91">
        <v>0</v>
      </c>
      <c r="AN91">
        <v>-12.7</v>
      </c>
      <c r="AP91" t="s">
        <v>261</v>
      </c>
      <c r="AQ91" t="s">
        <v>260</v>
      </c>
      <c r="AS91" t="s">
        <v>413</v>
      </c>
      <c r="AT91" t="s">
        <v>418</v>
      </c>
      <c r="AV91" t="s">
        <v>332</v>
      </c>
      <c r="AW91" t="s">
        <v>332</v>
      </c>
      <c r="AX91">
        <v>0</v>
      </c>
      <c r="AY91">
        <v>0</v>
      </c>
      <c r="AZ91" t="s">
        <v>233</v>
      </c>
      <c r="BA91" t="s">
        <v>233</v>
      </c>
      <c r="BB91" t="s">
        <v>411</v>
      </c>
      <c r="BC91">
        <v>8</v>
      </c>
      <c r="BD9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91" t="str">
        <f>IF(GetCurrentMonthAging3[[#This Row],[InsGroupPrimary]]="","YES","NO")</f>
        <v>NO</v>
      </c>
      <c r="BF9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92" spans="1:58" x14ac:dyDescent="0.25">
      <c r="A92" t="s">
        <v>100</v>
      </c>
      <c r="B92">
        <v>6</v>
      </c>
      <c r="C92" t="s">
        <v>331</v>
      </c>
      <c r="D92" s="142">
        <v>45199</v>
      </c>
      <c r="E92">
        <v>40692</v>
      </c>
      <c r="F92">
        <v>459638</v>
      </c>
      <c r="G92">
        <v>3035016</v>
      </c>
      <c r="H92" t="b">
        <v>0</v>
      </c>
      <c r="I92">
        <v>3447</v>
      </c>
      <c r="J92" t="s">
        <v>419</v>
      </c>
      <c r="K92">
        <v>90</v>
      </c>
      <c r="L92">
        <v>45</v>
      </c>
      <c r="M92">
        <v>2</v>
      </c>
      <c r="N92">
        <v>0</v>
      </c>
      <c r="O92">
        <v>90</v>
      </c>
      <c r="P92">
        <v>90</v>
      </c>
      <c r="Q92">
        <v>0</v>
      </c>
      <c r="R92">
        <v>0</v>
      </c>
      <c r="T92">
        <v>90</v>
      </c>
      <c r="U92">
        <v>0</v>
      </c>
      <c r="V92">
        <v>0</v>
      </c>
      <c r="W92">
        <v>0</v>
      </c>
      <c r="X92">
        <v>0</v>
      </c>
      <c r="Y92">
        <v>0</v>
      </c>
      <c r="Z92">
        <v>0</v>
      </c>
      <c r="AA92">
        <v>0</v>
      </c>
      <c r="AB92">
        <v>0</v>
      </c>
      <c r="AC92">
        <v>0</v>
      </c>
      <c r="AD92">
        <v>0</v>
      </c>
      <c r="AE92">
        <v>0</v>
      </c>
      <c r="AF92">
        <v>0</v>
      </c>
      <c r="AG92">
        <v>0</v>
      </c>
      <c r="AH92">
        <v>0</v>
      </c>
      <c r="AI92">
        <v>0</v>
      </c>
      <c r="AJ92">
        <v>0</v>
      </c>
      <c r="AK92">
        <v>44.59</v>
      </c>
      <c r="AL92">
        <v>2</v>
      </c>
      <c r="AM92">
        <v>0</v>
      </c>
      <c r="AN92">
        <v>-44.59</v>
      </c>
      <c r="AP92" t="s">
        <v>259</v>
      </c>
      <c r="AS92" t="s">
        <v>420</v>
      </c>
      <c r="AV92" t="s">
        <v>259</v>
      </c>
      <c r="AW92" t="s">
        <v>420</v>
      </c>
      <c r="AX92">
        <v>0</v>
      </c>
      <c r="AY92">
        <v>0</v>
      </c>
      <c r="AZ92" t="s">
        <v>264</v>
      </c>
      <c r="BA92" t="s">
        <v>264</v>
      </c>
      <c r="BB92" t="s">
        <v>411</v>
      </c>
      <c r="BC92">
        <v>8</v>
      </c>
      <c r="BD9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92" t="str">
        <f>IF(GetCurrentMonthAging3[[#This Row],[InsGroupPrimary]]="","YES","NO")</f>
        <v>NO</v>
      </c>
      <c r="BF9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93" spans="1:58" x14ac:dyDescent="0.25">
      <c r="A93" t="s">
        <v>100</v>
      </c>
      <c r="B93">
        <v>6</v>
      </c>
      <c r="C93" t="s">
        <v>331</v>
      </c>
      <c r="D93" s="142">
        <v>45199</v>
      </c>
      <c r="E93">
        <v>40692</v>
      </c>
      <c r="F93">
        <v>459638</v>
      </c>
      <c r="G93">
        <v>3035017</v>
      </c>
      <c r="H93" t="b">
        <v>0</v>
      </c>
      <c r="I93">
        <v>3447</v>
      </c>
      <c r="J93" t="s">
        <v>412</v>
      </c>
      <c r="K93">
        <v>45</v>
      </c>
      <c r="L93">
        <v>45</v>
      </c>
      <c r="M93">
        <v>1</v>
      </c>
      <c r="N93">
        <v>0</v>
      </c>
      <c r="O93">
        <v>45</v>
      </c>
      <c r="P93">
        <v>45</v>
      </c>
      <c r="Q93">
        <v>0</v>
      </c>
      <c r="R93">
        <v>0</v>
      </c>
      <c r="T93">
        <v>45</v>
      </c>
      <c r="U93">
        <v>0</v>
      </c>
      <c r="V93">
        <v>0</v>
      </c>
      <c r="W93">
        <v>0</v>
      </c>
      <c r="X93">
        <v>0</v>
      </c>
      <c r="Y93">
        <v>0</v>
      </c>
      <c r="Z93">
        <v>0</v>
      </c>
      <c r="AA93">
        <v>0</v>
      </c>
      <c r="AB93">
        <v>0</v>
      </c>
      <c r="AC93">
        <v>0</v>
      </c>
      <c r="AD93">
        <v>0</v>
      </c>
      <c r="AE93">
        <v>0</v>
      </c>
      <c r="AF93">
        <v>0</v>
      </c>
      <c r="AG93">
        <v>0</v>
      </c>
      <c r="AH93">
        <v>0</v>
      </c>
      <c r="AI93">
        <v>0</v>
      </c>
      <c r="AJ93">
        <v>0</v>
      </c>
      <c r="AK93">
        <v>31.12</v>
      </c>
      <c r="AL93">
        <v>2</v>
      </c>
      <c r="AM93">
        <v>0</v>
      </c>
      <c r="AN93">
        <v>-31.12</v>
      </c>
      <c r="AP93" t="s">
        <v>259</v>
      </c>
      <c r="AS93" t="s">
        <v>420</v>
      </c>
      <c r="AV93" t="s">
        <v>259</v>
      </c>
      <c r="AW93" t="s">
        <v>420</v>
      </c>
      <c r="AX93">
        <v>0</v>
      </c>
      <c r="AY93">
        <v>0</v>
      </c>
      <c r="AZ93" t="s">
        <v>264</v>
      </c>
      <c r="BA93" t="s">
        <v>264</v>
      </c>
      <c r="BB93" t="s">
        <v>411</v>
      </c>
      <c r="BC93">
        <v>8</v>
      </c>
      <c r="BD9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93" t="str">
        <f>IF(GetCurrentMonthAging3[[#This Row],[InsGroupPrimary]]="","YES","NO")</f>
        <v>NO</v>
      </c>
      <c r="BF9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94" spans="1:58" x14ac:dyDescent="0.25">
      <c r="A94" t="s">
        <v>100</v>
      </c>
      <c r="B94">
        <v>6</v>
      </c>
      <c r="C94" t="s">
        <v>331</v>
      </c>
      <c r="D94" s="142">
        <v>45199</v>
      </c>
      <c r="E94">
        <v>39104</v>
      </c>
      <c r="F94">
        <v>459780</v>
      </c>
      <c r="G94">
        <v>3039065</v>
      </c>
      <c r="H94" t="b">
        <v>0</v>
      </c>
      <c r="I94">
        <v>3447</v>
      </c>
      <c r="J94" t="s">
        <v>412</v>
      </c>
      <c r="K94">
        <v>135</v>
      </c>
      <c r="L94">
        <v>45</v>
      </c>
      <c r="M94">
        <v>3</v>
      </c>
      <c r="N94">
        <v>0</v>
      </c>
      <c r="O94">
        <v>0</v>
      </c>
      <c r="P94">
        <v>0</v>
      </c>
      <c r="Q94">
        <v>0</v>
      </c>
      <c r="R94">
        <v>0</v>
      </c>
      <c r="T94">
        <v>135</v>
      </c>
      <c r="U94">
        <v>0</v>
      </c>
      <c r="V94">
        <v>1</v>
      </c>
      <c r="W94">
        <v>56.59</v>
      </c>
      <c r="X94">
        <v>63.97</v>
      </c>
      <c r="Y94">
        <v>0</v>
      </c>
      <c r="Z94">
        <v>14.44</v>
      </c>
      <c r="AA94">
        <v>1</v>
      </c>
      <c r="AB94">
        <v>121.5</v>
      </c>
      <c r="AC94">
        <v>0</v>
      </c>
      <c r="AD94">
        <v>0</v>
      </c>
      <c r="AE94">
        <v>0</v>
      </c>
      <c r="AF94">
        <v>0</v>
      </c>
      <c r="AG94">
        <v>0</v>
      </c>
      <c r="AH94">
        <v>0</v>
      </c>
      <c r="AI94">
        <v>0</v>
      </c>
      <c r="AJ94">
        <v>0</v>
      </c>
      <c r="AK94">
        <v>0</v>
      </c>
      <c r="AL94">
        <v>0</v>
      </c>
      <c r="AM94">
        <v>0</v>
      </c>
      <c r="AN94">
        <v>-107.06</v>
      </c>
      <c r="AP94" t="s">
        <v>261</v>
      </c>
      <c r="AQ94" t="s">
        <v>260</v>
      </c>
      <c r="AS94" t="s">
        <v>413</v>
      </c>
      <c r="AT94" t="s">
        <v>415</v>
      </c>
      <c r="AV94" t="s">
        <v>332</v>
      </c>
      <c r="AW94" t="s">
        <v>332</v>
      </c>
      <c r="AX94">
        <v>0</v>
      </c>
      <c r="AY94">
        <v>0</v>
      </c>
      <c r="AZ94" t="s">
        <v>233</v>
      </c>
      <c r="BA94" t="s">
        <v>233</v>
      </c>
      <c r="BB94" t="s">
        <v>411</v>
      </c>
      <c r="BC94">
        <v>8</v>
      </c>
      <c r="BD9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94" t="str">
        <f>IF(GetCurrentMonthAging3[[#This Row],[InsGroupPrimary]]="","YES","NO")</f>
        <v>NO</v>
      </c>
      <c r="BF9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95" spans="1:58" x14ac:dyDescent="0.25">
      <c r="A95" t="s">
        <v>100</v>
      </c>
      <c r="B95">
        <v>6</v>
      </c>
      <c r="C95" t="s">
        <v>331</v>
      </c>
      <c r="D95" s="142">
        <v>45199</v>
      </c>
      <c r="E95">
        <v>140927</v>
      </c>
      <c r="F95">
        <v>1887346</v>
      </c>
      <c r="G95">
        <v>9207036</v>
      </c>
      <c r="H95" t="b">
        <v>0</v>
      </c>
      <c r="I95">
        <v>2607</v>
      </c>
      <c r="J95" t="s">
        <v>419</v>
      </c>
      <c r="K95">
        <v>45</v>
      </c>
      <c r="L95">
        <v>45</v>
      </c>
      <c r="M95">
        <v>1</v>
      </c>
      <c r="N95">
        <v>0</v>
      </c>
      <c r="O95">
        <v>0</v>
      </c>
      <c r="P95">
        <v>0</v>
      </c>
      <c r="Q95">
        <v>0</v>
      </c>
      <c r="R95">
        <v>0</v>
      </c>
      <c r="T95">
        <v>45</v>
      </c>
      <c r="U95">
        <v>0</v>
      </c>
      <c r="V95">
        <v>2</v>
      </c>
      <c r="W95">
        <v>72.459999999999994</v>
      </c>
      <c r="X95">
        <v>4.5</v>
      </c>
      <c r="Y95">
        <v>0</v>
      </c>
      <c r="Z95">
        <v>0</v>
      </c>
      <c r="AA95">
        <v>0</v>
      </c>
      <c r="AB95">
        <v>0</v>
      </c>
      <c r="AC95">
        <v>0</v>
      </c>
      <c r="AD95">
        <v>0</v>
      </c>
      <c r="AE95">
        <v>0</v>
      </c>
      <c r="AF95">
        <v>0</v>
      </c>
      <c r="AG95">
        <v>0</v>
      </c>
      <c r="AH95">
        <v>0</v>
      </c>
      <c r="AI95">
        <v>0</v>
      </c>
      <c r="AJ95">
        <v>0</v>
      </c>
      <c r="AK95">
        <v>0</v>
      </c>
      <c r="AL95">
        <v>0</v>
      </c>
      <c r="AM95">
        <v>0</v>
      </c>
      <c r="AN95">
        <v>-31.96</v>
      </c>
      <c r="AP95" t="s">
        <v>263</v>
      </c>
      <c r="AS95" t="s">
        <v>431</v>
      </c>
      <c r="AV95" t="s">
        <v>263</v>
      </c>
      <c r="AW95" t="s">
        <v>431</v>
      </c>
      <c r="AX95">
        <v>0</v>
      </c>
      <c r="AY95">
        <v>0</v>
      </c>
      <c r="AZ95" t="s">
        <v>264</v>
      </c>
      <c r="BA95" t="s">
        <v>264</v>
      </c>
      <c r="BB95" t="s">
        <v>411</v>
      </c>
      <c r="BC95">
        <v>8</v>
      </c>
      <c r="BD9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95" t="str">
        <f>IF(GetCurrentMonthAging3[[#This Row],[InsGroupPrimary]]="","YES","NO")</f>
        <v>NO</v>
      </c>
      <c r="BF9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96" spans="1:58" x14ac:dyDescent="0.25">
      <c r="A96" t="s">
        <v>100</v>
      </c>
      <c r="B96">
        <v>6</v>
      </c>
      <c r="C96" t="s">
        <v>331</v>
      </c>
      <c r="D96" s="142">
        <v>45199</v>
      </c>
      <c r="E96">
        <v>140927</v>
      </c>
      <c r="F96">
        <v>1903844</v>
      </c>
      <c r="G96">
        <v>9283139</v>
      </c>
      <c r="H96" t="b">
        <v>0</v>
      </c>
      <c r="I96">
        <v>2600</v>
      </c>
      <c r="J96" t="s">
        <v>419</v>
      </c>
      <c r="K96">
        <v>45</v>
      </c>
      <c r="L96">
        <v>45</v>
      </c>
      <c r="M96">
        <v>1</v>
      </c>
      <c r="N96">
        <v>0</v>
      </c>
      <c r="O96">
        <v>0</v>
      </c>
      <c r="P96">
        <v>0</v>
      </c>
      <c r="Q96">
        <v>0</v>
      </c>
      <c r="R96">
        <v>0</v>
      </c>
      <c r="T96">
        <v>45</v>
      </c>
      <c r="U96">
        <v>0</v>
      </c>
      <c r="V96">
        <v>2</v>
      </c>
      <c r="W96">
        <v>72.459999999999994</v>
      </c>
      <c r="X96">
        <v>4.5</v>
      </c>
      <c r="Y96">
        <v>0</v>
      </c>
      <c r="Z96">
        <v>0</v>
      </c>
      <c r="AA96">
        <v>0</v>
      </c>
      <c r="AB96">
        <v>0</v>
      </c>
      <c r="AC96">
        <v>0</v>
      </c>
      <c r="AD96">
        <v>0</v>
      </c>
      <c r="AE96">
        <v>0</v>
      </c>
      <c r="AF96">
        <v>0</v>
      </c>
      <c r="AG96">
        <v>0</v>
      </c>
      <c r="AH96">
        <v>0</v>
      </c>
      <c r="AI96">
        <v>0</v>
      </c>
      <c r="AJ96">
        <v>0</v>
      </c>
      <c r="AK96">
        <v>0</v>
      </c>
      <c r="AL96">
        <v>0</v>
      </c>
      <c r="AM96">
        <v>0</v>
      </c>
      <c r="AN96">
        <v>-31.96</v>
      </c>
      <c r="AP96" t="s">
        <v>263</v>
      </c>
      <c r="AS96" t="s">
        <v>431</v>
      </c>
      <c r="AV96" t="s">
        <v>263</v>
      </c>
      <c r="AW96" t="s">
        <v>431</v>
      </c>
      <c r="AX96">
        <v>0</v>
      </c>
      <c r="AY96">
        <v>0</v>
      </c>
      <c r="AZ96" t="s">
        <v>264</v>
      </c>
      <c r="BA96" t="s">
        <v>264</v>
      </c>
      <c r="BB96" t="s">
        <v>411</v>
      </c>
      <c r="BC96">
        <v>8</v>
      </c>
      <c r="BD9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96" t="str">
        <f>IF(GetCurrentMonthAging3[[#This Row],[InsGroupPrimary]]="","YES","NO")</f>
        <v>NO</v>
      </c>
      <c r="BF9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97" spans="1:58" x14ac:dyDescent="0.25">
      <c r="A97" t="s">
        <v>100</v>
      </c>
      <c r="B97">
        <v>6</v>
      </c>
      <c r="C97" t="s">
        <v>331</v>
      </c>
      <c r="D97" s="142">
        <v>45199</v>
      </c>
      <c r="E97">
        <v>140927</v>
      </c>
      <c r="F97">
        <v>1903846</v>
      </c>
      <c r="G97">
        <v>9327616</v>
      </c>
      <c r="H97" t="b">
        <v>0</v>
      </c>
      <c r="I97">
        <v>2598</v>
      </c>
      <c r="J97" t="s">
        <v>419</v>
      </c>
      <c r="K97">
        <v>45</v>
      </c>
      <c r="L97">
        <v>45</v>
      </c>
      <c r="M97">
        <v>1</v>
      </c>
      <c r="N97">
        <v>0</v>
      </c>
      <c r="O97">
        <v>0</v>
      </c>
      <c r="P97">
        <v>0</v>
      </c>
      <c r="Q97">
        <v>0</v>
      </c>
      <c r="R97">
        <v>0</v>
      </c>
      <c r="T97">
        <v>45</v>
      </c>
      <c r="U97">
        <v>0</v>
      </c>
      <c r="V97">
        <v>2</v>
      </c>
      <c r="W97">
        <v>72.459999999999994</v>
      </c>
      <c r="X97">
        <v>4.5</v>
      </c>
      <c r="Y97">
        <v>0</v>
      </c>
      <c r="Z97">
        <v>0</v>
      </c>
      <c r="AA97">
        <v>0</v>
      </c>
      <c r="AB97">
        <v>0</v>
      </c>
      <c r="AC97">
        <v>0</v>
      </c>
      <c r="AD97">
        <v>0</v>
      </c>
      <c r="AE97">
        <v>0</v>
      </c>
      <c r="AF97">
        <v>0</v>
      </c>
      <c r="AG97">
        <v>0</v>
      </c>
      <c r="AH97">
        <v>0</v>
      </c>
      <c r="AI97">
        <v>0</v>
      </c>
      <c r="AJ97">
        <v>0</v>
      </c>
      <c r="AK97">
        <v>0</v>
      </c>
      <c r="AL97">
        <v>0</v>
      </c>
      <c r="AM97">
        <v>0</v>
      </c>
      <c r="AN97">
        <v>-31.96</v>
      </c>
      <c r="AP97" t="s">
        <v>263</v>
      </c>
      <c r="AS97" t="s">
        <v>431</v>
      </c>
      <c r="AV97" t="s">
        <v>263</v>
      </c>
      <c r="AW97" t="s">
        <v>431</v>
      </c>
      <c r="AX97">
        <v>0</v>
      </c>
      <c r="AY97">
        <v>0</v>
      </c>
      <c r="AZ97" t="s">
        <v>264</v>
      </c>
      <c r="BA97" t="s">
        <v>264</v>
      </c>
      <c r="BB97" t="s">
        <v>411</v>
      </c>
      <c r="BC97">
        <v>8</v>
      </c>
      <c r="BD9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97" t="str">
        <f>IF(GetCurrentMonthAging3[[#This Row],[InsGroupPrimary]]="","YES","NO")</f>
        <v>NO</v>
      </c>
      <c r="BF9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98" spans="1:58" x14ac:dyDescent="0.25">
      <c r="A98" t="s">
        <v>100</v>
      </c>
      <c r="B98">
        <v>6</v>
      </c>
      <c r="C98" t="s">
        <v>331</v>
      </c>
      <c r="D98" s="142">
        <v>45199</v>
      </c>
      <c r="E98">
        <v>140927</v>
      </c>
      <c r="F98">
        <v>1922455</v>
      </c>
      <c r="G98">
        <v>9387573</v>
      </c>
      <c r="H98" t="b">
        <v>0</v>
      </c>
      <c r="I98">
        <v>2593</v>
      </c>
      <c r="J98" t="s">
        <v>419</v>
      </c>
      <c r="K98">
        <v>45</v>
      </c>
      <c r="L98">
        <v>45</v>
      </c>
      <c r="M98">
        <v>1</v>
      </c>
      <c r="N98">
        <v>0</v>
      </c>
      <c r="O98">
        <v>0</v>
      </c>
      <c r="P98">
        <v>0</v>
      </c>
      <c r="Q98">
        <v>0</v>
      </c>
      <c r="R98">
        <v>0</v>
      </c>
      <c r="T98">
        <v>45</v>
      </c>
      <c r="U98">
        <v>0</v>
      </c>
      <c r="V98">
        <v>2</v>
      </c>
      <c r="W98">
        <v>72.459999999999994</v>
      </c>
      <c r="X98">
        <v>4.5</v>
      </c>
      <c r="Y98">
        <v>0</v>
      </c>
      <c r="Z98">
        <v>0</v>
      </c>
      <c r="AA98">
        <v>0</v>
      </c>
      <c r="AB98">
        <v>0</v>
      </c>
      <c r="AC98">
        <v>0</v>
      </c>
      <c r="AD98">
        <v>0</v>
      </c>
      <c r="AE98">
        <v>0</v>
      </c>
      <c r="AF98">
        <v>0</v>
      </c>
      <c r="AG98">
        <v>0</v>
      </c>
      <c r="AH98">
        <v>0</v>
      </c>
      <c r="AI98">
        <v>0</v>
      </c>
      <c r="AJ98">
        <v>0</v>
      </c>
      <c r="AK98">
        <v>0</v>
      </c>
      <c r="AL98">
        <v>0</v>
      </c>
      <c r="AM98">
        <v>0</v>
      </c>
      <c r="AN98">
        <v>-31.96</v>
      </c>
      <c r="AP98" t="s">
        <v>263</v>
      </c>
      <c r="AS98" t="s">
        <v>431</v>
      </c>
      <c r="AV98" t="s">
        <v>263</v>
      </c>
      <c r="AW98" t="s">
        <v>431</v>
      </c>
      <c r="AX98">
        <v>0</v>
      </c>
      <c r="AY98">
        <v>0</v>
      </c>
      <c r="AZ98" t="s">
        <v>264</v>
      </c>
      <c r="BA98" t="s">
        <v>264</v>
      </c>
      <c r="BB98" t="s">
        <v>411</v>
      </c>
      <c r="BC98">
        <v>8</v>
      </c>
      <c r="BD9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98" t="str">
        <f>IF(GetCurrentMonthAging3[[#This Row],[InsGroupPrimary]]="","YES","NO")</f>
        <v>NO</v>
      </c>
      <c r="BF9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99" spans="1:58" x14ac:dyDescent="0.25">
      <c r="A99" t="s">
        <v>100</v>
      </c>
      <c r="B99">
        <v>6</v>
      </c>
      <c r="C99" t="s">
        <v>331</v>
      </c>
      <c r="D99" s="142">
        <v>45199</v>
      </c>
      <c r="E99">
        <v>140927</v>
      </c>
      <c r="F99">
        <v>1981076</v>
      </c>
      <c r="G99">
        <v>9656005</v>
      </c>
      <c r="H99" t="b">
        <v>0</v>
      </c>
      <c r="I99">
        <v>2567</v>
      </c>
      <c r="J99" t="s">
        <v>419</v>
      </c>
      <c r="K99">
        <v>45</v>
      </c>
      <c r="L99">
        <v>45</v>
      </c>
      <c r="M99">
        <v>1</v>
      </c>
      <c r="N99">
        <v>0</v>
      </c>
      <c r="O99">
        <v>0</v>
      </c>
      <c r="P99">
        <v>0</v>
      </c>
      <c r="Q99">
        <v>0</v>
      </c>
      <c r="R99">
        <v>0</v>
      </c>
      <c r="T99">
        <v>45</v>
      </c>
      <c r="U99">
        <v>0</v>
      </c>
      <c r="V99">
        <v>2</v>
      </c>
      <c r="W99">
        <v>72.45</v>
      </c>
      <c r="X99">
        <v>4.5</v>
      </c>
      <c r="Y99">
        <v>0</v>
      </c>
      <c r="Z99">
        <v>0</v>
      </c>
      <c r="AA99">
        <v>0</v>
      </c>
      <c r="AB99">
        <v>0</v>
      </c>
      <c r="AC99">
        <v>0</v>
      </c>
      <c r="AD99">
        <v>0</v>
      </c>
      <c r="AE99">
        <v>0</v>
      </c>
      <c r="AF99">
        <v>0</v>
      </c>
      <c r="AG99">
        <v>0</v>
      </c>
      <c r="AH99">
        <v>0</v>
      </c>
      <c r="AI99">
        <v>0</v>
      </c>
      <c r="AJ99">
        <v>0</v>
      </c>
      <c r="AK99">
        <v>0</v>
      </c>
      <c r="AL99">
        <v>0</v>
      </c>
      <c r="AM99">
        <v>0</v>
      </c>
      <c r="AN99">
        <v>-31.95</v>
      </c>
      <c r="AP99" t="s">
        <v>263</v>
      </c>
      <c r="AS99" t="s">
        <v>431</v>
      </c>
      <c r="AV99" t="s">
        <v>263</v>
      </c>
      <c r="AW99" t="s">
        <v>431</v>
      </c>
      <c r="AX99">
        <v>0</v>
      </c>
      <c r="AY99">
        <v>0</v>
      </c>
      <c r="AZ99" t="s">
        <v>264</v>
      </c>
      <c r="BA99" t="s">
        <v>264</v>
      </c>
      <c r="BB99" t="s">
        <v>411</v>
      </c>
      <c r="BC99">
        <v>8</v>
      </c>
      <c r="BD9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99" t="str">
        <f>IF(GetCurrentMonthAging3[[#This Row],[InsGroupPrimary]]="","YES","NO")</f>
        <v>NO</v>
      </c>
      <c r="BF9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100" spans="1:58" x14ac:dyDescent="0.25">
      <c r="A100" t="s">
        <v>100</v>
      </c>
      <c r="B100">
        <v>6</v>
      </c>
      <c r="C100" t="s">
        <v>331</v>
      </c>
      <c r="D100" s="142">
        <v>45199</v>
      </c>
      <c r="E100">
        <v>140927</v>
      </c>
      <c r="F100">
        <v>2006060</v>
      </c>
      <c r="G100">
        <v>9733655</v>
      </c>
      <c r="H100" t="b">
        <v>0</v>
      </c>
      <c r="I100">
        <v>2560</v>
      </c>
      <c r="J100" t="s">
        <v>419</v>
      </c>
      <c r="K100">
        <v>45</v>
      </c>
      <c r="L100">
        <v>45</v>
      </c>
      <c r="M100">
        <v>1</v>
      </c>
      <c r="N100">
        <v>0</v>
      </c>
      <c r="O100">
        <v>0</v>
      </c>
      <c r="P100">
        <v>0</v>
      </c>
      <c r="Q100">
        <v>0</v>
      </c>
      <c r="R100">
        <v>0</v>
      </c>
      <c r="T100">
        <v>45</v>
      </c>
      <c r="U100">
        <v>0</v>
      </c>
      <c r="V100">
        <v>2</v>
      </c>
      <c r="W100">
        <v>72.45</v>
      </c>
      <c r="X100">
        <v>4.5</v>
      </c>
      <c r="Y100">
        <v>0</v>
      </c>
      <c r="Z100">
        <v>0</v>
      </c>
      <c r="AA100">
        <v>0</v>
      </c>
      <c r="AB100">
        <v>0</v>
      </c>
      <c r="AC100">
        <v>0</v>
      </c>
      <c r="AD100">
        <v>0</v>
      </c>
      <c r="AE100">
        <v>0</v>
      </c>
      <c r="AF100">
        <v>0</v>
      </c>
      <c r="AG100">
        <v>0</v>
      </c>
      <c r="AH100">
        <v>0</v>
      </c>
      <c r="AI100">
        <v>0</v>
      </c>
      <c r="AJ100">
        <v>0</v>
      </c>
      <c r="AK100">
        <v>0</v>
      </c>
      <c r="AL100">
        <v>0</v>
      </c>
      <c r="AM100">
        <v>0</v>
      </c>
      <c r="AN100">
        <v>-31.95</v>
      </c>
      <c r="AP100" t="s">
        <v>263</v>
      </c>
      <c r="AS100" t="s">
        <v>431</v>
      </c>
      <c r="AV100" t="s">
        <v>263</v>
      </c>
      <c r="AW100" t="s">
        <v>431</v>
      </c>
      <c r="AX100">
        <v>0</v>
      </c>
      <c r="AY100">
        <v>0</v>
      </c>
      <c r="AZ100" t="s">
        <v>264</v>
      </c>
      <c r="BA100" t="s">
        <v>264</v>
      </c>
      <c r="BB100" t="s">
        <v>411</v>
      </c>
      <c r="BC100">
        <v>8</v>
      </c>
      <c r="BD10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100" t="str">
        <f>IF(GetCurrentMonthAging3[[#This Row],[InsGroupPrimary]]="","YES","NO")</f>
        <v>NO</v>
      </c>
      <c r="BF10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101" spans="1:58" x14ac:dyDescent="0.25">
      <c r="A101" t="s">
        <v>100</v>
      </c>
      <c r="B101">
        <v>6</v>
      </c>
      <c r="C101" t="s">
        <v>331</v>
      </c>
      <c r="D101" s="142">
        <v>45199</v>
      </c>
      <c r="E101">
        <v>76082</v>
      </c>
      <c r="F101">
        <v>998040</v>
      </c>
      <c r="G101">
        <v>5332538</v>
      </c>
      <c r="H101" t="b">
        <v>0</v>
      </c>
      <c r="I101">
        <v>2999</v>
      </c>
      <c r="J101" t="s">
        <v>416</v>
      </c>
      <c r="K101">
        <v>45</v>
      </c>
      <c r="L101">
        <v>45</v>
      </c>
      <c r="M101">
        <v>1</v>
      </c>
      <c r="N101">
        <v>0</v>
      </c>
      <c r="O101">
        <v>0</v>
      </c>
      <c r="P101">
        <v>0</v>
      </c>
      <c r="Q101">
        <v>0</v>
      </c>
      <c r="R101">
        <v>0</v>
      </c>
      <c r="T101">
        <v>45</v>
      </c>
      <c r="U101">
        <v>0</v>
      </c>
      <c r="V101">
        <v>0</v>
      </c>
      <c r="W101">
        <v>0</v>
      </c>
      <c r="X101">
        <v>45</v>
      </c>
      <c r="Y101">
        <v>0</v>
      </c>
      <c r="Z101">
        <v>0</v>
      </c>
      <c r="AA101">
        <v>0</v>
      </c>
      <c r="AB101">
        <v>0</v>
      </c>
      <c r="AC101">
        <v>0</v>
      </c>
      <c r="AD101">
        <v>0</v>
      </c>
      <c r="AE101">
        <v>0</v>
      </c>
      <c r="AF101">
        <v>0</v>
      </c>
      <c r="AG101">
        <v>0</v>
      </c>
      <c r="AH101">
        <v>0</v>
      </c>
      <c r="AI101">
        <v>0</v>
      </c>
      <c r="AJ101">
        <v>0</v>
      </c>
      <c r="AK101">
        <v>21.44</v>
      </c>
      <c r="AL101">
        <v>1</v>
      </c>
      <c r="AM101">
        <v>0</v>
      </c>
      <c r="AN101">
        <v>-21.44</v>
      </c>
      <c r="AP101" t="s">
        <v>262</v>
      </c>
      <c r="AS101" t="s">
        <v>424</v>
      </c>
      <c r="AV101" t="s">
        <v>262</v>
      </c>
      <c r="AW101" t="s">
        <v>424</v>
      </c>
      <c r="AX101">
        <v>0</v>
      </c>
      <c r="AY101">
        <v>0</v>
      </c>
      <c r="AZ101" t="s">
        <v>233</v>
      </c>
      <c r="BA101" t="s">
        <v>233</v>
      </c>
      <c r="BB101" t="s">
        <v>411</v>
      </c>
      <c r="BC101">
        <v>8</v>
      </c>
      <c r="BD10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-204.36</v>
      </c>
      <c r="BE101" t="str">
        <f>IF(GetCurrentMonthAging3[[#This Row],[InsGroupPrimary]]="","YES","NO")</f>
        <v>NO</v>
      </c>
      <c r="BF10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-204.36</v>
      </c>
    </row>
    <row r="102" spans="1:58" x14ac:dyDescent="0.25">
      <c r="A102" t="s">
        <v>100</v>
      </c>
      <c r="B102">
        <v>6</v>
      </c>
      <c r="C102" t="s">
        <v>331</v>
      </c>
      <c r="D102" s="142">
        <v>45199</v>
      </c>
      <c r="E102">
        <v>39104</v>
      </c>
      <c r="F102">
        <v>454462</v>
      </c>
      <c r="G102">
        <v>3004279</v>
      </c>
      <c r="H102" t="b">
        <v>0</v>
      </c>
      <c r="I102">
        <v>3461</v>
      </c>
      <c r="J102" t="s">
        <v>412</v>
      </c>
      <c r="K102">
        <v>135</v>
      </c>
      <c r="L102">
        <v>45</v>
      </c>
      <c r="M102">
        <v>3</v>
      </c>
      <c r="N102">
        <v>0</v>
      </c>
      <c r="O102">
        <v>0</v>
      </c>
      <c r="P102">
        <v>0</v>
      </c>
      <c r="Q102">
        <v>0</v>
      </c>
      <c r="R102">
        <v>0</v>
      </c>
      <c r="T102">
        <v>135</v>
      </c>
      <c r="U102">
        <v>0</v>
      </c>
      <c r="V102">
        <v>1</v>
      </c>
      <c r="W102">
        <v>56.59</v>
      </c>
      <c r="X102">
        <v>63.97</v>
      </c>
      <c r="Y102">
        <v>0</v>
      </c>
      <c r="Z102">
        <v>14.44</v>
      </c>
      <c r="AA102">
        <v>1</v>
      </c>
      <c r="AB102">
        <v>121.5</v>
      </c>
      <c r="AC102">
        <v>0</v>
      </c>
      <c r="AD102">
        <v>0</v>
      </c>
      <c r="AE102">
        <v>0</v>
      </c>
      <c r="AF102">
        <v>0</v>
      </c>
      <c r="AG102">
        <v>0</v>
      </c>
      <c r="AH102">
        <v>0</v>
      </c>
      <c r="AI102">
        <v>0</v>
      </c>
      <c r="AJ102">
        <v>0</v>
      </c>
      <c r="AK102">
        <v>0</v>
      </c>
      <c r="AL102">
        <v>0</v>
      </c>
      <c r="AM102">
        <v>0</v>
      </c>
      <c r="AN102">
        <v>-107.06</v>
      </c>
      <c r="AP102" t="s">
        <v>261</v>
      </c>
      <c r="AQ102" t="s">
        <v>260</v>
      </c>
      <c r="AS102" t="s">
        <v>413</v>
      </c>
      <c r="AT102" t="s">
        <v>415</v>
      </c>
      <c r="AV102" t="s">
        <v>332</v>
      </c>
      <c r="AW102" t="s">
        <v>332</v>
      </c>
      <c r="AX102">
        <v>0</v>
      </c>
      <c r="AY102">
        <v>0</v>
      </c>
      <c r="AZ102" t="s">
        <v>233</v>
      </c>
      <c r="BA102" t="s">
        <v>233</v>
      </c>
      <c r="BB102" t="s">
        <v>411</v>
      </c>
      <c r="BC102">
        <v>8</v>
      </c>
      <c r="BD10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102" t="str">
        <f>IF(GetCurrentMonthAging3[[#This Row],[InsGroupPrimary]]="","YES","NO")</f>
        <v>NO</v>
      </c>
      <c r="BF10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103" spans="1:58" x14ac:dyDescent="0.25">
      <c r="A103" t="s">
        <v>100</v>
      </c>
      <c r="B103">
        <v>6</v>
      </c>
      <c r="C103" t="s">
        <v>331</v>
      </c>
      <c r="D103" s="142">
        <v>45199</v>
      </c>
      <c r="E103">
        <v>39104</v>
      </c>
      <c r="F103">
        <v>454462</v>
      </c>
      <c r="G103">
        <v>3004280</v>
      </c>
      <c r="H103" t="b">
        <v>0</v>
      </c>
      <c r="I103">
        <v>3461</v>
      </c>
      <c r="J103" t="s">
        <v>416</v>
      </c>
      <c r="K103">
        <v>45</v>
      </c>
      <c r="L103">
        <v>45</v>
      </c>
      <c r="M103">
        <v>1</v>
      </c>
      <c r="N103">
        <v>0</v>
      </c>
      <c r="O103">
        <v>0</v>
      </c>
      <c r="P103">
        <v>0</v>
      </c>
      <c r="Q103">
        <v>0</v>
      </c>
      <c r="R103">
        <v>0</v>
      </c>
      <c r="T103">
        <v>45</v>
      </c>
      <c r="U103">
        <v>0</v>
      </c>
      <c r="V103">
        <v>1</v>
      </c>
      <c r="W103">
        <v>25.87</v>
      </c>
      <c r="X103">
        <v>12.53</v>
      </c>
      <c r="Y103">
        <v>0</v>
      </c>
      <c r="Z103">
        <v>6.6</v>
      </c>
      <c r="AA103">
        <v>1</v>
      </c>
      <c r="AB103">
        <v>40.5</v>
      </c>
      <c r="AC103">
        <v>0</v>
      </c>
      <c r="AD103">
        <v>0</v>
      </c>
      <c r="AE103">
        <v>0</v>
      </c>
      <c r="AF103">
        <v>0</v>
      </c>
      <c r="AG103">
        <v>0</v>
      </c>
      <c r="AH103">
        <v>0</v>
      </c>
      <c r="AI103">
        <v>0</v>
      </c>
      <c r="AJ103">
        <v>0</v>
      </c>
      <c r="AK103">
        <v>0</v>
      </c>
      <c r="AL103">
        <v>0</v>
      </c>
      <c r="AM103">
        <v>0</v>
      </c>
      <c r="AN103">
        <v>-33.9</v>
      </c>
      <c r="AP103" t="s">
        <v>261</v>
      </c>
      <c r="AQ103" t="s">
        <v>260</v>
      </c>
      <c r="AS103" t="s">
        <v>413</v>
      </c>
      <c r="AT103" t="s">
        <v>415</v>
      </c>
      <c r="AV103" t="s">
        <v>332</v>
      </c>
      <c r="AW103" t="s">
        <v>332</v>
      </c>
      <c r="AX103">
        <v>0</v>
      </c>
      <c r="AY103">
        <v>0</v>
      </c>
      <c r="AZ103" t="s">
        <v>233</v>
      </c>
      <c r="BA103" t="s">
        <v>233</v>
      </c>
      <c r="BB103" t="s">
        <v>411</v>
      </c>
      <c r="BC103">
        <v>8</v>
      </c>
      <c r="BD10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103" t="str">
        <f>IF(GetCurrentMonthAging3[[#This Row],[InsGroupPrimary]]="","YES","NO")</f>
        <v>NO</v>
      </c>
      <c r="BF10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104" spans="1:58" x14ac:dyDescent="0.25">
      <c r="A104" t="s">
        <v>100</v>
      </c>
      <c r="B104">
        <v>6</v>
      </c>
      <c r="C104" t="s">
        <v>331</v>
      </c>
      <c r="D104" s="142">
        <v>45199</v>
      </c>
      <c r="E104">
        <v>39104</v>
      </c>
      <c r="F104">
        <v>456206</v>
      </c>
      <c r="G104">
        <v>3012947</v>
      </c>
      <c r="H104" t="b">
        <v>0</v>
      </c>
      <c r="I104">
        <v>3456</v>
      </c>
      <c r="J104" t="s">
        <v>412</v>
      </c>
      <c r="K104">
        <v>135</v>
      </c>
      <c r="L104">
        <v>45</v>
      </c>
      <c r="M104">
        <v>3</v>
      </c>
      <c r="N104">
        <v>0</v>
      </c>
      <c r="O104">
        <v>0</v>
      </c>
      <c r="P104">
        <v>0</v>
      </c>
      <c r="Q104">
        <v>0</v>
      </c>
      <c r="R104">
        <v>0</v>
      </c>
      <c r="T104">
        <v>135</v>
      </c>
      <c r="U104">
        <v>0</v>
      </c>
      <c r="V104">
        <v>1</v>
      </c>
      <c r="W104">
        <v>56.59</v>
      </c>
      <c r="X104">
        <v>63.97</v>
      </c>
      <c r="Y104">
        <v>0</v>
      </c>
      <c r="Z104">
        <v>14.44</v>
      </c>
      <c r="AA104">
        <v>1</v>
      </c>
      <c r="AB104">
        <v>121.5</v>
      </c>
      <c r="AC104">
        <v>0</v>
      </c>
      <c r="AD104">
        <v>0</v>
      </c>
      <c r="AE104">
        <v>0</v>
      </c>
      <c r="AF104">
        <v>0</v>
      </c>
      <c r="AG104">
        <v>0</v>
      </c>
      <c r="AH104">
        <v>0</v>
      </c>
      <c r="AI104">
        <v>0</v>
      </c>
      <c r="AJ104">
        <v>0</v>
      </c>
      <c r="AK104">
        <v>0</v>
      </c>
      <c r="AL104">
        <v>0</v>
      </c>
      <c r="AM104">
        <v>0</v>
      </c>
      <c r="AN104">
        <v>-107.06</v>
      </c>
      <c r="AP104" t="s">
        <v>261</v>
      </c>
      <c r="AQ104" t="s">
        <v>260</v>
      </c>
      <c r="AS104" t="s">
        <v>413</v>
      </c>
      <c r="AT104" t="s">
        <v>415</v>
      </c>
      <c r="AV104" t="s">
        <v>332</v>
      </c>
      <c r="AW104" t="s">
        <v>332</v>
      </c>
      <c r="AX104">
        <v>0</v>
      </c>
      <c r="AY104">
        <v>0</v>
      </c>
      <c r="AZ104" t="s">
        <v>233</v>
      </c>
      <c r="BA104" t="s">
        <v>233</v>
      </c>
      <c r="BB104" t="s">
        <v>411</v>
      </c>
      <c r="BC104">
        <v>8</v>
      </c>
      <c r="BD10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104" t="str">
        <f>IF(GetCurrentMonthAging3[[#This Row],[InsGroupPrimary]]="","YES","NO")</f>
        <v>NO</v>
      </c>
      <c r="BF10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105" spans="1:58" x14ac:dyDescent="0.25">
      <c r="A105" t="s">
        <v>100</v>
      </c>
      <c r="B105">
        <v>6</v>
      </c>
      <c r="C105" t="s">
        <v>331</v>
      </c>
      <c r="D105" s="142">
        <v>45199</v>
      </c>
      <c r="E105">
        <v>40792</v>
      </c>
      <c r="F105">
        <v>471542</v>
      </c>
      <c r="G105">
        <v>3072652</v>
      </c>
      <c r="H105" t="b">
        <v>0</v>
      </c>
      <c r="I105">
        <v>3435</v>
      </c>
      <c r="J105" t="s">
        <v>416</v>
      </c>
      <c r="K105">
        <v>45</v>
      </c>
      <c r="L105">
        <v>45</v>
      </c>
      <c r="M105">
        <v>1</v>
      </c>
      <c r="N105">
        <v>0</v>
      </c>
      <c r="O105">
        <v>0</v>
      </c>
      <c r="P105">
        <v>0</v>
      </c>
      <c r="Q105">
        <v>0</v>
      </c>
      <c r="R105">
        <v>0</v>
      </c>
      <c r="T105">
        <v>45</v>
      </c>
      <c r="U105">
        <v>0</v>
      </c>
      <c r="V105">
        <v>1</v>
      </c>
      <c r="W105">
        <v>25.87</v>
      </c>
      <c r="X105">
        <v>12.53</v>
      </c>
      <c r="Y105">
        <v>0</v>
      </c>
      <c r="Z105">
        <v>6.6</v>
      </c>
      <c r="AA105">
        <v>1</v>
      </c>
      <c r="AB105">
        <v>19.3</v>
      </c>
      <c r="AC105">
        <v>0</v>
      </c>
      <c r="AD105">
        <v>0</v>
      </c>
      <c r="AE105">
        <v>0</v>
      </c>
      <c r="AF105">
        <v>0</v>
      </c>
      <c r="AG105">
        <v>0</v>
      </c>
      <c r="AH105">
        <v>0</v>
      </c>
      <c r="AI105">
        <v>0</v>
      </c>
      <c r="AJ105">
        <v>0</v>
      </c>
      <c r="AK105">
        <v>0</v>
      </c>
      <c r="AL105">
        <v>0</v>
      </c>
      <c r="AM105">
        <v>0</v>
      </c>
      <c r="AN105">
        <v>-12.7</v>
      </c>
      <c r="AP105" t="s">
        <v>261</v>
      </c>
      <c r="AQ105" t="s">
        <v>260</v>
      </c>
      <c r="AS105" t="s">
        <v>413</v>
      </c>
      <c r="AT105" t="s">
        <v>418</v>
      </c>
      <c r="AV105" t="s">
        <v>332</v>
      </c>
      <c r="AW105" t="s">
        <v>332</v>
      </c>
      <c r="AX105">
        <v>0</v>
      </c>
      <c r="AY105">
        <v>0</v>
      </c>
      <c r="AZ105" t="s">
        <v>233</v>
      </c>
      <c r="BA105" t="s">
        <v>233</v>
      </c>
      <c r="BB105" t="s">
        <v>411</v>
      </c>
      <c r="BC105">
        <v>8</v>
      </c>
      <c r="BD10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105" t="str">
        <f>IF(GetCurrentMonthAging3[[#This Row],[InsGroupPrimary]]="","YES","NO")</f>
        <v>NO</v>
      </c>
      <c r="BF10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106" spans="1:58" x14ac:dyDescent="0.25">
      <c r="A106" t="s">
        <v>100</v>
      </c>
      <c r="B106">
        <v>6</v>
      </c>
      <c r="C106" t="s">
        <v>331</v>
      </c>
      <c r="D106" s="142">
        <v>45199</v>
      </c>
      <c r="E106">
        <v>40792</v>
      </c>
      <c r="F106">
        <v>471542</v>
      </c>
      <c r="G106">
        <v>3072653</v>
      </c>
      <c r="H106" t="b">
        <v>0</v>
      </c>
      <c r="I106">
        <v>3435</v>
      </c>
      <c r="J106" t="s">
        <v>412</v>
      </c>
      <c r="K106">
        <v>135</v>
      </c>
      <c r="L106">
        <v>45</v>
      </c>
      <c r="M106">
        <v>3</v>
      </c>
      <c r="N106">
        <v>0</v>
      </c>
      <c r="O106">
        <v>0</v>
      </c>
      <c r="P106">
        <v>0</v>
      </c>
      <c r="Q106">
        <v>0</v>
      </c>
      <c r="R106">
        <v>0</v>
      </c>
      <c r="T106">
        <v>135</v>
      </c>
      <c r="U106">
        <v>0</v>
      </c>
      <c r="V106">
        <v>1</v>
      </c>
      <c r="W106">
        <v>56.59</v>
      </c>
      <c r="X106">
        <v>63.97</v>
      </c>
      <c r="Y106">
        <v>0</v>
      </c>
      <c r="Z106">
        <v>14.44</v>
      </c>
      <c r="AA106">
        <v>1</v>
      </c>
      <c r="AB106">
        <v>55.4</v>
      </c>
      <c r="AC106">
        <v>0</v>
      </c>
      <c r="AD106">
        <v>0</v>
      </c>
      <c r="AE106">
        <v>0</v>
      </c>
      <c r="AF106">
        <v>0</v>
      </c>
      <c r="AG106">
        <v>0</v>
      </c>
      <c r="AH106">
        <v>0</v>
      </c>
      <c r="AI106">
        <v>0</v>
      </c>
      <c r="AJ106">
        <v>0</v>
      </c>
      <c r="AK106">
        <v>0</v>
      </c>
      <c r="AL106">
        <v>0</v>
      </c>
      <c r="AM106">
        <v>0</v>
      </c>
      <c r="AN106">
        <v>-40.96</v>
      </c>
      <c r="AP106" t="s">
        <v>261</v>
      </c>
      <c r="AQ106" t="s">
        <v>260</v>
      </c>
      <c r="AS106" t="s">
        <v>413</v>
      </c>
      <c r="AT106" t="s">
        <v>418</v>
      </c>
      <c r="AV106" t="s">
        <v>332</v>
      </c>
      <c r="AW106" t="s">
        <v>332</v>
      </c>
      <c r="AX106">
        <v>0</v>
      </c>
      <c r="AY106">
        <v>0</v>
      </c>
      <c r="AZ106" t="s">
        <v>233</v>
      </c>
      <c r="BA106" t="s">
        <v>233</v>
      </c>
      <c r="BB106" t="s">
        <v>411</v>
      </c>
      <c r="BC106">
        <v>8</v>
      </c>
      <c r="BD10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106" t="str">
        <f>IF(GetCurrentMonthAging3[[#This Row],[InsGroupPrimary]]="","YES","NO")</f>
        <v>NO</v>
      </c>
      <c r="BF10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107" spans="1:58" x14ac:dyDescent="0.25">
      <c r="A107" t="s">
        <v>100</v>
      </c>
      <c r="B107">
        <v>6</v>
      </c>
      <c r="C107" t="s">
        <v>331</v>
      </c>
      <c r="D107" s="142">
        <v>45199</v>
      </c>
      <c r="E107">
        <v>39104</v>
      </c>
      <c r="F107">
        <v>456206</v>
      </c>
      <c r="G107">
        <v>3012948</v>
      </c>
      <c r="H107" t="b">
        <v>0</v>
      </c>
      <c r="I107">
        <v>3456</v>
      </c>
      <c r="J107" t="s">
        <v>416</v>
      </c>
      <c r="K107">
        <v>90</v>
      </c>
      <c r="L107">
        <v>45</v>
      </c>
      <c r="M107">
        <v>2</v>
      </c>
      <c r="N107">
        <v>0</v>
      </c>
      <c r="O107">
        <v>0</v>
      </c>
      <c r="P107">
        <v>0</v>
      </c>
      <c r="Q107">
        <v>0</v>
      </c>
      <c r="R107">
        <v>0</v>
      </c>
      <c r="T107">
        <v>90</v>
      </c>
      <c r="U107">
        <v>0</v>
      </c>
      <c r="V107">
        <v>1</v>
      </c>
      <c r="W107">
        <v>45.28</v>
      </c>
      <c r="X107">
        <v>33.17</v>
      </c>
      <c r="Y107">
        <v>0</v>
      </c>
      <c r="Z107">
        <v>11.55</v>
      </c>
      <c r="AA107">
        <v>1</v>
      </c>
      <c r="AB107">
        <v>81</v>
      </c>
      <c r="AC107">
        <v>0</v>
      </c>
      <c r="AD107">
        <v>0</v>
      </c>
      <c r="AE107">
        <v>0</v>
      </c>
      <c r="AF107">
        <v>0</v>
      </c>
      <c r="AG107">
        <v>0</v>
      </c>
      <c r="AH107">
        <v>0</v>
      </c>
      <c r="AI107">
        <v>0</v>
      </c>
      <c r="AJ107">
        <v>0</v>
      </c>
      <c r="AK107">
        <v>0</v>
      </c>
      <c r="AL107">
        <v>0</v>
      </c>
      <c r="AM107">
        <v>0</v>
      </c>
      <c r="AN107">
        <v>-69.45</v>
      </c>
      <c r="AP107" t="s">
        <v>261</v>
      </c>
      <c r="AQ107" t="s">
        <v>260</v>
      </c>
      <c r="AS107" t="s">
        <v>413</v>
      </c>
      <c r="AT107" t="s">
        <v>415</v>
      </c>
      <c r="AV107" t="s">
        <v>332</v>
      </c>
      <c r="AW107" t="s">
        <v>332</v>
      </c>
      <c r="AX107">
        <v>0</v>
      </c>
      <c r="AY107">
        <v>0</v>
      </c>
      <c r="AZ107" t="s">
        <v>233</v>
      </c>
      <c r="BA107" t="s">
        <v>233</v>
      </c>
      <c r="BB107" t="s">
        <v>411</v>
      </c>
      <c r="BC107">
        <v>8</v>
      </c>
      <c r="BD10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107" t="str">
        <f>IF(GetCurrentMonthAging3[[#This Row],[InsGroupPrimary]]="","YES","NO")</f>
        <v>NO</v>
      </c>
      <c r="BF10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108" spans="1:58" x14ac:dyDescent="0.25">
      <c r="A108" t="s">
        <v>100</v>
      </c>
      <c r="B108">
        <v>6</v>
      </c>
      <c r="C108" t="s">
        <v>331</v>
      </c>
      <c r="D108" s="142">
        <v>45199</v>
      </c>
      <c r="E108">
        <v>40692</v>
      </c>
      <c r="F108">
        <v>459635</v>
      </c>
      <c r="G108">
        <v>3015955</v>
      </c>
      <c r="H108" t="b">
        <v>0</v>
      </c>
      <c r="I108">
        <v>3454</v>
      </c>
      <c r="J108" t="s">
        <v>419</v>
      </c>
      <c r="K108">
        <v>45</v>
      </c>
      <c r="L108">
        <v>45</v>
      </c>
      <c r="M108">
        <v>1</v>
      </c>
      <c r="N108">
        <v>0</v>
      </c>
      <c r="O108">
        <v>0</v>
      </c>
      <c r="P108">
        <v>0</v>
      </c>
      <c r="Q108">
        <v>0</v>
      </c>
      <c r="R108">
        <v>0</v>
      </c>
      <c r="T108">
        <v>45</v>
      </c>
      <c r="U108">
        <v>0</v>
      </c>
      <c r="V108">
        <v>0</v>
      </c>
      <c r="W108">
        <v>0</v>
      </c>
      <c r="X108">
        <v>0</v>
      </c>
      <c r="Y108">
        <v>0</v>
      </c>
      <c r="Z108">
        <v>0</v>
      </c>
      <c r="AA108">
        <v>0</v>
      </c>
      <c r="AB108">
        <v>0</v>
      </c>
      <c r="AC108">
        <v>0</v>
      </c>
      <c r="AD108">
        <v>0</v>
      </c>
      <c r="AE108">
        <v>0</v>
      </c>
      <c r="AF108">
        <v>0</v>
      </c>
      <c r="AG108">
        <v>0</v>
      </c>
      <c r="AH108">
        <v>0</v>
      </c>
      <c r="AI108">
        <v>0</v>
      </c>
      <c r="AJ108">
        <v>0</v>
      </c>
      <c r="AK108">
        <v>22.3</v>
      </c>
      <c r="AL108">
        <v>2</v>
      </c>
      <c r="AM108">
        <v>0</v>
      </c>
      <c r="AN108">
        <v>22.7</v>
      </c>
      <c r="AP108" t="s">
        <v>259</v>
      </c>
      <c r="AS108" t="s">
        <v>420</v>
      </c>
      <c r="AV108" t="s">
        <v>259</v>
      </c>
      <c r="AW108" t="s">
        <v>420</v>
      </c>
      <c r="AX108">
        <v>0</v>
      </c>
      <c r="AY108">
        <v>0</v>
      </c>
      <c r="AZ108" t="s">
        <v>264</v>
      </c>
      <c r="BA108" t="s">
        <v>264</v>
      </c>
      <c r="BB108" t="s">
        <v>411</v>
      </c>
      <c r="BC108">
        <v>8</v>
      </c>
      <c r="BD10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108" t="str">
        <f>IF(GetCurrentMonthAging3[[#This Row],[InsGroupPrimary]]="","YES","NO")</f>
        <v>NO</v>
      </c>
      <c r="BF10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109" spans="1:58" x14ac:dyDescent="0.25">
      <c r="A109" t="s">
        <v>100</v>
      </c>
      <c r="B109">
        <v>6</v>
      </c>
      <c r="C109" t="s">
        <v>331</v>
      </c>
      <c r="D109" s="142">
        <v>45199</v>
      </c>
      <c r="E109">
        <v>40692</v>
      </c>
      <c r="F109">
        <v>459635</v>
      </c>
      <c r="G109">
        <v>3015957</v>
      </c>
      <c r="H109" t="b">
        <v>0</v>
      </c>
      <c r="I109">
        <v>3454</v>
      </c>
      <c r="J109" t="s">
        <v>421</v>
      </c>
      <c r="K109">
        <v>30</v>
      </c>
      <c r="L109">
        <v>30</v>
      </c>
      <c r="M109">
        <v>1</v>
      </c>
      <c r="N109">
        <v>0</v>
      </c>
      <c r="O109">
        <v>30</v>
      </c>
      <c r="P109">
        <v>30</v>
      </c>
      <c r="Q109">
        <v>0</v>
      </c>
      <c r="R109">
        <v>0</v>
      </c>
      <c r="T109">
        <v>30</v>
      </c>
      <c r="U109">
        <v>0</v>
      </c>
      <c r="V109">
        <v>0</v>
      </c>
      <c r="W109">
        <v>0</v>
      </c>
      <c r="X109">
        <v>0</v>
      </c>
      <c r="Y109">
        <v>0</v>
      </c>
      <c r="Z109">
        <v>0</v>
      </c>
      <c r="AA109">
        <v>0</v>
      </c>
      <c r="AB109">
        <v>0</v>
      </c>
      <c r="AC109">
        <v>0</v>
      </c>
      <c r="AD109">
        <v>0</v>
      </c>
      <c r="AE109">
        <v>0</v>
      </c>
      <c r="AF109">
        <v>0</v>
      </c>
      <c r="AG109">
        <v>0</v>
      </c>
      <c r="AH109">
        <v>0</v>
      </c>
      <c r="AI109">
        <v>0</v>
      </c>
      <c r="AJ109">
        <v>0</v>
      </c>
      <c r="AK109">
        <v>10.14</v>
      </c>
      <c r="AL109">
        <v>2</v>
      </c>
      <c r="AM109">
        <v>0</v>
      </c>
      <c r="AN109">
        <v>-10.14</v>
      </c>
      <c r="AP109" t="s">
        <v>259</v>
      </c>
      <c r="AS109" t="s">
        <v>420</v>
      </c>
      <c r="AV109" t="s">
        <v>259</v>
      </c>
      <c r="AW109" t="s">
        <v>420</v>
      </c>
      <c r="AX109">
        <v>0</v>
      </c>
      <c r="AY109">
        <v>0</v>
      </c>
      <c r="AZ109" t="s">
        <v>264</v>
      </c>
      <c r="BA109" t="s">
        <v>264</v>
      </c>
      <c r="BB109" t="s">
        <v>411</v>
      </c>
      <c r="BC109">
        <v>8</v>
      </c>
      <c r="BD10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109" t="str">
        <f>IF(GetCurrentMonthAging3[[#This Row],[InsGroupPrimary]]="","YES","NO")</f>
        <v>NO</v>
      </c>
      <c r="BF10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110" spans="1:58" x14ac:dyDescent="0.25">
      <c r="A110" t="s">
        <v>100</v>
      </c>
      <c r="B110">
        <v>6</v>
      </c>
      <c r="C110" t="s">
        <v>331</v>
      </c>
      <c r="D110" s="142">
        <v>45199</v>
      </c>
      <c r="E110">
        <v>40792</v>
      </c>
      <c r="F110">
        <v>478672</v>
      </c>
      <c r="G110">
        <v>3113347</v>
      </c>
      <c r="H110" t="b">
        <v>0</v>
      </c>
      <c r="I110">
        <v>3419</v>
      </c>
      <c r="J110" t="s">
        <v>416</v>
      </c>
      <c r="K110">
        <v>45</v>
      </c>
      <c r="L110">
        <v>45</v>
      </c>
      <c r="M110">
        <v>1</v>
      </c>
      <c r="N110">
        <v>0</v>
      </c>
      <c r="O110">
        <v>0</v>
      </c>
      <c r="P110">
        <v>0</v>
      </c>
      <c r="Q110">
        <v>0</v>
      </c>
      <c r="R110">
        <v>0</v>
      </c>
      <c r="T110">
        <v>45</v>
      </c>
      <c r="U110">
        <v>0</v>
      </c>
      <c r="V110">
        <v>1</v>
      </c>
      <c r="W110">
        <v>25.87</v>
      </c>
      <c r="X110">
        <v>12.53</v>
      </c>
      <c r="Y110">
        <v>0</v>
      </c>
      <c r="Z110">
        <v>6.6</v>
      </c>
      <c r="AA110">
        <v>1</v>
      </c>
      <c r="AB110">
        <v>19.3</v>
      </c>
      <c r="AC110">
        <v>0</v>
      </c>
      <c r="AD110">
        <v>0</v>
      </c>
      <c r="AE110">
        <v>0</v>
      </c>
      <c r="AF110">
        <v>0</v>
      </c>
      <c r="AG110">
        <v>0</v>
      </c>
      <c r="AH110">
        <v>0</v>
      </c>
      <c r="AI110">
        <v>0</v>
      </c>
      <c r="AJ110">
        <v>0</v>
      </c>
      <c r="AK110">
        <v>0</v>
      </c>
      <c r="AL110">
        <v>0</v>
      </c>
      <c r="AM110">
        <v>0</v>
      </c>
      <c r="AN110">
        <v>-12.7</v>
      </c>
      <c r="AP110" t="s">
        <v>261</v>
      </c>
      <c r="AQ110" t="s">
        <v>260</v>
      </c>
      <c r="AS110" t="s">
        <v>413</v>
      </c>
      <c r="AT110" t="s">
        <v>418</v>
      </c>
      <c r="AV110" t="s">
        <v>332</v>
      </c>
      <c r="AW110" t="s">
        <v>332</v>
      </c>
      <c r="AX110">
        <v>0</v>
      </c>
      <c r="AY110">
        <v>0</v>
      </c>
      <c r="AZ110" t="s">
        <v>233</v>
      </c>
      <c r="BA110" t="s">
        <v>233</v>
      </c>
      <c r="BB110" t="s">
        <v>411</v>
      </c>
      <c r="BC110">
        <v>8</v>
      </c>
      <c r="BD11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110" t="str">
        <f>IF(GetCurrentMonthAging3[[#This Row],[InsGroupPrimary]]="","YES","NO")</f>
        <v>NO</v>
      </c>
      <c r="BF11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111" spans="1:58" x14ac:dyDescent="0.25">
      <c r="A111" t="s">
        <v>100</v>
      </c>
      <c r="B111">
        <v>6</v>
      </c>
      <c r="C111" t="s">
        <v>331</v>
      </c>
      <c r="D111" s="142">
        <v>45199</v>
      </c>
      <c r="E111">
        <v>40792</v>
      </c>
      <c r="F111">
        <v>478672</v>
      </c>
      <c r="G111">
        <v>3113348</v>
      </c>
      <c r="H111" t="b">
        <v>0</v>
      </c>
      <c r="I111">
        <v>3419</v>
      </c>
      <c r="J111" t="s">
        <v>412</v>
      </c>
      <c r="K111">
        <v>135</v>
      </c>
      <c r="L111">
        <v>45</v>
      </c>
      <c r="M111">
        <v>3</v>
      </c>
      <c r="N111">
        <v>0</v>
      </c>
      <c r="O111">
        <v>0</v>
      </c>
      <c r="P111">
        <v>0</v>
      </c>
      <c r="Q111">
        <v>0</v>
      </c>
      <c r="R111">
        <v>0</v>
      </c>
      <c r="T111">
        <v>135</v>
      </c>
      <c r="U111">
        <v>0</v>
      </c>
      <c r="V111">
        <v>1</v>
      </c>
      <c r="W111">
        <v>56.59</v>
      </c>
      <c r="X111">
        <v>63.97</v>
      </c>
      <c r="Y111">
        <v>0</v>
      </c>
      <c r="Z111">
        <v>14.44</v>
      </c>
      <c r="AA111">
        <v>1</v>
      </c>
      <c r="AB111">
        <v>55.4</v>
      </c>
      <c r="AC111">
        <v>0</v>
      </c>
      <c r="AD111">
        <v>0</v>
      </c>
      <c r="AE111">
        <v>0</v>
      </c>
      <c r="AF111">
        <v>0</v>
      </c>
      <c r="AG111">
        <v>0</v>
      </c>
      <c r="AH111">
        <v>0</v>
      </c>
      <c r="AI111">
        <v>0</v>
      </c>
      <c r="AJ111">
        <v>0</v>
      </c>
      <c r="AK111">
        <v>0</v>
      </c>
      <c r="AL111">
        <v>0</v>
      </c>
      <c r="AM111">
        <v>0</v>
      </c>
      <c r="AN111">
        <v>-40.96</v>
      </c>
      <c r="AP111" t="s">
        <v>261</v>
      </c>
      <c r="AQ111" t="s">
        <v>260</v>
      </c>
      <c r="AS111" t="s">
        <v>413</v>
      </c>
      <c r="AT111" t="s">
        <v>418</v>
      </c>
      <c r="AV111" t="s">
        <v>332</v>
      </c>
      <c r="AW111" t="s">
        <v>332</v>
      </c>
      <c r="AX111">
        <v>0</v>
      </c>
      <c r="AY111">
        <v>0</v>
      </c>
      <c r="AZ111" t="s">
        <v>233</v>
      </c>
      <c r="BA111" t="s">
        <v>233</v>
      </c>
      <c r="BB111" t="s">
        <v>411</v>
      </c>
      <c r="BC111">
        <v>8</v>
      </c>
      <c r="BD11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111" t="str">
        <f>IF(GetCurrentMonthAging3[[#This Row],[InsGroupPrimary]]="","YES","NO")</f>
        <v>NO</v>
      </c>
      <c r="BF11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112" spans="1:58" x14ac:dyDescent="0.25">
      <c r="A112" t="s">
        <v>100</v>
      </c>
      <c r="B112">
        <v>6</v>
      </c>
      <c r="C112" t="s">
        <v>331</v>
      </c>
      <c r="D112" s="142">
        <v>45199</v>
      </c>
      <c r="E112">
        <v>40692</v>
      </c>
      <c r="F112">
        <v>459636</v>
      </c>
      <c r="G112">
        <v>3022358</v>
      </c>
      <c r="H112" t="b">
        <v>0</v>
      </c>
      <c r="I112">
        <v>3452</v>
      </c>
      <c r="J112" t="s">
        <v>421</v>
      </c>
      <c r="K112">
        <v>30</v>
      </c>
      <c r="L112">
        <v>30</v>
      </c>
      <c r="M112">
        <v>1</v>
      </c>
      <c r="N112">
        <v>0</v>
      </c>
      <c r="O112">
        <v>30</v>
      </c>
      <c r="P112">
        <v>30</v>
      </c>
      <c r="Q112">
        <v>0</v>
      </c>
      <c r="R112">
        <v>0</v>
      </c>
      <c r="T112">
        <v>30</v>
      </c>
      <c r="U112">
        <v>0</v>
      </c>
      <c r="V112">
        <v>0</v>
      </c>
      <c r="W112">
        <v>0</v>
      </c>
      <c r="X112">
        <v>0</v>
      </c>
      <c r="Y112">
        <v>0</v>
      </c>
      <c r="Z112">
        <v>0</v>
      </c>
      <c r="AA112">
        <v>0</v>
      </c>
      <c r="AB112">
        <v>0</v>
      </c>
      <c r="AC112">
        <v>0</v>
      </c>
      <c r="AD112">
        <v>0</v>
      </c>
      <c r="AE112">
        <v>0</v>
      </c>
      <c r="AF112">
        <v>0</v>
      </c>
      <c r="AG112">
        <v>0</v>
      </c>
      <c r="AH112">
        <v>0</v>
      </c>
      <c r="AI112">
        <v>0</v>
      </c>
      <c r="AJ112">
        <v>0</v>
      </c>
      <c r="AK112">
        <v>10.14</v>
      </c>
      <c r="AL112">
        <v>2</v>
      </c>
      <c r="AM112">
        <v>0</v>
      </c>
      <c r="AN112">
        <v>-10.14</v>
      </c>
      <c r="AP112" t="s">
        <v>259</v>
      </c>
      <c r="AS112" t="s">
        <v>420</v>
      </c>
      <c r="AV112" t="s">
        <v>259</v>
      </c>
      <c r="AW112" t="s">
        <v>420</v>
      </c>
      <c r="AX112">
        <v>0</v>
      </c>
      <c r="AY112">
        <v>0</v>
      </c>
      <c r="AZ112" t="s">
        <v>264</v>
      </c>
      <c r="BA112" t="s">
        <v>264</v>
      </c>
      <c r="BB112" t="s">
        <v>411</v>
      </c>
      <c r="BC112">
        <v>8</v>
      </c>
      <c r="BD11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112" t="str">
        <f>IF(GetCurrentMonthAging3[[#This Row],[InsGroupPrimary]]="","YES","NO")</f>
        <v>NO</v>
      </c>
      <c r="BF11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113" spans="1:58" x14ac:dyDescent="0.25">
      <c r="A113" t="s">
        <v>100</v>
      </c>
      <c r="B113">
        <v>6</v>
      </c>
      <c r="C113" t="s">
        <v>331</v>
      </c>
      <c r="D113" s="142">
        <v>45199</v>
      </c>
      <c r="E113">
        <v>40792</v>
      </c>
      <c r="F113">
        <v>460570</v>
      </c>
      <c r="G113">
        <v>3022597</v>
      </c>
      <c r="H113" t="b">
        <v>0</v>
      </c>
      <c r="I113">
        <v>3452</v>
      </c>
      <c r="J113" t="s">
        <v>416</v>
      </c>
      <c r="K113">
        <v>45</v>
      </c>
      <c r="L113">
        <v>45</v>
      </c>
      <c r="M113">
        <v>1</v>
      </c>
      <c r="N113">
        <v>0</v>
      </c>
      <c r="O113">
        <v>0</v>
      </c>
      <c r="P113">
        <v>0</v>
      </c>
      <c r="Q113">
        <v>0</v>
      </c>
      <c r="R113">
        <v>0</v>
      </c>
      <c r="T113">
        <v>45</v>
      </c>
      <c r="U113">
        <v>0</v>
      </c>
      <c r="V113">
        <v>1</v>
      </c>
      <c r="W113">
        <v>19.399999999999999</v>
      </c>
      <c r="X113">
        <v>20.65</v>
      </c>
      <c r="Y113">
        <v>0</v>
      </c>
      <c r="Z113">
        <v>4.95</v>
      </c>
      <c r="AA113">
        <v>1</v>
      </c>
      <c r="AB113">
        <v>19.3</v>
      </c>
      <c r="AC113">
        <v>0</v>
      </c>
      <c r="AD113">
        <v>0</v>
      </c>
      <c r="AE113">
        <v>0</v>
      </c>
      <c r="AF113">
        <v>0</v>
      </c>
      <c r="AG113">
        <v>0</v>
      </c>
      <c r="AH113">
        <v>0</v>
      </c>
      <c r="AI113">
        <v>0</v>
      </c>
      <c r="AJ113">
        <v>0</v>
      </c>
      <c r="AK113">
        <v>0</v>
      </c>
      <c r="AL113">
        <v>0</v>
      </c>
      <c r="AM113">
        <v>0</v>
      </c>
      <c r="AN113">
        <v>-14.35</v>
      </c>
      <c r="AP113" t="s">
        <v>261</v>
      </c>
      <c r="AQ113" t="s">
        <v>260</v>
      </c>
      <c r="AS113" t="s">
        <v>413</v>
      </c>
      <c r="AT113" t="s">
        <v>418</v>
      </c>
      <c r="AV113" t="s">
        <v>332</v>
      </c>
      <c r="AW113" t="s">
        <v>332</v>
      </c>
      <c r="AX113">
        <v>0</v>
      </c>
      <c r="AY113">
        <v>0</v>
      </c>
      <c r="AZ113" t="s">
        <v>233</v>
      </c>
      <c r="BA113" t="s">
        <v>233</v>
      </c>
      <c r="BB113" t="s">
        <v>411</v>
      </c>
      <c r="BC113">
        <v>8</v>
      </c>
      <c r="BD11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113" t="str">
        <f>IF(GetCurrentMonthAging3[[#This Row],[InsGroupPrimary]]="","YES","NO")</f>
        <v>NO</v>
      </c>
      <c r="BF11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114" spans="1:58" x14ac:dyDescent="0.25">
      <c r="A114" t="s">
        <v>100</v>
      </c>
      <c r="B114">
        <v>6</v>
      </c>
      <c r="C114" t="s">
        <v>331</v>
      </c>
      <c r="D114" s="142">
        <v>45199</v>
      </c>
      <c r="E114">
        <v>40692</v>
      </c>
      <c r="F114">
        <v>459637</v>
      </c>
      <c r="G114">
        <v>3024382</v>
      </c>
      <c r="H114" t="b">
        <v>0</v>
      </c>
      <c r="I114">
        <v>3449</v>
      </c>
      <c r="J114" t="s">
        <v>419</v>
      </c>
      <c r="K114">
        <v>45</v>
      </c>
      <c r="L114">
        <v>45</v>
      </c>
      <c r="M114">
        <v>1</v>
      </c>
      <c r="N114">
        <v>0</v>
      </c>
      <c r="O114">
        <v>45</v>
      </c>
      <c r="P114">
        <v>45</v>
      </c>
      <c r="Q114">
        <v>0</v>
      </c>
      <c r="R114">
        <v>0</v>
      </c>
      <c r="T114">
        <v>45</v>
      </c>
      <c r="U114">
        <v>0</v>
      </c>
      <c r="V114">
        <v>0</v>
      </c>
      <c r="W114">
        <v>0</v>
      </c>
      <c r="X114">
        <v>0</v>
      </c>
      <c r="Y114">
        <v>0</v>
      </c>
      <c r="Z114">
        <v>0</v>
      </c>
      <c r="AA114">
        <v>0</v>
      </c>
      <c r="AB114">
        <v>0</v>
      </c>
      <c r="AC114">
        <v>0</v>
      </c>
      <c r="AD114">
        <v>0</v>
      </c>
      <c r="AE114">
        <v>0</v>
      </c>
      <c r="AF114">
        <v>0</v>
      </c>
      <c r="AG114">
        <v>0</v>
      </c>
      <c r="AH114">
        <v>0</v>
      </c>
      <c r="AI114">
        <v>0</v>
      </c>
      <c r="AJ114">
        <v>0</v>
      </c>
      <c r="AK114">
        <v>22.3</v>
      </c>
      <c r="AL114">
        <v>2</v>
      </c>
      <c r="AM114">
        <v>0</v>
      </c>
      <c r="AN114">
        <v>-22.3</v>
      </c>
      <c r="AP114" t="s">
        <v>259</v>
      </c>
      <c r="AS114" t="s">
        <v>420</v>
      </c>
      <c r="AV114" t="s">
        <v>259</v>
      </c>
      <c r="AW114" t="s">
        <v>420</v>
      </c>
      <c r="AX114">
        <v>0</v>
      </c>
      <c r="AY114">
        <v>0</v>
      </c>
      <c r="AZ114" t="s">
        <v>264</v>
      </c>
      <c r="BA114" t="s">
        <v>264</v>
      </c>
      <c r="BB114" t="s">
        <v>411</v>
      </c>
      <c r="BC114">
        <v>8</v>
      </c>
      <c r="BD11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114" t="str">
        <f>IF(GetCurrentMonthAging3[[#This Row],[InsGroupPrimary]]="","YES","NO")</f>
        <v>NO</v>
      </c>
      <c r="BF11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115" spans="1:58" x14ac:dyDescent="0.25">
      <c r="A115" t="s">
        <v>100</v>
      </c>
      <c r="B115">
        <v>6</v>
      </c>
      <c r="C115" t="s">
        <v>331</v>
      </c>
      <c r="D115" s="142">
        <v>45199</v>
      </c>
      <c r="E115">
        <v>40692</v>
      </c>
      <c r="F115">
        <v>459637</v>
      </c>
      <c r="G115">
        <v>3024383</v>
      </c>
      <c r="H115" t="b">
        <v>0</v>
      </c>
      <c r="I115">
        <v>3449</v>
      </c>
      <c r="J115" t="s">
        <v>412</v>
      </c>
      <c r="K115">
        <v>45</v>
      </c>
      <c r="L115">
        <v>45</v>
      </c>
      <c r="M115">
        <v>1</v>
      </c>
      <c r="N115">
        <v>0</v>
      </c>
      <c r="O115">
        <v>45</v>
      </c>
      <c r="P115">
        <v>45</v>
      </c>
      <c r="Q115">
        <v>0</v>
      </c>
      <c r="R115">
        <v>0</v>
      </c>
      <c r="T115">
        <v>45</v>
      </c>
      <c r="U115">
        <v>0</v>
      </c>
      <c r="V115">
        <v>0</v>
      </c>
      <c r="W115">
        <v>0</v>
      </c>
      <c r="X115">
        <v>0</v>
      </c>
      <c r="Y115">
        <v>0</v>
      </c>
      <c r="Z115">
        <v>0</v>
      </c>
      <c r="AA115">
        <v>0</v>
      </c>
      <c r="AB115">
        <v>0</v>
      </c>
      <c r="AC115">
        <v>0</v>
      </c>
      <c r="AD115">
        <v>0</v>
      </c>
      <c r="AE115">
        <v>0</v>
      </c>
      <c r="AF115">
        <v>0</v>
      </c>
      <c r="AG115">
        <v>0</v>
      </c>
      <c r="AH115">
        <v>0</v>
      </c>
      <c r="AI115">
        <v>0</v>
      </c>
      <c r="AJ115">
        <v>0</v>
      </c>
      <c r="AK115">
        <v>31.12</v>
      </c>
      <c r="AL115">
        <v>2</v>
      </c>
      <c r="AM115">
        <v>0</v>
      </c>
      <c r="AN115">
        <v>-31.12</v>
      </c>
      <c r="AP115" t="s">
        <v>259</v>
      </c>
      <c r="AS115" t="s">
        <v>420</v>
      </c>
      <c r="AV115" t="s">
        <v>259</v>
      </c>
      <c r="AW115" t="s">
        <v>420</v>
      </c>
      <c r="AX115">
        <v>0</v>
      </c>
      <c r="AY115">
        <v>0</v>
      </c>
      <c r="AZ115" t="s">
        <v>264</v>
      </c>
      <c r="BA115" t="s">
        <v>264</v>
      </c>
      <c r="BB115" t="s">
        <v>411</v>
      </c>
      <c r="BC115">
        <v>8</v>
      </c>
      <c r="BD11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115" t="str">
        <f>IF(GetCurrentMonthAging3[[#This Row],[InsGroupPrimary]]="","YES","NO")</f>
        <v>NO</v>
      </c>
      <c r="BF11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116" spans="1:58" x14ac:dyDescent="0.25">
      <c r="A116" t="s">
        <v>100</v>
      </c>
      <c r="B116">
        <v>6</v>
      </c>
      <c r="C116" t="s">
        <v>331</v>
      </c>
      <c r="D116" s="142">
        <v>45199</v>
      </c>
      <c r="E116">
        <v>40792</v>
      </c>
      <c r="F116">
        <v>463665</v>
      </c>
      <c r="G116">
        <v>3025662</v>
      </c>
      <c r="H116" t="b">
        <v>0</v>
      </c>
      <c r="I116">
        <v>3449</v>
      </c>
      <c r="J116" t="s">
        <v>412</v>
      </c>
      <c r="K116">
        <v>90</v>
      </c>
      <c r="L116">
        <v>45</v>
      </c>
      <c r="M116">
        <v>2</v>
      </c>
      <c r="N116">
        <v>0</v>
      </c>
      <c r="O116">
        <v>0</v>
      </c>
      <c r="P116">
        <v>0</v>
      </c>
      <c r="Q116">
        <v>0</v>
      </c>
      <c r="R116">
        <v>0</v>
      </c>
      <c r="T116">
        <v>90</v>
      </c>
      <c r="U116">
        <v>0</v>
      </c>
      <c r="V116">
        <v>1</v>
      </c>
      <c r="W116">
        <v>37.729999999999997</v>
      </c>
      <c r="X116">
        <v>42.65</v>
      </c>
      <c r="Y116">
        <v>0</v>
      </c>
      <c r="Z116">
        <v>9.6199999999999992</v>
      </c>
      <c r="AA116">
        <v>1</v>
      </c>
      <c r="AB116">
        <v>36.94</v>
      </c>
      <c r="AC116">
        <v>0</v>
      </c>
      <c r="AD116">
        <v>0</v>
      </c>
      <c r="AE116">
        <v>0</v>
      </c>
      <c r="AF116">
        <v>0</v>
      </c>
      <c r="AG116">
        <v>0</v>
      </c>
      <c r="AH116">
        <v>0</v>
      </c>
      <c r="AI116">
        <v>0</v>
      </c>
      <c r="AJ116">
        <v>0</v>
      </c>
      <c r="AK116">
        <v>0</v>
      </c>
      <c r="AL116">
        <v>0</v>
      </c>
      <c r="AM116">
        <v>0</v>
      </c>
      <c r="AN116">
        <v>-27.32</v>
      </c>
      <c r="AP116" t="s">
        <v>261</v>
      </c>
      <c r="AQ116" t="s">
        <v>260</v>
      </c>
      <c r="AS116" t="s">
        <v>413</v>
      </c>
      <c r="AT116" t="s">
        <v>418</v>
      </c>
      <c r="AV116" t="s">
        <v>332</v>
      </c>
      <c r="AW116" t="s">
        <v>332</v>
      </c>
      <c r="AX116">
        <v>0</v>
      </c>
      <c r="AY116">
        <v>0</v>
      </c>
      <c r="AZ116" t="s">
        <v>233</v>
      </c>
      <c r="BA116" t="s">
        <v>233</v>
      </c>
      <c r="BB116" t="s">
        <v>411</v>
      </c>
      <c r="BC116">
        <v>8</v>
      </c>
      <c r="BD11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116" t="str">
        <f>IF(GetCurrentMonthAging3[[#This Row],[InsGroupPrimary]]="","YES","NO")</f>
        <v>NO</v>
      </c>
      <c r="BF11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117" spans="1:58" x14ac:dyDescent="0.25">
      <c r="A117" t="s">
        <v>100</v>
      </c>
      <c r="B117">
        <v>6</v>
      </c>
      <c r="C117" t="s">
        <v>331</v>
      </c>
      <c r="D117" s="142">
        <v>45199</v>
      </c>
      <c r="E117">
        <v>40792</v>
      </c>
      <c r="F117">
        <v>475620</v>
      </c>
      <c r="G117">
        <v>3098901</v>
      </c>
      <c r="H117" t="b">
        <v>0</v>
      </c>
      <c r="I117">
        <v>3424</v>
      </c>
      <c r="J117" t="s">
        <v>412</v>
      </c>
      <c r="K117">
        <v>135</v>
      </c>
      <c r="L117">
        <v>45</v>
      </c>
      <c r="M117">
        <v>3</v>
      </c>
      <c r="N117">
        <v>0</v>
      </c>
      <c r="O117">
        <v>0</v>
      </c>
      <c r="P117">
        <v>0</v>
      </c>
      <c r="Q117">
        <v>0</v>
      </c>
      <c r="R117">
        <v>0</v>
      </c>
      <c r="T117">
        <v>135</v>
      </c>
      <c r="U117">
        <v>0</v>
      </c>
      <c r="V117">
        <v>1</v>
      </c>
      <c r="W117">
        <v>56.59</v>
      </c>
      <c r="X117">
        <v>63.97</v>
      </c>
      <c r="Y117">
        <v>0</v>
      </c>
      <c r="Z117">
        <v>14.44</v>
      </c>
      <c r="AA117">
        <v>1</v>
      </c>
      <c r="AB117">
        <v>55.4</v>
      </c>
      <c r="AC117">
        <v>0</v>
      </c>
      <c r="AD117">
        <v>0</v>
      </c>
      <c r="AE117">
        <v>0</v>
      </c>
      <c r="AF117">
        <v>0</v>
      </c>
      <c r="AG117">
        <v>0</v>
      </c>
      <c r="AH117">
        <v>0</v>
      </c>
      <c r="AI117">
        <v>0</v>
      </c>
      <c r="AJ117">
        <v>0</v>
      </c>
      <c r="AK117">
        <v>0</v>
      </c>
      <c r="AL117">
        <v>0</v>
      </c>
      <c r="AM117">
        <v>0</v>
      </c>
      <c r="AN117">
        <v>-40.96</v>
      </c>
      <c r="AP117" t="s">
        <v>261</v>
      </c>
      <c r="AQ117" t="s">
        <v>260</v>
      </c>
      <c r="AS117" t="s">
        <v>413</v>
      </c>
      <c r="AT117" t="s">
        <v>418</v>
      </c>
      <c r="AV117" t="s">
        <v>332</v>
      </c>
      <c r="AW117" t="s">
        <v>332</v>
      </c>
      <c r="AX117">
        <v>0</v>
      </c>
      <c r="AY117">
        <v>0</v>
      </c>
      <c r="AZ117" t="s">
        <v>233</v>
      </c>
      <c r="BA117" t="s">
        <v>233</v>
      </c>
      <c r="BB117" t="s">
        <v>411</v>
      </c>
      <c r="BC117">
        <v>8</v>
      </c>
      <c r="BD11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117" t="str">
        <f>IF(GetCurrentMonthAging3[[#This Row],[InsGroupPrimary]]="","YES","NO")</f>
        <v>NO</v>
      </c>
      <c r="BF11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118" spans="1:58" x14ac:dyDescent="0.25">
      <c r="A118" t="s">
        <v>100</v>
      </c>
      <c r="B118">
        <v>6</v>
      </c>
      <c r="C118" t="s">
        <v>331</v>
      </c>
      <c r="D118" s="142">
        <v>45199</v>
      </c>
      <c r="E118">
        <v>62544</v>
      </c>
      <c r="F118">
        <v>743073</v>
      </c>
      <c r="G118">
        <v>4111055</v>
      </c>
      <c r="H118" t="b">
        <v>0</v>
      </c>
      <c r="I118">
        <v>3162</v>
      </c>
      <c r="J118" t="s">
        <v>416</v>
      </c>
      <c r="K118">
        <v>45</v>
      </c>
      <c r="L118">
        <v>45</v>
      </c>
      <c r="M118">
        <v>1</v>
      </c>
      <c r="N118">
        <v>0</v>
      </c>
      <c r="O118">
        <v>0</v>
      </c>
      <c r="P118">
        <v>0</v>
      </c>
      <c r="Q118">
        <v>0</v>
      </c>
      <c r="R118">
        <v>0</v>
      </c>
      <c r="T118">
        <v>45</v>
      </c>
      <c r="U118">
        <v>0</v>
      </c>
      <c r="V118">
        <v>0</v>
      </c>
      <c r="W118">
        <v>0</v>
      </c>
      <c r="X118">
        <v>0</v>
      </c>
      <c r="Y118">
        <v>0</v>
      </c>
      <c r="Z118">
        <v>0</v>
      </c>
      <c r="AA118">
        <v>1</v>
      </c>
      <c r="AB118">
        <v>28.75</v>
      </c>
      <c r="AC118">
        <v>0</v>
      </c>
      <c r="AD118">
        <v>0</v>
      </c>
      <c r="AE118">
        <v>0</v>
      </c>
      <c r="AF118">
        <v>0</v>
      </c>
      <c r="AG118">
        <v>0</v>
      </c>
      <c r="AH118">
        <v>0</v>
      </c>
      <c r="AI118">
        <v>0</v>
      </c>
      <c r="AJ118">
        <v>0</v>
      </c>
      <c r="AK118">
        <v>0</v>
      </c>
      <c r="AL118">
        <v>0</v>
      </c>
      <c r="AM118">
        <v>45</v>
      </c>
      <c r="AN118">
        <v>-28.75</v>
      </c>
      <c r="AP118" t="s">
        <v>260</v>
      </c>
      <c r="AQ118" t="s">
        <v>259</v>
      </c>
      <c r="AS118" t="s">
        <v>414</v>
      </c>
      <c r="AT118" t="s">
        <v>427</v>
      </c>
      <c r="AV118" t="s">
        <v>260</v>
      </c>
      <c r="AW118" t="s">
        <v>414</v>
      </c>
      <c r="AX118">
        <v>0</v>
      </c>
      <c r="AY118">
        <v>0</v>
      </c>
      <c r="AZ118" t="s">
        <v>233</v>
      </c>
      <c r="BA118" t="s">
        <v>233</v>
      </c>
      <c r="BB118" t="s">
        <v>411</v>
      </c>
      <c r="BC118">
        <v>8</v>
      </c>
      <c r="BD11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-55</v>
      </c>
      <c r="BE118" t="str">
        <f>IF(GetCurrentMonthAging3[[#This Row],[InsGroupPrimary]]="","YES","NO")</f>
        <v>NO</v>
      </c>
      <c r="BF11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-55</v>
      </c>
    </row>
    <row r="119" spans="1:58" x14ac:dyDescent="0.25">
      <c r="A119" t="s">
        <v>100</v>
      </c>
      <c r="B119">
        <v>6</v>
      </c>
      <c r="C119" t="s">
        <v>331</v>
      </c>
      <c r="D119" s="142">
        <v>45199</v>
      </c>
      <c r="E119">
        <v>62544</v>
      </c>
      <c r="F119">
        <v>743073</v>
      </c>
      <c r="G119">
        <v>4111053</v>
      </c>
      <c r="H119" t="b">
        <v>0</v>
      </c>
      <c r="I119">
        <v>3162</v>
      </c>
      <c r="J119" t="s">
        <v>422</v>
      </c>
      <c r="K119">
        <v>90</v>
      </c>
      <c r="L119">
        <v>90</v>
      </c>
      <c r="M119">
        <v>1</v>
      </c>
      <c r="N119">
        <v>0</v>
      </c>
      <c r="O119">
        <v>0</v>
      </c>
      <c r="P119">
        <v>0</v>
      </c>
      <c r="Q119">
        <v>0</v>
      </c>
      <c r="R119">
        <v>0</v>
      </c>
      <c r="T119">
        <v>90</v>
      </c>
      <c r="U119">
        <v>0</v>
      </c>
      <c r="V119">
        <v>0</v>
      </c>
      <c r="W119">
        <v>0</v>
      </c>
      <c r="X119">
        <v>0</v>
      </c>
      <c r="Y119">
        <v>0</v>
      </c>
      <c r="Z119">
        <v>90</v>
      </c>
      <c r="AA119">
        <v>1</v>
      </c>
      <c r="AB119">
        <v>57.5</v>
      </c>
      <c r="AC119">
        <v>0</v>
      </c>
      <c r="AD119">
        <v>0</v>
      </c>
      <c r="AE119">
        <v>0</v>
      </c>
      <c r="AF119">
        <v>0</v>
      </c>
      <c r="AG119">
        <v>0</v>
      </c>
      <c r="AH119">
        <v>0</v>
      </c>
      <c r="AI119">
        <v>0</v>
      </c>
      <c r="AJ119">
        <v>0</v>
      </c>
      <c r="AK119">
        <v>0</v>
      </c>
      <c r="AL119">
        <v>0</v>
      </c>
      <c r="AM119">
        <v>30</v>
      </c>
      <c r="AN119">
        <v>2.5</v>
      </c>
      <c r="AP119" t="s">
        <v>260</v>
      </c>
      <c r="AQ119" t="s">
        <v>259</v>
      </c>
      <c r="AS119" t="s">
        <v>414</v>
      </c>
      <c r="AT119" t="s">
        <v>427</v>
      </c>
      <c r="AV119" t="s">
        <v>260</v>
      </c>
      <c r="AW119" t="s">
        <v>414</v>
      </c>
      <c r="AX119">
        <v>0</v>
      </c>
      <c r="AY119">
        <v>0</v>
      </c>
      <c r="AZ119" t="s">
        <v>233</v>
      </c>
      <c r="BA119" t="s">
        <v>233</v>
      </c>
      <c r="BB119" t="s">
        <v>411</v>
      </c>
      <c r="BC119">
        <v>8</v>
      </c>
      <c r="BD11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-55</v>
      </c>
      <c r="BE119" t="str">
        <f>IF(GetCurrentMonthAging3[[#This Row],[InsGroupPrimary]]="","YES","NO")</f>
        <v>NO</v>
      </c>
      <c r="BF11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-55</v>
      </c>
    </row>
    <row r="120" spans="1:58" x14ac:dyDescent="0.25">
      <c r="A120" t="s">
        <v>100</v>
      </c>
      <c r="B120">
        <v>6</v>
      </c>
      <c r="C120" t="s">
        <v>331</v>
      </c>
      <c r="D120" s="142">
        <v>45199</v>
      </c>
      <c r="E120">
        <v>62757</v>
      </c>
      <c r="F120">
        <v>770921</v>
      </c>
      <c r="G120">
        <v>4225914</v>
      </c>
      <c r="H120" t="b">
        <v>0</v>
      </c>
      <c r="I120">
        <v>3140</v>
      </c>
      <c r="J120" t="s">
        <v>444</v>
      </c>
      <c r="K120">
        <v>25</v>
      </c>
      <c r="L120">
        <v>25</v>
      </c>
      <c r="M120">
        <v>1</v>
      </c>
      <c r="N120">
        <v>0</v>
      </c>
      <c r="O120">
        <v>0</v>
      </c>
      <c r="P120">
        <v>0</v>
      </c>
      <c r="Q120">
        <v>0</v>
      </c>
      <c r="R120">
        <v>0</v>
      </c>
      <c r="T120">
        <v>25</v>
      </c>
      <c r="U120">
        <v>0</v>
      </c>
      <c r="V120">
        <v>1</v>
      </c>
      <c r="W120">
        <v>8.02</v>
      </c>
      <c r="X120">
        <v>14.94</v>
      </c>
      <c r="Y120">
        <v>0</v>
      </c>
      <c r="Z120">
        <v>2.04</v>
      </c>
      <c r="AA120">
        <v>1</v>
      </c>
      <c r="AB120">
        <v>19.8</v>
      </c>
      <c r="AC120">
        <v>0</v>
      </c>
      <c r="AD120">
        <v>0</v>
      </c>
      <c r="AE120">
        <v>0</v>
      </c>
      <c r="AF120">
        <v>0</v>
      </c>
      <c r="AG120">
        <v>0</v>
      </c>
      <c r="AH120">
        <v>0</v>
      </c>
      <c r="AI120">
        <v>0</v>
      </c>
      <c r="AJ120">
        <v>0</v>
      </c>
      <c r="AK120">
        <v>0</v>
      </c>
      <c r="AL120">
        <v>0</v>
      </c>
      <c r="AM120">
        <v>0</v>
      </c>
      <c r="AN120">
        <v>-17.760000000000002</v>
      </c>
      <c r="AP120" t="s">
        <v>261</v>
      </c>
      <c r="AQ120" t="s">
        <v>265</v>
      </c>
      <c r="AS120" t="s">
        <v>413</v>
      </c>
      <c r="AT120" t="s">
        <v>425</v>
      </c>
      <c r="AV120" t="s">
        <v>332</v>
      </c>
      <c r="AW120" t="s">
        <v>332</v>
      </c>
      <c r="AX120">
        <v>0</v>
      </c>
      <c r="AY120">
        <v>0</v>
      </c>
      <c r="AZ120" t="s">
        <v>264</v>
      </c>
      <c r="BA120" t="s">
        <v>264</v>
      </c>
      <c r="BB120" t="s">
        <v>411</v>
      </c>
      <c r="BC120">
        <v>8</v>
      </c>
      <c r="BD12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-17.760000000000002</v>
      </c>
      <c r="BE120" t="str">
        <f>IF(GetCurrentMonthAging3[[#This Row],[InsGroupPrimary]]="","YES","NO")</f>
        <v>NO</v>
      </c>
      <c r="BF12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-17.760000000000002</v>
      </c>
    </row>
    <row r="121" spans="1:58" x14ac:dyDescent="0.25">
      <c r="A121" t="s">
        <v>100</v>
      </c>
      <c r="B121">
        <v>6</v>
      </c>
      <c r="C121" t="s">
        <v>331</v>
      </c>
      <c r="D121" s="142">
        <v>45199</v>
      </c>
      <c r="E121">
        <v>64004</v>
      </c>
      <c r="F121">
        <v>798759</v>
      </c>
      <c r="G121">
        <v>4320954</v>
      </c>
      <c r="H121" t="b">
        <v>0</v>
      </c>
      <c r="I121">
        <v>3125</v>
      </c>
      <c r="J121" t="s">
        <v>412</v>
      </c>
      <c r="K121">
        <v>45</v>
      </c>
      <c r="L121">
        <v>45</v>
      </c>
      <c r="M121">
        <v>1</v>
      </c>
      <c r="N121">
        <v>0</v>
      </c>
      <c r="O121">
        <v>0</v>
      </c>
      <c r="P121">
        <v>0</v>
      </c>
      <c r="Q121">
        <v>0</v>
      </c>
      <c r="R121">
        <v>0</v>
      </c>
      <c r="T121">
        <v>45</v>
      </c>
      <c r="U121">
        <v>0</v>
      </c>
      <c r="V121">
        <v>0</v>
      </c>
      <c r="W121">
        <v>0</v>
      </c>
      <c r="X121">
        <v>29.25</v>
      </c>
      <c r="Y121">
        <v>0</v>
      </c>
      <c r="Z121">
        <v>15.75</v>
      </c>
      <c r="AA121">
        <v>1</v>
      </c>
      <c r="AB121">
        <v>19.07</v>
      </c>
      <c r="AC121">
        <v>0</v>
      </c>
      <c r="AD121">
        <v>0</v>
      </c>
      <c r="AE121">
        <v>0</v>
      </c>
      <c r="AF121">
        <v>0</v>
      </c>
      <c r="AG121">
        <v>0</v>
      </c>
      <c r="AH121">
        <v>0</v>
      </c>
      <c r="AI121">
        <v>0</v>
      </c>
      <c r="AJ121">
        <v>0</v>
      </c>
      <c r="AK121">
        <v>0</v>
      </c>
      <c r="AL121">
        <v>0</v>
      </c>
      <c r="AM121">
        <v>0</v>
      </c>
      <c r="AN121">
        <v>-3.32</v>
      </c>
      <c r="AP121" t="s">
        <v>265</v>
      </c>
      <c r="AQ121" t="s">
        <v>261</v>
      </c>
      <c r="AS121" t="s">
        <v>425</v>
      </c>
      <c r="AT121" t="s">
        <v>413</v>
      </c>
      <c r="AV121" t="s">
        <v>265</v>
      </c>
      <c r="AW121" t="s">
        <v>425</v>
      </c>
      <c r="AX121">
        <v>0</v>
      </c>
      <c r="AY121">
        <v>0</v>
      </c>
      <c r="AZ121" t="s">
        <v>264</v>
      </c>
      <c r="BA121" t="s">
        <v>264</v>
      </c>
      <c r="BB121" t="s">
        <v>411</v>
      </c>
      <c r="BC121">
        <v>8</v>
      </c>
      <c r="BD12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-56.79</v>
      </c>
      <c r="BE121" t="str">
        <f>IF(GetCurrentMonthAging3[[#This Row],[InsGroupPrimary]]="","YES","NO")</f>
        <v>NO</v>
      </c>
      <c r="BF12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-56.79</v>
      </c>
    </row>
    <row r="122" spans="1:58" x14ac:dyDescent="0.25">
      <c r="A122" t="s">
        <v>100</v>
      </c>
      <c r="B122">
        <v>6</v>
      </c>
      <c r="C122" t="s">
        <v>331</v>
      </c>
      <c r="D122" s="142">
        <v>45199</v>
      </c>
      <c r="E122">
        <v>64004</v>
      </c>
      <c r="F122">
        <v>798759</v>
      </c>
      <c r="G122">
        <v>4320955</v>
      </c>
      <c r="H122" t="b">
        <v>0</v>
      </c>
      <c r="I122">
        <v>3125</v>
      </c>
      <c r="J122" t="s">
        <v>416</v>
      </c>
      <c r="K122">
        <v>135</v>
      </c>
      <c r="L122">
        <v>45</v>
      </c>
      <c r="M122">
        <v>3</v>
      </c>
      <c r="N122">
        <v>0</v>
      </c>
      <c r="O122">
        <v>0</v>
      </c>
      <c r="P122">
        <v>0</v>
      </c>
      <c r="Q122">
        <v>0</v>
      </c>
      <c r="R122">
        <v>0</v>
      </c>
      <c r="T122">
        <v>135</v>
      </c>
      <c r="U122">
        <v>0</v>
      </c>
      <c r="V122">
        <v>1</v>
      </c>
      <c r="W122">
        <v>30.75</v>
      </c>
      <c r="X122">
        <v>90</v>
      </c>
      <c r="Y122">
        <v>0</v>
      </c>
      <c r="Z122">
        <v>14.25</v>
      </c>
      <c r="AA122">
        <v>1</v>
      </c>
      <c r="AB122">
        <v>64.41</v>
      </c>
      <c r="AC122">
        <v>0</v>
      </c>
      <c r="AD122">
        <v>0</v>
      </c>
      <c r="AE122">
        <v>0</v>
      </c>
      <c r="AF122">
        <v>0</v>
      </c>
      <c r="AG122">
        <v>0</v>
      </c>
      <c r="AH122">
        <v>0</v>
      </c>
      <c r="AI122">
        <v>0</v>
      </c>
      <c r="AJ122">
        <v>0</v>
      </c>
      <c r="AK122">
        <v>0</v>
      </c>
      <c r="AL122">
        <v>0</v>
      </c>
      <c r="AM122">
        <v>0</v>
      </c>
      <c r="AN122">
        <v>-50.16</v>
      </c>
      <c r="AP122" t="s">
        <v>265</v>
      </c>
      <c r="AQ122" t="s">
        <v>261</v>
      </c>
      <c r="AS122" t="s">
        <v>425</v>
      </c>
      <c r="AT122" t="s">
        <v>413</v>
      </c>
      <c r="AV122" t="s">
        <v>332</v>
      </c>
      <c r="AW122" t="s">
        <v>332</v>
      </c>
      <c r="AX122">
        <v>0</v>
      </c>
      <c r="AY122">
        <v>0</v>
      </c>
      <c r="AZ122" t="s">
        <v>264</v>
      </c>
      <c r="BA122" t="s">
        <v>264</v>
      </c>
      <c r="BB122" t="s">
        <v>411</v>
      </c>
      <c r="BC122">
        <v>8</v>
      </c>
      <c r="BD12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-56.79</v>
      </c>
      <c r="BE122" t="str">
        <f>IF(GetCurrentMonthAging3[[#This Row],[InsGroupPrimary]]="","YES","NO")</f>
        <v>NO</v>
      </c>
      <c r="BF12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-56.79</v>
      </c>
    </row>
    <row r="123" spans="1:58" x14ac:dyDescent="0.25">
      <c r="A123" t="s">
        <v>100</v>
      </c>
      <c r="B123">
        <v>6</v>
      </c>
      <c r="C123" t="s">
        <v>331</v>
      </c>
      <c r="D123" s="142">
        <v>45199</v>
      </c>
      <c r="E123">
        <v>112868</v>
      </c>
      <c r="F123">
        <v>1481406</v>
      </c>
      <c r="G123">
        <v>7336392</v>
      </c>
      <c r="H123" t="b">
        <v>0</v>
      </c>
      <c r="I123">
        <v>2780</v>
      </c>
      <c r="J123" t="s">
        <v>412</v>
      </c>
      <c r="K123">
        <v>90</v>
      </c>
      <c r="L123">
        <v>45</v>
      </c>
      <c r="M123">
        <v>2</v>
      </c>
      <c r="N123">
        <v>0</v>
      </c>
      <c r="O123">
        <v>0</v>
      </c>
      <c r="P123">
        <v>0</v>
      </c>
      <c r="Q123">
        <v>0</v>
      </c>
      <c r="R123">
        <v>0</v>
      </c>
      <c r="T123">
        <v>90</v>
      </c>
      <c r="U123">
        <v>0</v>
      </c>
      <c r="V123">
        <v>2</v>
      </c>
      <c r="W123">
        <v>150</v>
      </c>
      <c r="X123">
        <v>15</v>
      </c>
      <c r="Y123">
        <v>0</v>
      </c>
      <c r="Z123">
        <v>0</v>
      </c>
      <c r="AA123">
        <v>0</v>
      </c>
      <c r="AB123">
        <v>0</v>
      </c>
      <c r="AC123">
        <v>0</v>
      </c>
      <c r="AD123">
        <v>0</v>
      </c>
      <c r="AE123">
        <v>0</v>
      </c>
      <c r="AF123">
        <v>0</v>
      </c>
      <c r="AG123">
        <v>0</v>
      </c>
      <c r="AH123">
        <v>0</v>
      </c>
      <c r="AI123">
        <v>0</v>
      </c>
      <c r="AJ123">
        <v>0</v>
      </c>
      <c r="AK123">
        <v>0</v>
      </c>
      <c r="AL123">
        <v>0</v>
      </c>
      <c r="AM123">
        <v>0</v>
      </c>
      <c r="AN123">
        <v>-75</v>
      </c>
      <c r="AP123" t="s">
        <v>263</v>
      </c>
      <c r="AS123" t="s">
        <v>430</v>
      </c>
      <c r="AV123" t="s">
        <v>263</v>
      </c>
      <c r="AW123" t="s">
        <v>430</v>
      </c>
      <c r="AX123">
        <v>0</v>
      </c>
      <c r="AY123">
        <v>0</v>
      </c>
      <c r="AZ123" t="s">
        <v>264</v>
      </c>
      <c r="BA123" t="s">
        <v>264</v>
      </c>
      <c r="BB123" t="s">
        <v>411</v>
      </c>
      <c r="BC123">
        <v>8</v>
      </c>
      <c r="BD12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-400</v>
      </c>
      <c r="BE123" t="str">
        <f>IF(GetCurrentMonthAging3[[#This Row],[InsGroupPrimary]]="","YES","NO")</f>
        <v>NO</v>
      </c>
      <c r="BF12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-400</v>
      </c>
    </row>
    <row r="124" spans="1:58" x14ac:dyDescent="0.25">
      <c r="A124" t="s">
        <v>100</v>
      </c>
      <c r="B124">
        <v>6</v>
      </c>
      <c r="C124" t="s">
        <v>331</v>
      </c>
      <c r="D124" s="142">
        <v>45199</v>
      </c>
      <c r="E124">
        <v>140927</v>
      </c>
      <c r="F124">
        <v>2006062</v>
      </c>
      <c r="G124">
        <v>9753421</v>
      </c>
      <c r="H124" t="b">
        <v>0</v>
      </c>
      <c r="I124">
        <v>2558</v>
      </c>
      <c r="J124" t="s">
        <v>419</v>
      </c>
      <c r="K124">
        <v>45</v>
      </c>
      <c r="L124">
        <v>45</v>
      </c>
      <c r="M124">
        <v>1</v>
      </c>
      <c r="N124">
        <v>0</v>
      </c>
      <c r="O124">
        <v>0</v>
      </c>
      <c r="P124">
        <v>0</v>
      </c>
      <c r="Q124">
        <v>0</v>
      </c>
      <c r="R124">
        <v>0</v>
      </c>
      <c r="T124">
        <v>45</v>
      </c>
      <c r="U124">
        <v>0</v>
      </c>
      <c r="V124">
        <v>2</v>
      </c>
      <c r="W124">
        <v>72.45</v>
      </c>
      <c r="X124">
        <v>4.5</v>
      </c>
      <c r="Y124">
        <v>0</v>
      </c>
      <c r="Z124">
        <v>0</v>
      </c>
      <c r="AA124">
        <v>0</v>
      </c>
      <c r="AB124">
        <v>0</v>
      </c>
      <c r="AC124">
        <v>0</v>
      </c>
      <c r="AD124">
        <v>0</v>
      </c>
      <c r="AE124">
        <v>0</v>
      </c>
      <c r="AF124">
        <v>0</v>
      </c>
      <c r="AG124">
        <v>0</v>
      </c>
      <c r="AH124">
        <v>0</v>
      </c>
      <c r="AI124">
        <v>0</v>
      </c>
      <c r="AJ124">
        <v>0</v>
      </c>
      <c r="AK124">
        <v>0</v>
      </c>
      <c r="AL124">
        <v>0</v>
      </c>
      <c r="AM124">
        <v>0</v>
      </c>
      <c r="AN124">
        <v>-31.95</v>
      </c>
      <c r="AP124" t="s">
        <v>263</v>
      </c>
      <c r="AS124" t="s">
        <v>431</v>
      </c>
      <c r="AV124" t="s">
        <v>263</v>
      </c>
      <c r="AW124" t="s">
        <v>431</v>
      </c>
      <c r="AX124">
        <v>0</v>
      </c>
      <c r="AY124">
        <v>0</v>
      </c>
      <c r="AZ124" t="s">
        <v>264</v>
      </c>
      <c r="BA124" t="s">
        <v>264</v>
      </c>
      <c r="BB124" t="s">
        <v>411</v>
      </c>
      <c r="BC124">
        <v>8</v>
      </c>
      <c r="BD12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124" t="str">
        <f>IF(GetCurrentMonthAging3[[#This Row],[InsGroupPrimary]]="","YES","NO")</f>
        <v>NO</v>
      </c>
      <c r="BF12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125" spans="1:58" x14ac:dyDescent="0.25">
      <c r="A125" t="s">
        <v>100</v>
      </c>
      <c r="B125">
        <v>6</v>
      </c>
      <c r="C125" t="s">
        <v>331</v>
      </c>
      <c r="D125" s="142">
        <v>45199</v>
      </c>
      <c r="E125">
        <v>140927</v>
      </c>
      <c r="F125">
        <v>2025383</v>
      </c>
      <c r="G125">
        <v>9802688</v>
      </c>
      <c r="H125" t="b">
        <v>0</v>
      </c>
      <c r="I125">
        <v>2553</v>
      </c>
      <c r="J125" t="s">
        <v>419</v>
      </c>
      <c r="K125">
        <v>45</v>
      </c>
      <c r="L125">
        <v>45</v>
      </c>
      <c r="M125">
        <v>1</v>
      </c>
      <c r="N125">
        <v>0</v>
      </c>
      <c r="O125">
        <v>0</v>
      </c>
      <c r="P125">
        <v>0</v>
      </c>
      <c r="Q125">
        <v>0</v>
      </c>
      <c r="R125">
        <v>0</v>
      </c>
      <c r="T125">
        <v>45</v>
      </c>
      <c r="U125">
        <v>0</v>
      </c>
      <c r="V125">
        <v>2</v>
      </c>
      <c r="W125">
        <v>72.45</v>
      </c>
      <c r="X125">
        <v>4.5</v>
      </c>
      <c r="Y125">
        <v>0</v>
      </c>
      <c r="Z125">
        <v>0</v>
      </c>
      <c r="AA125">
        <v>0</v>
      </c>
      <c r="AB125">
        <v>0</v>
      </c>
      <c r="AC125">
        <v>0</v>
      </c>
      <c r="AD125">
        <v>0</v>
      </c>
      <c r="AE125">
        <v>0</v>
      </c>
      <c r="AF125">
        <v>0</v>
      </c>
      <c r="AG125">
        <v>0</v>
      </c>
      <c r="AH125">
        <v>0</v>
      </c>
      <c r="AI125">
        <v>0</v>
      </c>
      <c r="AJ125">
        <v>0</v>
      </c>
      <c r="AK125">
        <v>0</v>
      </c>
      <c r="AL125">
        <v>0</v>
      </c>
      <c r="AM125">
        <v>0</v>
      </c>
      <c r="AN125">
        <v>-31.95</v>
      </c>
      <c r="AP125" t="s">
        <v>263</v>
      </c>
      <c r="AS125" t="s">
        <v>431</v>
      </c>
      <c r="AV125" t="s">
        <v>263</v>
      </c>
      <c r="AW125" t="s">
        <v>431</v>
      </c>
      <c r="AX125">
        <v>0</v>
      </c>
      <c r="AY125">
        <v>0</v>
      </c>
      <c r="AZ125" t="s">
        <v>264</v>
      </c>
      <c r="BA125" t="s">
        <v>264</v>
      </c>
      <c r="BB125" t="s">
        <v>411</v>
      </c>
      <c r="BC125">
        <v>8</v>
      </c>
      <c r="BD12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125" t="str">
        <f>IF(GetCurrentMonthAging3[[#This Row],[InsGroupPrimary]]="","YES","NO")</f>
        <v>NO</v>
      </c>
      <c r="BF12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126" spans="1:58" x14ac:dyDescent="0.25">
      <c r="A126" t="s">
        <v>100</v>
      </c>
      <c r="B126">
        <v>6</v>
      </c>
      <c r="C126" t="s">
        <v>331</v>
      </c>
      <c r="D126" s="142">
        <v>45199</v>
      </c>
      <c r="E126">
        <v>217648</v>
      </c>
      <c r="F126">
        <v>3057654</v>
      </c>
      <c r="G126">
        <v>13963466</v>
      </c>
      <c r="H126" t="b">
        <v>0</v>
      </c>
      <c r="I126">
        <v>2165</v>
      </c>
      <c r="J126" t="s">
        <v>419</v>
      </c>
      <c r="K126">
        <v>90</v>
      </c>
      <c r="L126">
        <v>45</v>
      </c>
      <c r="M126">
        <v>2</v>
      </c>
      <c r="N126">
        <v>0</v>
      </c>
      <c r="O126">
        <v>0</v>
      </c>
      <c r="P126">
        <v>0</v>
      </c>
      <c r="Q126">
        <v>0</v>
      </c>
      <c r="R126">
        <v>0</v>
      </c>
      <c r="T126">
        <v>90</v>
      </c>
      <c r="U126">
        <v>0</v>
      </c>
      <c r="V126">
        <v>1</v>
      </c>
      <c r="W126">
        <v>48</v>
      </c>
      <c r="X126">
        <v>30</v>
      </c>
      <c r="Y126">
        <v>0</v>
      </c>
      <c r="Z126">
        <v>12</v>
      </c>
      <c r="AA126">
        <v>1</v>
      </c>
      <c r="AB126">
        <v>27</v>
      </c>
      <c r="AC126">
        <v>0</v>
      </c>
      <c r="AD126">
        <v>0</v>
      </c>
      <c r="AE126">
        <v>0</v>
      </c>
      <c r="AF126">
        <v>0</v>
      </c>
      <c r="AG126">
        <v>0</v>
      </c>
      <c r="AH126">
        <v>0</v>
      </c>
      <c r="AI126">
        <v>0</v>
      </c>
      <c r="AJ126">
        <v>0</v>
      </c>
      <c r="AK126">
        <v>0</v>
      </c>
      <c r="AL126">
        <v>0</v>
      </c>
      <c r="AM126">
        <v>0</v>
      </c>
      <c r="AN126">
        <v>-15</v>
      </c>
      <c r="AP126" t="s">
        <v>260</v>
      </c>
      <c r="AQ126" t="s">
        <v>265</v>
      </c>
      <c r="AS126" t="s">
        <v>433</v>
      </c>
      <c r="AT126" t="s">
        <v>425</v>
      </c>
      <c r="AV126" t="s">
        <v>332</v>
      </c>
      <c r="AW126" t="s">
        <v>332</v>
      </c>
      <c r="AX126">
        <v>0</v>
      </c>
      <c r="AY126">
        <v>0</v>
      </c>
      <c r="AZ126" t="s">
        <v>233</v>
      </c>
      <c r="BA126" t="s">
        <v>233</v>
      </c>
      <c r="BB126" t="s">
        <v>411</v>
      </c>
      <c r="BC126">
        <v>8</v>
      </c>
      <c r="BD12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-199.54000000000002</v>
      </c>
      <c r="BE126" t="str">
        <f>IF(GetCurrentMonthAging3[[#This Row],[InsGroupPrimary]]="","YES","NO")</f>
        <v>NO</v>
      </c>
      <c r="BF12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-199.54000000000002</v>
      </c>
    </row>
    <row r="127" spans="1:58" x14ac:dyDescent="0.25">
      <c r="A127" t="s">
        <v>100</v>
      </c>
      <c r="B127">
        <v>6</v>
      </c>
      <c r="C127" t="s">
        <v>331</v>
      </c>
      <c r="D127" s="142">
        <v>45199</v>
      </c>
      <c r="E127">
        <v>210253</v>
      </c>
      <c r="F127">
        <v>2982668</v>
      </c>
      <c r="G127">
        <v>13673274</v>
      </c>
      <c r="H127" t="b">
        <v>0</v>
      </c>
      <c r="I127">
        <v>2192</v>
      </c>
      <c r="J127" t="s">
        <v>412</v>
      </c>
      <c r="K127">
        <v>90</v>
      </c>
      <c r="L127">
        <v>45</v>
      </c>
      <c r="M127">
        <v>2</v>
      </c>
      <c r="N127">
        <v>0</v>
      </c>
      <c r="O127">
        <v>20</v>
      </c>
      <c r="P127">
        <v>0</v>
      </c>
      <c r="Q127">
        <v>20</v>
      </c>
      <c r="R127">
        <v>0</v>
      </c>
      <c r="T127">
        <v>90</v>
      </c>
      <c r="U127">
        <v>0</v>
      </c>
      <c r="V127">
        <v>2</v>
      </c>
      <c r="W127">
        <v>100</v>
      </c>
      <c r="X127">
        <v>30</v>
      </c>
      <c r="Y127">
        <v>0</v>
      </c>
      <c r="Z127">
        <v>0</v>
      </c>
      <c r="AA127">
        <v>0</v>
      </c>
      <c r="AB127">
        <v>0</v>
      </c>
      <c r="AC127">
        <v>0</v>
      </c>
      <c r="AD127">
        <v>0</v>
      </c>
      <c r="AE127">
        <v>0</v>
      </c>
      <c r="AF127">
        <v>0</v>
      </c>
      <c r="AG127">
        <v>0</v>
      </c>
      <c r="AH127">
        <v>0</v>
      </c>
      <c r="AI127">
        <v>0</v>
      </c>
      <c r="AJ127">
        <v>0</v>
      </c>
      <c r="AK127">
        <v>0</v>
      </c>
      <c r="AL127">
        <v>0</v>
      </c>
      <c r="AM127">
        <v>0</v>
      </c>
      <c r="AN127">
        <v>-60</v>
      </c>
      <c r="AP127" t="s">
        <v>262</v>
      </c>
      <c r="AS127" t="s">
        <v>424</v>
      </c>
      <c r="AV127" t="s">
        <v>262</v>
      </c>
      <c r="AW127" t="s">
        <v>424</v>
      </c>
      <c r="AX127">
        <v>0</v>
      </c>
      <c r="AY127">
        <v>0</v>
      </c>
      <c r="AZ127" t="s">
        <v>264</v>
      </c>
      <c r="BA127" t="s">
        <v>264</v>
      </c>
      <c r="BB127" t="s">
        <v>411</v>
      </c>
      <c r="BC127">
        <v>8</v>
      </c>
      <c r="BD12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-60</v>
      </c>
      <c r="BE127" t="str">
        <f>IF(GetCurrentMonthAging3[[#This Row],[InsGroupPrimary]]="","YES","NO")</f>
        <v>NO</v>
      </c>
      <c r="BF12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128" spans="1:58" x14ac:dyDescent="0.25">
      <c r="A128" t="s">
        <v>100</v>
      </c>
      <c r="B128">
        <v>6</v>
      </c>
      <c r="C128" t="s">
        <v>331</v>
      </c>
      <c r="D128" s="142">
        <v>45199</v>
      </c>
      <c r="E128">
        <v>230293</v>
      </c>
      <c r="F128">
        <v>3363112</v>
      </c>
      <c r="G128">
        <v>15120849</v>
      </c>
      <c r="H128" t="b">
        <v>0</v>
      </c>
      <c r="I128">
        <v>2047</v>
      </c>
      <c r="J128" t="s">
        <v>416</v>
      </c>
      <c r="K128">
        <v>45</v>
      </c>
      <c r="L128">
        <v>45</v>
      </c>
      <c r="M128">
        <v>1</v>
      </c>
      <c r="N128">
        <v>0</v>
      </c>
      <c r="O128">
        <v>1.61</v>
      </c>
      <c r="P128">
        <v>0</v>
      </c>
      <c r="Q128">
        <v>1.61</v>
      </c>
      <c r="R128">
        <v>0</v>
      </c>
      <c r="T128">
        <v>45</v>
      </c>
      <c r="U128">
        <v>0</v>
      </c>
      <c r="V128">
        <v>0</v>
      </c>
      <c r="W128">
        <v>0</v>
      </c>
      <c r="X128">
        <v>28.85</v>
      </c>
      <c r="Y128">
        <v>0</v>
      </c>
      <c r="Z128">
        <v>16.149999999999999</v>
      </c>
      <c r="AA128">
        <v>2</v>
      </c>
      <c r="AB128">
        <v>29.08</v>
      </c>
      <c r="AC128">
        <v>0</v>
      </c>
      <c r="AD128">
        <v>0</v>
      </c>
      <c r="AE128">
        <v>0</v>
      </c>
      <c r="AF128">
        <v>0</v>
      </c>
      <c r="AG128">
        <v>0</v>
      </c>
      <c r="AH128">
        <v>0</v>
      </c>
      <c r="AI128">
        <v>0</v>
      </c>
      <c r="AJ128">
        <v>0</v>
      </c>
      <c r="AK128">
        <v>0</v>
      </c>
      <c r="AL128">
        <v>0</v>
      </c>
      <c r="AM128">
        <v>0</v>
      </c>
      <c r="AN128">
        <v>-14.54</v>
      </c>
      <c r="AP128" t="s">
        <v>265</v>
      </c>
      <c r="AQ128" t="s">
        <v>265</v>
      </c>
      <c r="AS128" t="s">
        <v>434</v>
      </c>
      <c r="AT128" t="s">
        <v>425</v>
      </c>
      <c r="AV128" t="s">
        <v>265</v>
      </c>
      <c r="AW128" t="s">
        <v>434</v>
      </c>
      <c r="AX128">
        <v>0</v>
      </c>
      <c r="AY128">
        <v>0</v>
      </c>
      <c r="AZ128" t="s">
        <v>264</v>
      </c>
      <c r="BA128" t="s">
        <v>264</v>
      </c>
      <c r="BB128" t="s">
        <v>411</v>
      </c>
      <c r="BC128">
        <v>8</v>
      </c>
      <c r="BD12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-255.23999999999998</v>
      </c>
      <c r="BE128" t="str">
        <f>IF(GetCurrentMonthAging3[[#This Row],[InsGroupPrimary]]="","YES","NO")</f>
        <v>NO</v>
      </c>
      <c r="BF12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-255.23999999999998</v>
      </c>
    </row>
    <row r="129" spans="1:58" x14ac:dyDescent="0.25">
      <c r="A129" t="s">
        <v>100</v>
      </c>
      <c r="B129">
        <v>6</v>
      </c>
      <c r="C129" t="s">
        <v>331</v>
      </c>
      <c r="D129" s="142">
        <v>45199</v>
      </c>
      <c r="E129">
        <v>230293</v>
      </c>
      <c r="F129">
        <v>3363108</v>
      </c>
      <c r="G129">
        <v>15151062</v>
      </c>
      <c r="H129" t="b">
        <v>0</v>
      </c>
      <c r="I129">
        <v>2045</v>
      </c>
      <c r="J129" t="s">
        <v>412</v>
      </c>
      <c r="K129">
        <v>90</v>
      </c>
      <c r="L129">
        <v>45</v>
      </c>
      <c r="M129">
        <v>2</v>
      </c>
      <c r="N129">
        <v>0</v>
      </c>
      <c r="O129">
        <v>3.18</v>
      </c>
      <c r="P129">
        <v>0</v>
      </c>
      <c r="Q129">
        <v>3.18</v>
      </c>
      <c r="R129">
        <v>0</v>
      </c>
      <c r="T129">
        <v>90</v>
      </c>
      <c r="U129">
        <v>0</v>
      </c>
      <c r="V129">
        <v>0</v>
      </c>
      <c r="W129">
        <v>0</v>
      </c>
      <c r="X129">
        <v>58.2</v>
      </c>
      <c r="Y129">
        <v>0</v>
      </c>
      <c r="Z129">
        <v>31.8</v>
      </c>
      <c r="AA129">
        <v>2</v>
      </c>
      <c r="AB129">
        <v>57.24</v>
      </c>
      <c r="AC129">
        <v>0</v>
      </c>
      <c r="AD129">
        <v>0</v>
      </c>
      <c r="AE129">
        <v>0</v>
      </c>
      <c r="AF129">
        <v>0</v>
      </c>
      <c r="AG129">
        <v>0</v>
      </c>
      <c r="AH129">
        <v>0</v>
      </c>
      <c r="AI129">
        <v>0</v>
      </c>
      <c r="AJ129">
        <v>0</v>
      </c>
      <c r="AK129">
        <v>0</v>
      </c>
      <c r="AL129">
        <v>0</v>
      </c>
      <c r="AM129">
        <v>0</v>
      </c>
      <c r="AN129">
        <v>-28.62</v>
      </c>
      <c r="AP129" t="s">
        <v>265</v>
      </c>
      <c r="AQ129" t="s">
        <v>265</v>
      </c>
      <c r="AS129" t="s">
        <v>434</v>
      </c>
      <c r="AT129" t="s">
        <v>425</v>
      </c>
      <c r="AV129" t="s">
        <v>265</v>
      </c>
      <c r="AW129" t="s">
        <v>434</v>
      </c>
      <c r="AX129">
        <v>0</v>
      </c>
      <c r="AY129">
        <v>0</v>
      </c>
      <c r="AZ129" t="s">
        <v>264</v>
      </c>
      <c r="BA129" t="s">
        <v>264</v>
      </c>
      <c r="BB129" t="s">
        <v>411</v>
      </c>
      <c r="BC129">
        <v>8</v>
      </c>
      <c r="BD12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-255.23999999999998</v>
      </c>
      <c r="BE129" t="str">
        <f>IF(GetCurrentMonthAging3[[#This Row],[InsGroupPrimary]]="","YES","NO")</f>
        <v>NO</v>
      </c>
      <c r="BF12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-255.23999999999998</v>
      </c>
    </row>
    <row r="130" spans="1:58" x14ac:dyDescent="0.25">
      <c r="A130" t="s">
        <v>100</v>
      </c>
      <c r="B130">
        <v>6</v>
      </c>
      <c r="C130" t="s">
        <v>331</v>
      </c>
      <c r="D130" s="142">
        <v>45199</v>
      </c>
      <c r="E130">
        <v>230293</v>
      </c>
      <c r="F130">
        <v>3363108</v>
      </c>
      <c r="G130">
        <v>15151063</v>
      </c>
      <c r="H130" t="b">
        <v>0</v>
      </c>
      <c r="I130">
        <v>2045</v>
      </c>
      <c r="J130" t="s">
        <v>416</v>
      </c>
      <c r="K130">
        <v>45</v>
      </c>
      <c r="L130">
        <v>45</v>
      </c>
      <c r="M130">
        <v>1</v>
      </c>
      <c r="N130">
        <v>0</v>
      </c>
      <c r="O130">
        <v>1.61</v>
      </c>
      <c r="P130">
        <v>0</v>
      </c>
      <c r="Q130">
        <v>1.61</v>
      </c>
      <c r="R130">
        <v>0</v>
      </c>
      <c r="T130">
        <v>45</v>
      </c>
      <c r="U130">
        <v>0</v>
      </c>
      <c r="V130">
        <v>0</v>
      </c>
      <c r="W130">
        <v>0</v>
      </c>
      <c r="X130">
        <v>28.85</v>
      </c>
      <c r="Y130">
        <v>0</v>
      </c>
      <c r="Z130">
        <v>16.149999999999999</v>
      </c>
      <c r="AA130">
        <v>2</v>
      </c>
      <c r="AB130">
        <v>29.08</v>
      </c>
      <c r="AC130">
        <v>0</v>
      </c>
      <c r="AD130">
        <v>0</v>
      </c>
      <c r="AE130">
        <v>0</v>
      </c>
      <c r="AF130">
        <v>0</v>
      </c>
      <c r="AG130">
        <v>0</v>
      </c>
      <c r="AH130">
        <v>0</v>
      </c>
      <c r="AI130">
        <v>0</v>
      </c>
      <c r="AJ130">
        <v>0</v>
      </c>
      <c r="AK130">
        <v>0</v>
      </c>
      <c r="AL130">
        <v>0</v>
      </c>
      <c r="AM130">
        <v>0</v>
      </c>
      <c r="AN130">
        <v>-14.54</v>
      </c>
      <c r="AP130" t="s">
        <v>265</v>
      </c>
      <c r="AQ130" t="s">
        <v>265</v>
      </c>
      <c r="AS130" t="s">
        <v>434</v>
      </c>
      <c r="AT130" t="s">
        <v>425</v>
      </c>
      <c r="AV130" t="s">
        <v>265</v>
      </c>
      <c r="AW130" t="s">
        <v>434</v>
      </c>
      <c r="AX130">
        <v>0</v>
      </c>
      <c r="AY130">
        <v>0</v>
      </c>
      <c r="AZ130" t="s">
        <v>264</v>
      </c>
      <c r="BA130" t="s">
        <v>264</v>
      </c>
      <c r="BB130" t="s">
        <v>411</v>
      </c>
      <c r="BC130">
        <v>8</v>
      </c>
      <c r="BD13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-255.23999999999998</v>
      </c>
      <c r="BE130" t="str">
        <f>IF(GetCurrentMonthAging3[[#This Row],[InsGroupPrimary]]="","YES","NO")</f>
        <v>NO</v>
      </c>
      <c r="BF13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-255.23999999999998</v>
      </c>
    </row>
    <row r="131" spans="1:58" x14ac:dyDescent="0.25">
      <c r="A131" t="s">
        <v>100</v>
      </c>
      <c r="B131">
        <v>6</v>
      </c>
      <c r="C131" t="s">
        <v>331</v>
      </c>
      <c r="D131" s="142">
        <v>45199</v>
      </c>
      <c r="E131">
        <v>157758</v>
      </c>
      <c r="F131">
        <v>5829804</v>
      </c>
      <c r="G131">
        <v>29024095</v>
      </c>
      <c r="H131" t="b">
        <v>0</v>
      </c>
      <c r="I131">
        <v>1136</v>
      </c>
      <c r="J131" t="s">
        <v>438</v>
      </c>
      <c r="K131">
        <v>15</v>
      </c>
      <c r="L131">
        <v>15</v>
      </c>
      <c r="M131">
        <v>1</v>
      </c>
      <c r="N131">
        <v>0</v>
      </c>
      <c r="O131">
        <v>0</v>
      </c>
      <c r="P131">
        <v>0</v>
      </c>
      <c r="Q131">
        <v>0</v>
      </c>
      <c r="R131">
        <v>0</v>
      </c>
      <c r="T131">
        <v>15</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15</v>
      </c>
      <c r="AV131" t="s">
        <v>402</v>
      </c>
      <c r="AX131">
        <v>0</v>
      </c>
      <c r="AY131">
        <v>0</v>
      </c>
      <c r="AZ131" t="s">
        <v>264</v>
      </c>
      <c r="BA131" t="s">
        <v>264</v>
      </c>
      <c r="BB131" t="s">
        <v>411</v>
      </c>
      <c r="BC131">
        <v>8</v>
      </c>
      <c r="BD13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131" t="str">
        <f>IF(GetCurrentMonthAging3[[#This Row],[InsGroupPrimary]]="","YES","NO")</f>
        <v>YES</v>
      </c>
      <c r="BF13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v>
      </c>
    </row>
    <row r="132" spans="1:58" x14ac:dyDescent="0.25">
      <c r="A132" t="s">
        <v>100</v>
      </c>
      <c r="B132">
        <v>6</v>
      </c>
      <c r="C132" t="s">
        <v>331</v>
      </c>
      <c r="D132" s="142">
        <v>45199</v>
      </c>
      <c r="E132">
        <v>230293</v>
      </c>
      <c r="F132">
        <v>3363119</v>
      </c>
      <c r="G132">
        <v>15155294</v>
      </c>
      <c r="H132" t="b">
        <v>0</v>
      </c>
      <c r="I132">
        <v>2042</v>
      </c>
      <c r="J132" t="s">
        <v>412</v>
      </c>
      <c r="K132">
        <v>90</v>
      </c>
      <c r="L132">
        <v>45</v>
      </c>
      <c r="M132">
        <v>2</v>
      </c>
      <c r="N132">
        <v>0</v>
      </c>
      <c r="O132">
        <v>3.18</v>
      </c>
      <c r="P132">
        <v>0</v>
      </c>
      <c r="Q132">
        <v>3.18</v>
      </c>
      <c r="R132">
        <v>0</v>
      </c>
      <c r="T132">
        <v>90</v>
      </c>
      <c r="U132">
        <v>0</v>
      </c>
      <c r="V132">
        <v>0</v>
      </c>
      <c r="W132">
        <v>0</v>
      </c>
      <c r="X132">
        <v>58.2</v>
      </c>
      <c r="Y132">
        <v>0</v>
      </c>
      <c r="Z132">
        <v>31.8</v>
      </c>
      <c r="AA132">
        <v>2</v>
      </c>
      <c r="AB132">
        <v>57.24</v>
      </c>
      <c r="AC132">
        <v>0</v>
      </c>
      <c r="AD132">
        <v>0</v>
      </c>
      <c r="AE132">
        <v>0</v>
      </c>
      <c r="AF132">
        <v>0</v>
      </c>
      <c r="AG132">
        <v>0</v>
      </c>
      <c r="AH132">
        <v>0</v>
      </c>
      <c r="AI132">
        <v>0</v>
      </c>
      <c r="AJ132">
        <v>0</v>
      </c>
      <c r="AK132">
        <v>0</v>
      </c>
      <c r="AL132">
        <v>0</v>
      </c>
      <c r="AM132">
        <v>0</v>
      </c>
      <c r="AN132">
        <v>-28.62</v>
      </c>
      <c r="AP132" t="s">
        <v>265</v>
      </c>
      <c r="AQ132" t="s">
        <v>265</v>
      </c>
      <c r="AS132" t="s">
        <v>434</v>
      </c>
      <c r="AT132" t="s">
        <v>425</v>
      </c>
      <c r="AV132" t="s">
        <v>265</v>
      </c>
      <c r="AW132" t="s">
        <v>434</v>
      </c>
      <c r="AX132">
        <v>0</v>
      </c>
      <c r="AY132">
        <v>0</v>
      </c>
      <c r="AZ132" t="s">
        <v>264</v>
      </c>
      <c r="BA132" t="s">
        <v>264</v>
      </c>
      <c r="BB132" t="s">
        <v>411</v>
      </c>
      <c r="BC132">
        <v>8</v>
      </c>
      <c r="BD13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-255.23999999999998</v>
      </c>
      <c r="BE132" t="str">
        <f>IF(GetCurrentMonthAging3[[#This Row],[InsGroupPrimary]]="","YES","NO")</f>
        <v>NO</v>
      </c>
      <c r="BF13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-255.23999999999998</v>
      </c>
    </row>
    <row r="133" spans="1:58" x14ac:dyDescent="0.25">
      <c r="A133" t="s">
        <v>100</v>
      </c>
      <c r="B133">
        <v>6</v>
      </c>
      <c r="C133" t="s">
        <v>331</v>
      </c>
      <c r="D133" s="142">
        <v>45199</v>
      </c>
      <c r="E133">
        <v>230293</v>
      </c>
      <c r="F133">
        <v>3363119</v>
      </c>
      <c r="G133">
        <v>15155295</v>
      </c>
      <c r="H133" t="b">
        <v>0</v>
      </c>
      <c r="I133">
        <v>2042</v>
      </c>
      <c r="J133" t="s">
        <v>419</v>
      </c>
      <c r="K133">
        <v>45</v>
      </c>
      <c r="L133">
        <v>45</v>
      </c>
      <c r="M133">
        <v>1</v>
      </c>
      <c r="N133">
        <v>0</v>
      </c>
      <c r="O133">
        <v>1.45</v>
      </c>
      <c r="P133">
        <v>0</v>
      </c>
      <c r="Q133">
        <v>1.45</v>
      </c>
      <c r="R133">
        <v>0</v>
      </c>
      <c r="T133">
        <v>45</v>
      </c>
      <c r="U133">
        <v>0</v>
      </c>
      <c r="V133">
        <v>0</v>
      </c>
      <c r="W133">
        <v>0</v>
      </c>
      <c r="X133">
        <v>30.49</v>
      </c>
      <c r="Y133">
        <v>0</v>
      </c>
      <c r="Z133">
        <v>14.51</v>
      </c>
      <c r="AA133">
        <v>2</v>
      </c>
      <c r="AB133">
        <v>26.12</v>
      </c>
      <c r="AC133">
        <v>0</v>
      </c>
      <c r="AD133">
        <v>0</v>
      </c>
      <c r="AE133">
        <v>0</v>
      </c>
      <c r="AF133">
        <v>0</v>
      </c>
      <c r="AG133">
        <v>0</v>
      </c>
      <c r="AH133">
        <v>0</v>
      </c>
      <c r="AI133">
        <v>0</v>
      </c>
      <c r="AJ133">
        <v>0</v>
      </c>
      <c r="AK133">
        <v>0</v>
      </c>
      <c r="AL133">
        <v>0</v>
      </c>
      <c r="AM133">
        <v>0</v>
      </c>
      <c r="AN133">
        <v>-13.06</v>
      </c>
      <c r="AP133" t="s">
        <v>265</v>
      </c>
      <c r="AQ133" t="s">
        <v>265</v>
      </c>
      <c r="AS133" t="s">
        <v>434</v>
      </c>
      <c r="AT133" t="s">
        <v>425</v>
      </c>
      <c r="AV133" t="s">
        <v>265</v>
      </c>
      <c r="AW133" t="s">
        <v>434</v>
      </c>
      <c r="AX133">
        <v>0</v>
      </c>
      <c r="AY133">
        <v>0</v>
      </c>
      <c r="AZ133" t="s">
        <v>264</v>
      </c>
      <c r="BA133" t="s">
        <v>264</v>
      </c>
      <c r="BB133" t="s">
        <v>411</v>
      </c>
      <c r="BC133">
        <v>8</v>
      </c>
      <c r="BD13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-255.23999999999998</v>
      </c>
      <c r="BE133" t="str">
        <f>IF(GetCurrentMonthAging3[[#This Row],[InsGroupPrimary]]="","YES","NO")</f>
        <v>NO</v>
      </c>
      <c r="BF13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-255.23999999999998</v>
      </c>
    </row>
    <row r="134" spans="1:58" x14ac:dyDescent="0.25">
      <c r="A134" t="s">
        <v>100</v>
      </c>
      <c r="B134">
        <v>6</v>
      </c>
      <c r="C134" t="s">
        <v>331</v>
      </c>
      <c r="D134" s="142">
        <v>45199</v>
      </c>
      <c r="E134">
        <v>189911</v>
      </c>
      <c r="F134">
        <v>3464994</v>
      </c>
      <c r="G134">
        <v>15602228</v>
      </c>
      <c r="H134" t="b">
        <v>0</v>
      </c>
      <c r="I134">
        <v>2006</v>
      </c>
      <c r="J134" t="s">
        <v>412</v>
      </c>
      <c r="K134">
        <v>90</v>
      </c>
      <c r="L134">
        <v>45</v>
      </c>
      <c r="M134">
        <v>2</v>
      </c>
      <c r="N134">
        <v>0</v>
      </c>
      <c r="O134">
        <v>24</v>
      </c>
      <c r="P134">
        <v>0</v>
      </c>
      <c r="Q134">
        <v>24</v>
      </c>
      <c r="R134">
        <v>0</v>
      </c>
      <c r="T134">
        <v>90</v>
      </c>
      <c r="U134">
        <v>0</v>
      </c>
      <c r="V134">
        <v>1</v>
      </c>
      <c r="W134">
        <v>48</v>
      </c>
      <c r="X134">
        <v>108</v>
      </c>
      <c r="Y134">
        <v>0</v>
      </c>
      <c r="Z134">
        <v>0</v>
      </c>
      <c r="AA134">
        <v>0</v>
      </c>
      <c r="AB134">
        <v>0</v>
      </c>
      <c r="AC134">
        <v>0</v>
      </c>
      <c r="AD134">
        <v>0</v>
      </c>
      <c r="AE134">
        <v>0</v>
      </c>
      <c r="AF134">
        <v>0</v>
      </c>
      <c r="AG134">
        <v>0</v>
      </c>
      <c r="AH134">
        <v>0</v>
      </c>
      <c r="AI134">
        <v>0</v>
      </c>
      <c r="AJ134">
        <v>0</v>
      </c>
      <c r="AK134">
        <v>0</v>
      </c>
      <c r="AL134">
        <v>0</v>
      </c>
      <c r="AM134">
        <v>0</v>
      </c>
      <c r="AN134">
        <v>-90</v>
      </c>
      <c r="AP134" t="s">
        <v>262</v>
      </c>
      <c r="AS134" t="s">
        <v>436</v>
      </c>
      <c r="AV134" t="s">
        <v>262</v>
      </c>
      <c r="AW134" t="s">
        <v>436</v>
      </c>
      <c r="AX134">
        <v>0</v>
      </c>
      <c r="AY134">
        <v>0</v>
      </c>
      <c r="AZ134" t="s">
        <v>264</v>
      </c>
      <c r="BA134" t="s">
        <v>264</v>
      </c>
      <c r="BB134" t="s">
        <v>411</v>
      </c>
      <c r="BC134">
        <v>8</v>
      </c>
      <c r="BD13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-217</v>
      </c>
      <c r="BE134" t="str">
        <f>IF(GetCurrentMonthAging3[[#This Row],[InsGroupPrimary]]="","YES","NO")</f>
        <v>NO</v>
      </c>
      <c r="BF13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-217</v>
      </c>
    </row>
    <row r="135" spans="1:58" x14ac:dyDescent="0.25">
      <c r="A135" t="s">
        <v>100</v>
      </c>
      <c r="B135">
        <v>6</v>
      </c>
      <c r="C135" t="s">
        <v>331</v>
      </c>
      <c r="D135" s="142">
        <v>45199</v>
      </c>
      <c r="E135">
        <v>189911</v>
      </c>
      <c r="F135">
        <v>3464994</v>
      </c>
      <c r="G135">
        <v>15602229</v>
      </c>
      <c r="H135" t="b">
        <v>0</v>
      </c>
      <c r="I135">
        <v>2006</v>
      </c>
      <c r="J135" t="s">
        <v>419</v>
      </c>
      <c r="K135">
        <v>45</v>
      </c>
      <c r="L135">
        <v>45</v>
      </c>
      <c r="M135">
        <v>1</v>
      </c>
      <c r="N135">
        <v>0</v>
      </c>
      <c r="O135">
        <v>0</v>
      </c>
      <c r="P135">
        <v>0</v>
      </c>
      <c r="Q135">
        <v>0</v>
      </c>
      <c r="R135">
        <v>0</v>
      </c>
      <c r="T135">
        <v>45</v>
      </c>
      <c r="U135">
        <v>0</v>
      </c>
      <c r="V135">
        <v>0</v>
      </c>
      <c r="W135">
        <v>0</v>
      </c>
      <c r="X135">
        <v>90</v>
      </c>
      <c r="Y135">
        <v>0</v>
      </c>
      <c r="Z135">
        <v>0</v>
      </c>
      <c r="AA135">
        <v>0</v>
      </c>
      <c r="AB135">
        <v>0</v>
      </c>
      <c r="AC135">
        <v>0</v>
      </c>
      <c r="AD135">
        <v>0</v>
      </c>
      <c r="AE135">
        <v>0</v>
      </c>
      <c r="AF135">
        <v>0</v>
      </c>
      <c r="AG135">
        <v>0</v>
      </c>
      <c r="AH135">
        <v>0</v>
      </c>
      <c r="AI135">
        <v>0</v>
      </c>
      <c r="AJ135">
        <v>0</v>
      </c>
      <c r="AK135">
        <v>0</v>
      </c>
      <c r="AL135">
        <v>0</v>
      </c>
      <c r="AM135">
        <v>0</v>
      </c>
      <c r="AN135">
        <v>-45</v>
      </c>
      <c r="AP135" t="s">
        <v>262</v>
      </c>
      <c r="AS135" t="s">
        <v>436</v>
      </c>
      <c r="AV135" t="s">
        <v>262</v>
      </c>
      <c r="AW135" t="s">
        <v>436</v>
      </c>
      <c r="AX135">
        <v>0</v>
      </c>
      <c r="AY135">
        <v>0</v>
      </c>
      <c r="AZ135" t="s">
        <v>264</v>
      </c>
      <c r="BA135" t="s">
        <v>264</v>
      </c>
      <c r="BB135" t="s">
        <v>411</v>
      </c>
      <c r="BC135">
        <v>8</v>
      </c>
      <c r="BD13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-217</v>
      </c>
      <c r="BE135" t="str">
        <f>IF(GetCurrentMonthAging3[[#This Row],[InsGroupPrimary]]="","YES","NO")</f>
        <v>NO</v>
      </c>
      <c r="BF13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-217</v>
      </c>
    </row>
    <row r="136" spans="1:58" x14ac:dyDescent="0.25">
      <c r="A136" t="s">
        <v>100</v>
      </c>
      <c r="B136">
        <v>6</v>
      </c>
      <c r="C136" t="s">
        <v>331</v>
      </c>
      <c r="D136" s="142">
        <v>45199</v>
      </c>
      <c r="E136">
        <v>56976</v>
      </c>
      <c r="F136">
        <v>782690</v>
      </c>
      <c r="G136">
        <v>4281020</v>
      </c>
      <c r="H136" t="b">
        <v>0</v>
      </c>
      <c r="I136">
        <v>3132</v>
      </c>
      <c r="J136" t="s">
        <v>416</v>
      </c>
      <c r="K136">
        <v>45</v>
      </c>
      <c r="L136">
        <v>45</v>
      </c>
      <c r="M136">
        <v>1</v>
      </c>
      <c r="N136">
        <v>0</v>
      </c>
      <c r="O136">
        <v>0</v>
      </c>
      <c r="P136">
        <v>0</v>
      </c>
      <c r="Q136">
        <v>0</v>
      </c>
      <c r="R136">
        <v>8.25</v>
      </c>
      <c r="T136">
        <v>45</v>
      </c>
      <c r="U136">
        <v>0</v>
      </c>
      <c r="V136">
        <v>1</v>
      </c>
      <c r="W136">
        <v>24.75</v>
      </c>
      <c r="X136">
        <v>12</v>
      </c>
      <c r="Y136">
        <v>0</v>
      </c>
      <c r="Z136">
        <v>0</v>
      </c>
      <c r="AA136">
        <v>0</v>
      </c>
      <c r="AB136">
        <v>0</v>
      </c>
      <c r="AC136">
        <v>0</v>
      </c>
      <c r="AD136">
        <v>0</v>
      </c>
      <c r="AE136">
        <v>0</v>
      </c>
      <c r="AF136">
        <v>0</v>
      </c>
      <c r="AG136">
        <v>0</v>
      </c>
      <c r="AH136">
        <v>0</v>
      </c>
      <c r="AI136">
        <v>0</v>
      </c>
      <c r="AJ136">
        <v>0</v>
      </c>
      <c r="AK136">
        <v>0</v>
      </c>
      <c r="AL136">
        <v>0</v>
      </c>
      <c r="AM136">
        <v>0</v>
      </c>
      <c r="AN136">
        <v>8.25</v>
      </c>
      <c r="AP136" t="s">
        <v>333</v>
      </c>
      <c r="AS136" t="s">
        <v>455</v>
      </c>
      <c r="AV136" t="s">
        <v>333</v>
      </c>
      <c r="AW136" t="s">
        <v>455</v>
      </c>
      <c r="AX136">
        <v>0</v>
      </c>
      <c r="AY136">
        <v>0</v>
      </c>
      <c r="AZ136" t="s">
        <v>264</v>
      </c>
      <c r="BA136" t="s">
        <v>264</v>
      </c>
      <c r="BB136" t="s">
        <v>411</v>
      </c>
      <c r="BC136">
        <v>8</v>
      </c>
      <c r="BD13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136" t="str">
        <f>IF(GetCurrentMonthAging3[[#This Row],[InsGroupPrimary]]="","YES","NO")</f>
        <v>NO</v>
      </c>
      <c r="BF13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137" spans="1:58" x14ac:dyDescent="0.25">
      <c r="A137" t="s">
        <v>100</v>
      </c>
      <c r="B137">
        <v>6</v>
      </c>
      <c r="C137" t="s">
        <v>331</v>
      </c>
      <c r="D137" s="142">
        <v>45199</v>
      </c>
      <c r="E137">
        <v>90187</v>
      </c>
      <c r="F137">
        <v>1133126</v>
      </c>
      <c r="G137">
        <v>5838225</v>
      </c>
      <c r="H137" t="b">
        <v>0</v>
      </c>
      <c r="I137">
        <v>2937</v>
      </c>
      <c r="J137" t="s">
        <v>412</v>
      </c>
      <c r="K137">
        <v>90</v>
      </c>
      <c r="L137">
        <v>45</v>
      </c>
      <c r="M137">
        <v>2</v>
      </c>
      <c r="N137">
        <v>0</v>
      </c>
      <c r="O137">
        <v>0</v>
      </c>
      <c r="P137">
        <v>0</v>
      </c>
      <c r="Q137">
        <v>0</v>
      </c>
      <c r="R137">
        <v>0</v>
      </c>
      <c r="T137">
        <v>90</v>
      </c>
      <c r="U137">
        <v>0</v>
      </c>
      <c r="V137">
        <v>0</v>
      </c>
      <c r="W137">
        <v>0</v>
      </c>
      <c r="X137">
        <v>90</v>
      </c>
      <c r="Y137">
        <v>0</v>
      </c>
      <c r="Z137">
        <v>0</v>
      </c>
      <c r="AA137">
        <v>1</v>
      </c>
      <c r="AB137">
        <v>38.36</v>
      </c>
      <c r="AC137">
        <v>0</v>
      </c>
      <c r="AD137">
        <v>0</v>
      </c>
      <c r="AE137">
        <v>0</v>
      </c>
      <c r="AF137">
        <v>0</v>
      </c>
      <c r="AG137">
        <v>0</v>
      </c>
      <c r="AH137">
        <v>0</v>
      </c>
      <c r="AI137">
        <v>0</v>
      </c>
      <c r="AJ137">
        <v>0</v>
      </c>
      <c r="AK137">
        <v>0</v>
      </c>
      <c r="AL137">
        <v>0</v>
      </c>
      <c r="AM137">
        <v>0</v>
      </c>
      <c r="AN137">
        <v>-38.36</v>
      </c>
      <c r="AP137" t="s">
        <v>260</v>
      </c>
      <c r="AQ137" t="s">
        <v>261</v>
      </c>
      <c r="AR137" t="s">
        <v>445</v>
      </c>
      <c r="AS137" t="s">
        <v>446</v>
      </c>
      <c r="AT137" t="s">
        <v>413</v>
      </c>
      <c r="AU137" t="s">
        <v>447</v>
      </c>
      <c r="AV137" t="s">
        <v>260</v>
      </c>
      <c r="AW137" t="s">
        <v>446</v>
      </c>
      <c r="AX137">
        <v>0</v>
      </c>
      <c r="AY137">
        <v>0</v>
      </c>
      <c r="AZ137" t="s">
        <v>264</v>
      </c>
      <c r="BA137" t="s">
        <v>264</v>
      </c>
      <c r="BB137" t="s">
        <v>411</v>
      </c>
      <c r="BC137">
        <v>8</v>
      </c>
      <c r="BD13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-46.42</v>
      </c>
      <c r="BE137" t="str">
        <f>IF(GetCurrentMonthAging3[[#This Row],[InsGroupPrimary]]="","YES","NO")</f>
        <v>NO</v>
      </c>
      <c r="BF13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-46.42</v>
      </c>
    </row>
    <row r="138" spans="1:58" x14ac:dyDescent="0.25">
      <c r="A138" t="s">
        <v>100</v>
      </c>
      <c r="B138">
        <v>6</v>
      </c>
      <c r="C138" t="s">
        <v>331</v>
      </c>
      <c r="D138" s="142">
        <v>45199</v>
      </c>
      <c r="E138">
        <v>90187</v>
      </c>
      <c r="F138">
        <v>1133126</v>
      </c>
      <c r="G138">
        <v>5838224</v>
      </c>
      <c r="H138" t="b">
        <v>0</v>
      </c>
      <c r="I138">
        <v>2937</v>
      </c>
      <c r="J138" t="s">
        <v>409</v>
      </c>
      <c r="K138">
        <v>30</v>
      </c>
      <c r="L138">
        <v>30</v>
      </c>
      <c r="M138">
        <v>1</v>
      </c>
      <c r="N138">
        <v>0</v>
      </c>
      <c r="O138">
        <v>0</v>
      </c>
      <c r="P138">
        <v>0</v>
      </c>
      <c r="Q138">
        <v>0</v>
      </c>
      <c r="R138">
        <v>0</v>
      </c>
      <c r="T138">
        <v>30</v>
      </c>
      <c r="U138">
        <v>0</v>
      </c>
      <c r="V138">
        <v>0</v>
      </c>
      <c r="W138">
        <v>0</v>
      </c>
      <c r="X138">
        <v>30</v>
      </c>
      <c r="Y138">
        <v>0</v>
      </c>
      <c r="Z138">
        <v>0</v>
      </c>
      <c r="AA138">
        <v>1</v>
      </c>
      <c r="AB138">
        <v>8.06</v>
      </c>
      <c r="AC138">
        <v>0</v>
      </c>
      <c r="AD138">
        <v>0</v>
      </c>
      <c r="AE138">
        <v>0</v>
      </c>
      <c r="AF138">
        <v>0</v>
      </c>
      <c r="AG138">
        <v>0</v>
      </c>
      <c r="AH138">
        <v>0</v>
      </c>
      <c r="AI138">
        <v>0</v>
      </c>
      <c r="AJ138">
        <v>0</v>
      </c>
      <c r="AK138">
        <v>0</v>
      </c>
      <c r="AL138">
        <v>0</v>
      </c>
      <c r="AM138">
        <v>0</v>
      </c>
      <c r="AN138">
        <v>-8.06</v>
      </c>
      <c r="AP138" t="s">
        <v>260</v>
      </c>
      <c r="AQ138" t="s">
        <v>261</v>
      </c>
      <c r="AR138" t="s">
        <v>445</v>
      </c>
      <c r="AS138" t="s">
        <v>446</v>
      </c>
      <c r="AT138" t="s">
        <v>413</v>
      </c>
      <c r="AU138" t="s">
        <v>447</v>
      </c>
      <c r="AV138" t="s">
        <v>260</v>
      </c>
      <c r="AW138" t="s">
        <v>446</v>
      </c>
      <c r="AX138">
        <v>0</v>
      </c>
      <c r="AY138">
        <v>0</v>
      </c>
      <c r="AZ138" t="s">
        <v>264</v>
      </c>
      <c r="BA138" t="s">
        <v>264</v>
      </c>
      <c r="BB138" t="s">
        <v>411</v>
      </c>
      <c r="BC138">
        <v>8</v>
      </c>
      <c r="BD13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-46.42</v>
      </c>
      <c r="BE138" t="str">
        <f>IF(GetCurrentMonthAging3[[#This Row],[InsGroupPrimary]]="","YES","NO")</f>
        <v>NO</v>
      </c>
      <c r="BF13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-46.42</v>
      </c>
    </row>
    <row r="139" spans="1:58" x14ac:dyDescent="0.25">
      <c r="A139" t="s">
        <v>100</v>
      </c>
      <c r="B139">
        <v>6</v>
      </c>
      <c r="C139" t="s">
        <v>331</v>
      </c>
      <c r="D139" s="142">
        <v>45199</v>
      </c>
      <c r="E139">
        <v>111913</v>
      </c>
      <c r="F139">
        <v>1463104</v>
      </c>
      <c r="G139">
        <v>7235327</v>
      </c>
      <c r="H139" t="b">
        <v>0</v>
      </c>
      <c r="I139">
        <v>2790</v>
      </c>
      <c r="J139" t="s">
        <v>428</v>
      </c>
      <c r="K139">
        <v>25</v>
      </c>
      <c r="L139">
        <v>25</v>
      </c>
      <c r="M139">
        <v>1</v>
      </c>
      <c r="N139">
        <v>0</v>
      </c>
      <c r="O139">
        <v>0</v>
      </c>
      <c r="P139">
        <v>0</v>
      </c>
      <c r="Q139">
        <v>0</v>
      </c>
      <c r="R139">
        <v>0</v>
      </c>
      <c r="T139">
        <v>25</v>
      </c>
      <c r="U139">
        <v>0</v>
      </c>
      <c r="V139">
        <v>2</v>
      </c>
      <c r="W139">
        <v>125</v>
      </c>
      <c r="X139">
        <v>0</v>
      </c>
      <c r="Y139">
        <v>0</v>
      </c>
      <c r="Z139">
        <v>0</v>
      </c>
      <c r="AA139">
        <v>0</v>
      </c>
      <c r="AB139">
        <v>0</v>
      </c>
      <c r="AC139">
        <v>0</v>
      </c>
      <c r="AD139">
        <v>0</v>
      </c>
      <c r="AE139">
        <v>0</v>
      </c>
      <c r="AF139">
        <v>0</v>
      </c>
      <c r="AG139">
        <v>0</v>
      </c>
      <c r="AH139">
        <v>0</v>
      </c>
      <c r="AI139">
        <v>0</v>
      </c>
      <c r="AJ139">
        <v>0</v>
      </c>
      <c r="AK139">
        <v>0</v>
      </c>
      <c r="AL139">
        <v>0</v>
      </c>
      <c r="AM139">
        <v>0</v>
      </c>
      <c r="AN139">
        <v>-100</v>
      </c>
      <c r="AP139" t="s">
        <v>263</v>
      </c>
      <c r="AS139" t="s">
        <v>429</v>
      </c>
      <c r="AV139" t="s">
        <v>263</v>
      </c>
      <c r="AW139" t="s">
        <v>429</v>
      </c>
      <c r="AX139">
        <v>0</v>
      </c>
      <c r="AY139">
        <v>0</v>
      </c>
      <c r="AZ139" t="s">
        <v>264</v>
      </c>
      <c r="BA139" t="s">
        <v>264</v>
      </c>
      <c r="BB139" t="s">
        <v>411</v>
      </c>
      <c r="BC139">
        <v>8</v>
      </c>
      <c r="BD13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-400</v>
      </c>
      <c r="BE139" t="str">
        <f>IF(GetCurrentMonthAging3[[#This Row],[InsGroupPrimary]]="","YES","NO")</f>
        <v>NO</v>
      </c>
      <c r="BF13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-400</v>
      </c>
    </row>
    <row r="140" spans="1:58" x14ac:dyDescent="0.25">
      <c r="A140" t="s">
        <v>100</v>
      </c>
      <c r="B140">
        <v>6</v>
      </c>
      <c r="C140" t="s">
        <v>331</v>
      </c>
      <c r="D140" s="142">
        <v>45199</v>
      </c>
      <c r="E140">
        <v>112868</v>
      </c>
      <c r="F140">
        <v>1481406</v>
      </c>
      <c r="G140">
        <v>7336391</v>
      </c>
      <c r="H140" t="b">
        <v>0</v>
      </c>
      <c r="I140">
        <v>2780</v>
      </c>
      <c r="J140" t="s">
        <v>428</v>
      </c>
      <c r="K140">
        <v>25</v>
      </c>
      <c r="L140">
        <v>25</v>
      </c>
      <c r="M140">
        <v>1</v>
      </c>
      <c r="N140">
        <v>0</v>
      </c>
      <c r="O140">
        <v>0</v>
      </c>
      <c r="P140">
        <v>0</v>
      </c>
      <c r="Q140">
        <v>0</v>
      </c>
      <c r="R140">
        <v>0</v>
      </c>
      <c r="T140">
        <v>25</v>
      </c>
      <c r="U140">
        <v>0</v>
      </c>
      <c r="V140">
        <v>2</v>
      </c>
      <c r="W140">
        <v>50</v>
      </c>
      <c r="X140">
        <v>0</v>
      </c>
      <c r="Y140">
        <v>0</v>
      </c>
      <c r="Z140">
        <v>0</v>
      </c>
      <c r="AA140">
        <v>0</v>
      </c>
      <c r="AB140">
        <v>0</v>
      </c>
      <c r="AC140">
        <v>0</v>
      </c>
      <c r="AD140">
        <v>0</v>
      </c>
      <c r="AE140">
        <v>0</v>
      </c>
      <c r="AF140">
        <v>0</v>
      </c>
      <c r="AG140">
        <v>0</v>
      </c>
      <c r="AH140">
        <v>0</v>
      </c>
      <c r="AI140">
        <v>0</v>
      </c>
      <c r="AJ140">
        <v>0</v>
      </c>
      <c r="AK140">
        <v>0</v>
      </c>
      <c r="AL140">
        <v>0</v>
      </c>
      <c r="AM140">
        <v>0</v>
      </c>
      <c r="AN140">
        <v>-25</v>
      </c>
      <c r="AP140" t="s">
        <v>263</v>
      </c>
      <c r="AS140" t="s">
        <v>430</v>
      </c>
      <c r="AV140" t="s">
        <v>263</v>
      </c>
      <c r="AW140" t="s">
        <v>430</v>
      </c>
      <c r="AX140">
        <v>0</v>
      </c>
      <c r="AY140">
        <v>0</v>
      </c>
      <c r="AZ140" t="s">
        <v>264</v>
      </c>
      <c r="BA140" t="s">
        <v>264</v>
      </c>
      <c r="BB140" t="s">
        <v>411</v>
      </c>
      <c r="BC140">
        <v>8</v>
      </c>
      <c r="BD14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-400</v>
      </c>
      <c r="BE140" t="str">
        <f>IF(GetCurrentMonthAging3[[#This Row],[InsGroupPrimary]]="","YES","NO")</f>
        <v>NO</v>
      </c>
      <c r="BF14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-400</v>
      </c>
    </row>
    <row r="141" spans="1:58" x14ac:dyDescent="0.25">
      <c r="A141" t="s">
        <v>100</v>
      </c>
      <c r="B141">
        <v>6</v>
      </c>
      <c r="C141" t="s">
        <v>331</v>
      </c>
      <c r="D141" s="142">
        <v>45199</v>
      </c>
      <c r="E141">
        <v>70966</v>
      </c>
      <c r="F141">
        <v>857739</v>
      </c>
      <c r="G141">
        <v>4579134</v>
      </c>
      <c r="H141" t="b">
        <v>0</v>
      </c>
      <c r="I141">
        <v>3089</v>
      </c>
      <c r="J141" t="s">
        <v>422</v>
      </c>
      <c r="K141">
        <v>90</v>
      </c>
      <c r="L141">
        <v>90</v>
      </c>
      <c r="M141">
        <v>1</v>
      </c>
      <c r="N141">
        <v>0</v>
      </c>
      <c r="O141">
        <v>0</v>
      </c>
      <c r="P141">
        <v>0</v>
      </c>
      <c r="Q141">
        <v>0</v>
      </c>
      <c r="R141">
        <v>0</v>
      </c>
      <c r="T141">
        <v>90</v>
      </c>
      <c r="U141">
        <v>0</v>
      </c>
      <c r="V141">
        <v>3</v>
      </c>
      <c r="W141">
        <v>64.010000000000005</v>
      </c>
      <c r="X141">
        <v>25.99</v>
      </c>
      <c r="Y141">
        <v>0</v>
      </c>
      <c r="Z141">
        <v>0</v>
      </c>
      <c r="AA141">
        <v>0</v>
      </c>
      <c r="AB141">
        <v>0</v>
      </c>
      <c r="AC141">
        <v>0</v>
      </c>
      <c r="AD141">
        <v>0</v>
      </c>
      <c r="AE141">
        <v>0</v>
      </c>
      <c r="AF141">
        <v>0</v>
      </c>
      <c r="AG141">
        <v>0</v>
      </c>
      <c r="AH141">
        <v>0</v>
      </c>
      <c r="AI141">
        <v>0</v>
      </c>
      <c r="AJ141">
        <v>0</v>
      </c>
      <c r="AK141">
        <v>20</v>
      </c>
      <c r="AL141">
        <v>1</v>
      </c>
      <c r="AM141">
        <v>0</v>
      </c>
      <c r="AN141">
        <v>-20</v>
      </c>
      <c r="AP141" t="s">
        <v>259</v>
      </c>
      <c r="AS141" t="s">
        <v>426</v>
      </c>
      <c r="AV141" t="s">
        <v>259</v>
      </c>
      <c r="AW141" t="s">
        <v>426</v>
      </c>
      <c r="AX141">
        <v>0</v>
      </c>
      <c r="AY141">
        <v>0</v>
      </c>
      <c r="AZ141" t="s">
        <v>233</v>
      </c>
      <c r="BA141" t="s">
        <v>233</v>
      </c>
      <c r="BB141" t="s">
        <v>411</v>
      </c>
      <c r="BC141">
        <v>8</v>
      </c>
      <c r="BD14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-100</v>
      </c>
      <c r="BE141" t="str">
        <f>IF(GetCurrentMonthAging3[[#This Row],[InsGroupPrimary]]="","YES","NO")</f>
        <v>NO</v>
      </c>
      <c r="BF14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-100</v>
      </c>
    </row>
    <row r="142" spans="1:58" x14ac:dyDescent="0.25">
      <c r="A142" t="s">
        <v>100</v>
      </c>
      <c r="B142">
        <v>6</v>
      </c>
      <c r="C142" t="s">
        <v>331</v>
      </c>
      <c r="D142" s="142">
        <v>45199</v>
      </c>
      <c r="E142">
        <v>70966</v>
      </c>
      <c r="F142">
        <v>869411</v>
      </c>
      <c r="G142">
        <v>4699081</v>
      </c>
      <c r="H142" t="b">
        <v>0</v>
      </c>
      <c r="I142">
        <v>3075</v>
      </c>
      <c r="J142" t="s">
        <v>412</v>
      </c>
      <c r="K142">
        <v>90</v>
      </c>
      <c r="L142">
        <v>45</v>
      </c>
      <c r="M142">
        <v>2</v>
      </c>
      <c r="N142">
        <v>0</v>
      </c>
      <c r="O142">
        <v>0</v>
      </c>
      <c r="P142">
        <v>0</v>
      </c>
      <c r="Q142">
        <v>0</v>
      </c>
      <c r="R142">
        <v>0</v>
      </c>
      <c r="T142">
        <v>90</v>
      </c>
      <c r="U142">
        <v>0</v>
      </c>
      <c r="V142">
        <v>3</v>
      </c>
      <c r="W142">
        <v>55.04</v>
      </c>
      <c r="X142">
        <v>34.96</v>
      </c>
      <c r="Y142">
        <v>0</v>
      </c>
      <c r="Z142">
        <v>0</v>
      </c>
      <c r="AA142">
        <v>0</v>
      </c>
      <c r="AB142">
        <v>0</v>
      </c>
      <c r="AC142">
        <v>0</v>
      </c>
      <c r="AD142">
        <v>0</v>
      </c>
      <c r="AE142">
        <v>0</v>
      </c>
      <c r="AF142">
        <v>0</v>
      </c>
      <c r="AG142">
        <v>0</v>
      </c>
      <c r="AH142">
        <v>0</v>
      </c>
      <c r="AI142">
        <v>0</v>
      </c>
      <c r="AJ142">
        <v>0</v>
      </c>
      <c r="AK142">
        <v>20</v>
      </c>
      <c r="AL142">
        <v>1</v>
      </c>
      <c r="AM142">
        <v>0</v>
      </c>
      <c r="AN142">
        <v>-20</v>
      </c>
      <c r="AP142" t="s">
        <v>259</v>
      </c>
      <c r="AS142" t="s">
        <v>426</v>
      </c>
      <c r="AV142" t="s">
        <v>259</v>
      </c>
      <c r="AW142" t="s">
        <v>426</v>
      </c>
      <c r="AX142">
        <v>0</v>
      </c>
      <c r="AY142">
        <v>0</v>
      </c>
      <c r="AZ142" t="s">
        <v>233</v>
      </c>
      <c r="BA142" t="s">
        <v>233</v>
      </c>
      <c r="BB142" t="s">
        <v>411</v>
      </c>
      <c r="BC142">
        <v>8</v>
      </c>
      <c r="BD14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-100</v>
      </c>
      <c r="BE142" t="str">
        <f>IF(GetCurrentMonthAging3[[#This Row],[InsGroupPrimary]]="","YES","NO")</f>
        <v>NO</v>
      </c>
      <c r="BF14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-100</v>
      </c>
    </row>
    <row r="143" spans="1:58" x14ac:dyDescent="0.25">
      <c r="A143" t="s">
        <v>100</v>
      </c>
      <c r="B143">
        <v>6</v>
      </c>
      <c r="C143" t="s">
        <v>331</v>
      </c>
      <c r="D143" s="142">
        <v>45199</v>
      </c>
      <c r="E143">
        <v>111708</v>
      </c>
      <c r="F143">
        <v>1654636</v>
      </c>
      <c r="G143">
        <v>8169665</v>
      </c>
      <c r="H143" t="b">
        <v>0</v>
      </c>
      <c r="I143">
        <v>2705</v>
      </c>
      <c r="J143" t="s">
        <v>412</v>
      </c>
      <c r="K143">
        <v>180</v>
      </c>
      <c r="L143">
        <v>45</v>
      </c>
      <c r="M143">
        <v>4</v>
      </c>
      <c r="N143">
        <v>0</v>
      </c>
      <c r="O143">
        <v>0</v>
      </c>
      <c r="P143">
        <v>0</v>
      </c>
      <c r="Q143">
        <v>0</v>
      </c>
      <c r="R143">
        <v>0</v>
      </c>
      <c r="T143">
        <v>180</v>
      </c>
      <c r="U143">
        <v>0</v>
      </c>
      <c r="V143">
        <v>2</v>
      </c>
      <c r="W143">
        <v>150</v>
      </c>
      <c r="X143">
        <v>105</v>
      </c>
      <c r="Y143">
        <v>0</v>
      </c>
      <c r="Z143">
        <v>0</v>
      </c>
      <c r="AA143">
        <v>0</v>
      </c>
      <c r="AB143">
        <v>0</v>
      </c>
      <c r="AC143">
        <v>0</v>
      </c>
      <c r="AD143">
        <v>0</v>
      </c>
      <c r="AE143">
        <v>0</v>
      </c>
      <c r="AF143">
        <v>0</v>
      </c>
      <c r="AG143">
        <v>0</v>
      </c>
      <c r="AH143">
        <v>0</v>
      </c>
      <c r="AI143">
        <v>0</v>
      </c>
      <c r="AJ143">
        <v>0</v>
      </c>
      <c r="AK143">
        <v>0</v>
      </c>
      <c r="AL143">
        <v>0</v>
      </c>
      <c r="AM143">
        <v>0</v>
      </c>
      <c r="AN143">
        <v>-75</v>
      </c>
      <c r="AP143" t="s">
        <v>263</v>
      </c>
      <c r="AS143" t="s">
        <v>431</v>
      </c>
      <c r="AV143" t="s">
        <v>263</v>
      </c>
      <c r="AW143" t="s">
        <v>431</v>
      </c>
      <c r="AX143">
        <v>0</v>
      </c>
      <c r="AY143">
        <v>0</v>
      </c>
      <c r="AZ143" t="s">
        <v>233</v>
      </c>
      <c r="BA143" t="s">
        <v>233</v>
      </c>
      <c r="BB143" t="s">
        <v>411</v>
      </c>
      <c r="BC143">
        <v>8</v>
      </c>
      <c r="BD14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-439.63</v>
      </c>
      <c r="BE143" t="str">
        <f>IF(GetCurrentMonthAging3[[#This Row],[InsGroupPrimary]]="","YES","NO")</f>
        <v>NO</v>
      </c>
      <c r="BF14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-439.63</v>
      </c>
    </row>
    <row r="144" spans="1:58" x14ac:dyDescent="0.25">
      <c r="A144" t="s">
        <v>100</v>
      </c>
      <c r="B144">
        <v>6</v>
      </c>
      <c r="C144" t="s">
        <v>331</v>
      </c>
      <c r="D144" s="142">
        <v>45199</v>
      </c>
      <c r="E144">
        <v>111708</v>
      </c>
      <c r="F144">
        <v>1654641</v>
      </c>
      <c r="G144">
        <v>8196403</v>
      </c>
      <c r="H144" t="b">
        <v>0</v>
      </c>
      <c r="I144">
        <v>2703</v>
      </c>
      <c r="J144" t="s">
        <v>412</v>
      </c>
      <c r="K144">
        <v>180</v>
      </c>
      <c r="L144">
        <v>45</v>
      </c>
      <c r="M144">
        <v>4</v>
      </c>
      <c r="N144">
        <v>0</v>
      </c>
      <c r="O144">
        <v>0</v>
      </c>
      <c r="P144">
        <v>0</v>
      </c>
      <c r="Q144">
        <v>0</v>
      </c>
      <c r="R144">
        <v>0</v>
      </c>
      <c r="T144">
        <v>180</v>
      </c>
      <c r="U144">
        <v>0</v>
      </c>
      <c r="V144">
        <v>2</v>
      </c>
      <c r="W144">
        <v>150</v>
      </c>
      <c r="X144">
        <v>105</v>
      </c>
      <c r="Y144">
        <v>0</v>
      </c>
      <c r="Z144">
        <v>0</v>
      </c>
      <c r="AA144">
        <v>0</v>
      </c>
      <c r="AB144">
        <v>0</v>
      </c>
      <c r="AC144">
        <v>0</v>
      </c>
      <c r="AD144">
        <v>0</v>
      </c>
      <c r="AE144">
        <v>0</v>
      </c>
      <c r="AF144">
        <v>0</v>
      </c>
      <c r="AG144">
        <v>0</v>
      </c>
      <c r="AH144">
        <v>0</v>
      </c>
      <c r="AI144">
        <v>0</v>
      </c>
      <c r="AJ144">
        <v>0</v>
      </c>
      <c r="AK144">
        <v>0</v>
      </c>
      <c r="AL144">
        <v>0</v>
      </c>
      <c r="AM144">
        <v>0</v>
      </c>
      <c r="AN144">
        <v>-75</v>
      </c>
      <c r="AP144" t="s">
        <v>263</v>
      </c>
      <c r="AS144" t="s">
        <v>431</v>
      </c>
      <c r="AV144" t="s">
        <v>263</v>
      </c>
      <c r="AW144" t="s">
        <v>431</v>
      </c>
      <c r="AX144">
        <v>0</v>
      </c>
      <c r="AY144">
        <v>0</v>
      </c>
      <c r="AZ144" t="s">
        <v>233</v>
      </c>
      <c r="BA144" t="s">
        <v>233</v>
      </c>
      <c r="BB144" t="s">
        <v>411</v>
      </c>
      <c r="BC144">
        <v>8</v>
      </c>
      <c r="BD14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-439.63</v>
      </c>
      <c r="BE144" t="str">
        <f>IF(GetCurrentMonthAging3[[#This Row],[InsGroupPrimary]]="","YES","NO")</f>
        <v>NO</v>
      </c>
      <c r="BF14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-439.63</v>
      </c>
    </row>
    <row r="145" spans="1:58" x14ac:dyDescent="0.25">
      <c r="A145" t="s">
        <v>100</v>
      </c>
      <c r="B145">
        <v>6</v>
      </c>
      <c r="C145" t="s">
        <v>331</v>
      </c>
      <c r="D145" s="142">
        <v>45199</v>
      </c>
      <c r="E145">
        <v>111913</v>
      </c>
      <c r="F145">
        <v>1463874</v>
      </c>
      <c r="G145">
        <v>7249093</v>
      </c>
      <c r="H145" t="b">
        <v>0</v>
      </c>
      <c r="I145">
        <v>2788</v>
      </c>
      <c r="J145" t="s">
        <v>428</v>
      </c>
      <c r="K145">
        <v>25</v>
      </c>
      <c r="L145">
        <v>25</v>
      </c>
      <c r="M145">
        <v>1</v>
      </c>
      <c r="N145">
        <v>0</v>
      </c>
      <c r="O145">
        <v>0</v>
      </c>
      <c r="P145">
        <v>0</v>
      </c>
      <c r="Q145">
        <v>0</v>
      </c>
      <c r="R145">
        <v>0</v>
      </c>
      <c r="T145">
        <v>25</v>
      </c>
      <c r="U145">
        <v>0</v>
      </c>
      <c r="V145">
        <v>2</v>
      </c>
      <c r="W145">
        <v>125</v>
      </c>
      <c r="X145">
        <v>0</v>
      </c>
      <c r="Y145">
        <v>0</v>
      </c>
      <c r="Z145">
        <v>0</v>
      </c>
      <c r="AA145">
        <v>0</v>
      </c>
      <c r="AB145">
        <v>0</v>
      </c>
      <c r="AC145">
        <v>0</v>
      </c>
      <c r="AD145">
        <v>0</v>
      </c>
      <c r="AE145">
        <v>0</v>
      </c>
      <c r="AF145">
        <v>0</v>
      </c>
      <c r="AG145">
        <v>0</v>
      </c>
      <c r="AH145">
        <v>0</v>
      </c>
      <c r="AI145">
        <v>0</v>
      </c>
      <c r="AJ145">
        <v>0</v>
      </c>
      <c r="AK145">
        <v>200</v>
      </c>
      <c r="AL145">
        <v>1</v>
      </c>
      <c r="AM145">
        <v>0</v>
      </c>
      <c r="AN145">
        <v>-300</v>
      </c>
      <c r="AP145" t="s">
        <v>263</v>
      </c>
      <c r="AS145" t="s">
        <v>429</v>
      </c>
      <c r="AV145" t="s">
        <v>263</v>
      </c>
      <c r="AW145" t="s">
        <v>429</v>
      </c>
      <c r="AX145">
        <v>0</v>
      </c>
      <c r="AY145">
        <v>0</v>
      </c>
      <c r="AZ145" t="s">
        <v>264</v>
      </c>
      <c r="BA145" t="s">
        <v>264</v>
      </c>
      <c r="BB145" t="s">
        <v>411</v>
      </c>
      <c r="BC145">
        <v>8</v>
      </c>
      <c r="BD14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-400</v>
      </c>
      <c r="BE145" t="str">
        <f>IF(GetCurrentMonthAging3[[#This Row],[InsGroupPrimary]]="","YES","NO")</f>
        <v>NO</v>
      </c>
      <c r="BF14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-400</v>
      </c>
    </row>
    <row r="146" spans="1:58" x14ac:dyDescent="0.25">
      <c r="A146" t="s">
        <v>100</v>
      </c>
      <c r="B146">
        <v>6</v>
      </c>
      <c r="C146" t="s">
        <v>331</v>
      </c>
      <c r="D146" s="142">
        <v>45199</v>
      </c>
      <c r="E146">
        <v>119209</v>
      </c>
      <c r="F146">
        <v>1580371</v>
      </c>
      <c r="G146">
        <v>7836849</v>
      </c>
      <c r="H146" t="b">
        <v>0</v>
      </c>
      <c r="I146">
        <v>2734</v>
      </c>
      <c r="J146" t="s">
        <v>412</v>
      </c>
      <c r="K146">
        <v>135</v>
      </c>
      <c r="L146">
        <v>45</v>
      </c>
      <c r="M146">
        <v>3</v>
      </c>
      <c r="N146">
        <v>0</v>
      </c>
      <c r="O146">
        <v>0</v>
      </c>
      <c r="P146">
        <v>0</v>
      </c>
      <c r="Q146">
        <v>0</v>
      </c>
      <c r="R146">
        <v>0</v>
      </c>
      <c r="T146">
        <v>135</v>
      </c>
      <c r="U146">
        <v>0</v>
      </c>
      <c r="V146">
        <v>0</v>
      </c>
      <c r="W146">
        <v>0</v>
      </c>
      <c r="X146">
        <v>135</v>
      </c>
      <c r="Y146">
        <v>0</v>
      </c>
      <c r="Z146">
        <v>0</v>
      </c>
      <c r="AA146">
        <v>1</v>
      </c>
      <c r="AB146">
        <v>47.25</v>
      </c>
      <c r="AC146">
        <v>0</v>
      </c>
      <c r="AD146">
        <v>0</v>
      </c>
      <c r="AE146">
        <v>0</v>
      </c>
      <c r="AF146">
        <v>0</v>
      </c>
      <c r="AG146">
        <v>0</v>
      </c>
      <c r="AH146">
        <v>0</v>
      </c>
      <c r="AI146">
        <v>0</v>
      </c>
      <c r="AJ146">
        <v>0</v>
      </c>
      <c r="AK146">
        <v>0</v>
      </c>
      <c r="AL146">
        <v>0</v>
      </c>
      <c r="AM146">
        <v>0</v>
      </c>
      <c r="AN146">
        <v>-47.25</v>
      </c>
      <c r="AP146" t="s">
        <v>262</v>
      </c>
      <c r="AQ146" t="s">
        <v>265</v>
      </c>
      <c r="AS146" t="s">
        <v>448</v>
      </c>
      <c r="AT146" t="s">
        <v>425</v>
      </c>
      <c r="AV146" t="s">
        <v>262</v>
      </c>
      <c r="AW146" t="s">
        <v>448</v>
      </c>
      <c r="AX146">
        <v>0</v>
      </c>
      <c r="AY146">
        <v>0</v>
      </c>
      <c r="AZ146" t="s">
        <v>264</v>
      </c>
      <c r="BA146" t="s">
        <v>264</v>
      </c>
      <c r="BB146" t="s">
        <v>411</v>
      </c>
      <c r="BC146">
        <v>8</v>
      </c>
      <c r="BD14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-47.25</v>
      </c>
      <c r="BE146" t="str">
        <f>IF(GetCurrentMonthAging3[[#This Row],[InsGroupPrimary]]="","YES","NO")</f>
        <v>NO</v>
      </c>
      <c r="BF14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-47.25</v>
      </c>
    </row>
    <row r="147" spans="1:58" x14ac:dyDescent="0.25">
      <c r="A147" t="s">
        <v>100</v>
      </c>
      <c r="B147">
        <v>6</v>
      </c>
      <c r="C147" t="s">
        <v>331</v>
      </c>
      <c r="D147" s="142">
        <v>45199</v>
      </c>
      <c r="E147">
        <v>112868</v>
      </c>
      <c r="F147">
        <v>1579956</v>
      </c>
      <c r="G147">
        <v>7856610</v>
      </c>
      <c r="H147" t="b">
        <v>0</v>
      </c>
      <c r="I147">
        <v>2732</v>
      </c>
      <c r="J147" t="s">
        <v>428</v>
      </c>
      <c r="K147">
        <v>25</v>
      </c>
      <c r="L147">
        <v>25</v>
      </c>
      <c r="M147">
        <v>1</v>
      </c>
      <c r="N147">
        <v>0</v>
      </c>
      <c r="O147">
        <v>0</v>
      </c>
      <c r="P147">
        <v>0</v>
      </c>
      <c r="Q147">
        <v>0</v>
      </c>
      <c r="R147">
        <v>0</v>
      </c>
      <c r="T147">
        <v>25</v>
      </c>
      <c r="U147">
        <v>0</v>
      </c>
      <c r="V147">
        <v>2</v>
      </c>
      <c r="W147">
        <v>50</v>
      </c>
      <c r="X147">
        <v>0</v>
      </c>
      <c r="Y147">
        <v>0</v>
      </c>
      <c r="Z147">
        <v>0</v>
      </c>
      <c r="AA147">
        <v>0</v>
      </c>
      <c r="AB147">
        <v>0</v>
      </c>
      <c r="AC147">
        <v>0</v>
      </c>
      <c r="AD147">
        <v>0</v>
      </c>
      <c r="AE147">
        <v>0</v>
      </c>
      <c r="AF147">
        <v>0</v>
      </c>
      <c r="AG147">
        <v>0</v>
      </c>
      <c r="AH147">
        <v>0</v>
      </c>
      <c r="AI147">
        <v>0</v>
      </c>
      <c r="AJ147">
        <v>0</v>
      </c>
      <c r="AK147">
        <v>0</v>
      </c>
      <c r="AL147">
        <v>0</v>
      </c>
      <c r="AM147">
        <v>0</v>
      </c>
      <c r="AN147">
        <v>-25</v>
      </c>
      <c r="AP147" t="s">
        <v>263</v>
      </c>
      <c r="AS147" t="s">
        <v>430</v>
      </c>
      <c r="AV147" t="s">
        <v>263</v>
      </c>
      <c r="AW147" t="s">
        <v>430</v>
      </c>
      <c r="AX147">
        <v>0</v>
      </c>
      <c r="AY147">
        <v>0</v>
      </c>
      <c r="AZ147" t="s">
        <v>264</v>
      </c>
      <c r="BA147" t="s">
        <v>264</v>
      </c>
      <c r="BB147" t="s">
        <v>411</v>
      </c>
      <c r="BC147">
        <v>8</v>
      </c>
      <c r="BD14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-400</v>
      </c>
      <c r="BE147" t="str">
        <f>IF(GetCurrentMonthAging3[[#This Row],[InsGroupPrimary]]="","YES","NO")</f>
        <v>NO</v>
      </c>
      <c r="BF14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-400</v>
      </c>
    </row>
    <row r="148" spans="1:58" x14ac:dyDescent="0.25">
      <c r="A148" t="s">
        <v>100</v>
      </c>
      <c r="B148">
        <v>6</v>
      </c>
      <c r="C148" t="s">
        <v>331</v>
      </c>
      <c r="D148" s="142">
        <v>45199</v>
      </c>
      <c r="E148">
        <v>140927</v>
      </c>
      <c r="F148">
        <v>1903842</v>
      </c>
      <c r="G148">
        <v>9263131</v>
      </c>
      <c r="H148" t="b">
        <v>0</v>
      </c>
      <c r="I148">
        <v>2602</v>
      </c>
      <c r="J148" t="s">
        <v>419</v>
      </c>
      <c r="K148">
        <v>45</v>
      </c>
      <c r="L148">
        <v>45</v>
      </c>
      <c r="M148">
        <v>1</v>
      </c>
      <c r="N148">
        <v>0</v>
      </c>
      <c r="O148">
        <v>0</v>
      </c>
      <c r="P148">
        <v>0</v>
      </c>
      <c r="Q148">
        <v>0</v>
      </c>
      <c r="R148">
        <v>0</v>
      </c>
      <c r="T148">
        <v>45</v>
      </c>
      <c r="U148">
        <v>0</v>
      </c>
      <c r="V148">
        <v>2</v>
      </c>
      <c r="W148">
        <v>72.459999999999994</v>
      </c>
      <c r="X148">
        <v>4.5</v>
      </c>
      <c r="Y148">
        <v>0</v>
      </c>
      <c r="Z148">
        <v>0</v>
      </c>
      <c r="AA148">
        <v>0</v>
      </c>
      <c r="AB148">
        <v>0</v>
      </c>
      <c r="AC148">
        <v>0</v>
      </c>
      <c r="AD148">
        <v>0</v>
      </c>
      <c r="AE148">
        <v>0</v>
      </c>
      <c r="AF148">
        <v>0</v>
      </c>
      <c r="AG148">
        <v>0</v>
      </c>
      <c r="AH148">
        <v>0</v>
      </c>
      <c r="AI148">
        <v>0</v>
      </c>
      <c r="AJ148">
        <v>0</v>
      </c>
      <c r="AK148">
        <v>0</v>
      </c>
      <c r="AL148">
        <v>0</v>
      </c>
      <c r="AM148">
        <v>0</v>
      </c>
      <c r="AN148">
        <v>-31.96</v>
      </c>
      <c r="AP148" t="s">
        <v>263</v>
      </c>
      <c r="AS148" t="s">
        <v>431</v>
      </c>
      <c r="AV148" t="s">
        <v>263</v>
      </c>
      <c r="AW148" t="s">
        <v>431</v>
      </c>
      <c r="AX148">
        <v>0</v>
      </c>
      <c r="AY148">
        <v>0</v>
      </c>
      <c r="AZ148" t="s">
        <v>264</v>
      </c>
      <c r="BA148" t="s">
        <v>264</v>
      </c>
      <c r="BB148" t="s">
        <v>411</v>
      </c>
      <c r="BC148">
        <v>8</v>
      </c>
      <c r="BD14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148" t="str">
        <f>IF(GetCurrentMonthAging3[[#This Row],[InsGroupPrimary]]="","YES","NO")</f>
        <v>NO</v>
      </c>
      <c r="BF14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149" spans="1:58" x14ac:dyDescent="0.25">
      <c r="A149" t="s">
        <v>100</v>
      </c>
      <c r="B149">
        <v>6</v>
      </c>
      <c r="C149" t="s">
        <v>331</v>
      </c>
      <c r="D149" s="142">
        <v>45199</v>
      </c>
      <c r="E149">
        <v>217648</v>
      </c>
      <c r="F149">
        <v>3066597</v>
      </c>
      <c r="G149">
        <v>14012183</v>
      </c>
      <c r="H149" t="b">
        <v>0</v>
      </c>
      <c r="I149">
        <v>2160</v>
      </c>
      <c r="J149" t="s">
        <v>421</v>
      </c>
      <c r="K149">
        <v>30</v>
      </c>
      <c r="L149">
        <v>30</v>
      </c>
      <c r="M149">
        <v>1</v>
      </c>
      <c r="N149">
        <v>0</v>
      </c>
      <c r="O149">
        <v>0</v>
      </c>
      <c r="P149">
        <v>0</v>
      </c>
      <c r="Q149">
        <v>0</v>
      </c>
      <c r="R149">
        <v>0</v>
      </c>
      <c r="T149">
        <v>30</v>
      </c>
      <c r="U149">
        <v>0</v>
      </c>
      <c r="V149">
        <v>0</v>
      </c>
      <c r="W149">
        <v>0</v>
      </c>
      <c r="X149">
        <v>30</v>
      </c>
      <c r="Y149">
        <v>0</v>
      </c>
      <c r="Z149">
        <v>0</v>
      </c>
      <c r="AA149">
        <v>1</v>
      </c>
      <c r="AB149">
        <v>8</v>
      </c>
      <c r="AC149">
        <v>0</v>
      </c>
      <c r="AD149">
        <v>0</v>
      </c>
      <c r="AE149">
        <v>0</v>
      </c>
      <c r="AF149">
        <v>0</v>
      </c>
      <c r="AG149">
        <v>0</v>
      </c>
      <c r="AH149">
        <v>0</v>
      </c>
      <c r="AI149">
        <v>0</v>
      </c>
      <c r="AJ149">
        <v>0</v>
      </c>
      <c r="AK149">
        <v>0</v>
      </c>
      <c r="AL149">
        <v>0</v>
      </c>
      <c r="AM149">
        <v>0</v>
      </c>
      <c r="AN149">
        <v>-8</v>
      </c>
      <c r="AP149" t="s">
        <v>260</v>
      </c>
      <c r="AQ149" t="s">
        <v>265</v>
      </c>
      <c r="AS149" t="s">
        <v>433</v>
      </c>
      <c r="AT149" t="s">
        <v>425</v>
      </c>
      <c r="AV149" t="s">
        <v>260</v>
      </c>
      <c r="AW149" t="s">
        <v>433</v>
      </c>
      <c r="AX149">
        <v>0</v>
      </c>
      <c r="AY149">
        <v>0</v>
      </c>
      <c r="AZ149" t="s">
        <v>233</v>
      </c>
      <c r="BA149" t="s">
        <v>233</v>
      </c>
      <c r="BB149" t="s">
        <v>411</v>
      </c>
      <c r="BC149">
        <v>8</v>
      </c>
      <c r="BD14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-199.54000000000002</v>
      </c>
      <c r="BE149" t="str">
        <f>IF(GetCurrentMonthAging3[[#This Row],[InsGroupPrimary]]="","YES","NO")</f>
        <v>NO</v>
      </c>
      <c r="BF14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-199.54000000000002</v>
      </c>
    </row>
    <row r="150" spans="1:58" x14ac:dyDescent="0.25">
      <c r="A150" t="s">
        <v>100</v>
      </c>
      <c r="B150">
        <v>6</v>
      </c>
      <c r="C150" t="s">
        <v>331</v>
      </c>
      <c r="D150" s="142">
        <v>45199</v>
      </c>
      <c r="E150">
        <v>198880</v>
      </c>
      <c r="F150">
        <v>3218377</v>
      </c>
      <c r="G150">
        <v>14639968</v>
      </c>
      <c r="H150" t="b">
        <v>0</v>
      </c>
      <c r="I150">
        <v>2097</v>
      </c>
      <c r="J150" t="s">
        <v>412</v>
      </c>
      <c r="K150">
        <v>90</v>
      </c>
      <c r="L150">
        <v>45</v>
      </c>
      <c r="M150">
        <v>2</v>
      </c>
      <c r="N150">
        <v>0</v>
      </c>
      <c r="O150">
        <v>0</v>
      </c>
      <c r="P150">
        <v>0</v>
      </c>
      <c r="Q150">
        <v>0</v>
      </c>
      <c r="R150">
        <v>0</v>
      </c>
      <c r="T150">
        <v>90</v>
      </c>
      <c r="U150">
        <v>0</v>
      </c>
      <c r="V150">
        <v>0</v>
      </c>
      <c r="W150">
        <v>0</v>
      </c>
      <c r="X150">
        <v>35.369999999999997</v>
      </c>
      <c r="Y150">
        <v>0</v>
      </c>
      <c r="Z150">
        <v>54.63</v>
      </c>
      <c r="AA150">
        <v>1</v>
      </c>
      <c r="AB150">
        <v>54.14</v>
      </c>
      <c r="AC150">
        <v>0.19</v>
      </c>
      <c r="AD150">
        <v>0</v>
      </c>
      <c r="AE150">
        <v>0</v>
      </c>
      <c r="AF150">
        <v>0</v>
      </c>
      <c r="AG150">
        <v>0</v>
      </c>
      <c r="AH150">
        <v>0</v>
      </c>
      <c r="AI150">
        <v>0</v>
      </c>
      <c r="AJ150">
        <v>0</v>
      </c>
      <c r="AK150">
        <v>0</v>
      </c>
      <c r="AL150">
        <v>0</v>
      </c>
      <c r="AM150">
        <v>0</v>
      </c>
      <c r="AN150">
        <v>0.3</v>
      </c>
      <c r="AP150" t="s">
        <v>261</v>
      </c>
      <c r="AQ150" t="s">
        <v>260</v>
      </c>
      <c r="AS150" t="s">
        <v>413</v>
      </c>
      <c r="AT150" t="s">
        <v>451</v>
      </c>
      <c r="AV150" t="s">
        <v>261</v>
      </c>
      <c r="AW150" t="s">
        <v>413</v>
      </c>
      <c r="AX150">
        <v>0</v>
      </c>
      <c r="AY150">
        <v>0</v>
      </c>
      <c r="AZ150" t="s">
        <v>264</v>
      </c>
      <c r="BA150" t="s">
        <v>264</v>
      </c>
      <c r="BB150" t="s">
        <v>411</v>
      </c>
      <c r="BC150">
        <v>8</v>
      </c>
      <c r="BD15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150" t="str">
        <f>IF(GetCurrentMonthAging3[[#This Row],[InsGroupPrimary]]="","YES","NO")</f>
        <v>NO</v>
      </c>
      <c r="BF15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151" spans="1:58" x14ac:dyDescent="0.25">
      <c r="A151" t="s">
        <v>100</v>
      </c>
      <c r="B151">
        <v>6</v>
      </c>
      <c r="C151" t="s">
        <v>331</v>
      </c>
      <c r="D151" s="142">
        <v>45199</v>
      </c>
      <c r="E151">
        <v>251666</v>
      </c>
      <c r="F151">
        <v>3864276</v>
      </c>
      <c r="G151">
        <v>17272006</v>
      </c>
      <c r="H151" t="b">
        <v>0</v>
      </c>
      <c r="I151">
        <v>1870</v>
      </c>
      <c r="J151" t="s">
        <v>438</v>
      </c>
      <c r="K151">
        <v>28.6</v>
      </c>
      <c r="L151">
        <v>28.6</v>
      </c>
      <c r="M151">
        <v>1</v>
      </c>
      <c r="N151">
        <v>0</v>
      </c>
      <c r="O151">
        <v>0</v>
      </c>
      <c r="P151">
        <v>0</v>
      </c>
      <c r="Q151">
        <v>0</v>
      </c>
      <c r="R151">
        <v>0</v>
      </c>
      <c r="T151">
        <v>28.6</v>
      </c>
      <c r="U151">
        <v>0</v>
      </c>
      <c r="V151">
        <v>2</v>
      </c>
      <c r="W151">
        <v>57.2</v>
      </c>
      <c r="X151">
        <v>0</v>
      </c>
      <c r="Y151">
        <v>0</v>
      </c>
      <c r="Z151">
        <v>0</v>
      </c>
      <c r="AA151">
        <v>0</v>
      </c>
      <c r="AB151">
        <v>0</v>
      </c>
      <c r="AC151">
        <v>0</v>
      </c>
      <c r="AD151">
        <v>0</v>
      </c>
      <c r="AE151">
        <v>0</v>
      </c>
      <c r="AF151">
        <v>0</v>
      </c>
      <c r="AG151">
        <v>0</v>
      </c>
      <c r="AH151">
        <v>0</v>
      </c>
      <c r="AI151">
        <v>0</v>
      </c>
      <c r="AJ151">
        <v>0</v>
      </c>
      <c r="AK151">
        <v>0</v>
      </c>
      <c r="AL151">
        <v>0</v>
      </c>
      <c r="AM151">
        <v>0</v>
      </c>
      <c r="AN151">
        <v>-28.6</v>
      </c>
      <c r="AV151" t="s">
        <v>402</v>
      </c>
      <c r="AX151">
        <v>0</v>
      </c>
      <c r="AY151">
        <v>0</v>
      </c>
      <c r="AZ151" t="s">
        <v>233</v>
      </c>
      <c r="BA151" t="s">
        <v>233</v>
      </c>
      <c r="BB151" t="s">
        <v>411</v>
      </c>
      <c r="BC151">
        <v>8</v>
      </c>
      <c r="BD15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151" t="str">
        <f>IF(GetCurrentMonthAging3[[#This Row],[InsGroupPrimary]]="","YES","NO")</f>
        <v>YES</v>
      </c>
      <c r="BF15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-28.6</v>
      </c>
    </row>
    <row r="152" spans="1:58" x14ac:dyDescent="0.25">
      <c r="A152" t="s">
        <v>100</v>
      </c>
      <c r="B152">
        <v>6</v>
      </c>
      <c r="C152" t="s">
        <v>331</v>
      </c>
      <c r="D152" s="142">
        <v>45199</v>
      </c>
      <c r="E152">
        <v>14440</v>
      </c>
      <c r="F152">
        <v>154082</v>
      </c>
      <c r="G152">
        <v>680151</v>
      </c>
      <c r="H152" t="b">
        <v>0</v>
      </c>
      <c r="I152">
        <v>4126</v>
      </c>
      <c r="J152" t="s">
        <v>409</v>
      </c>
      <c r="K152">
        <v>30</v>
      </c>
      <c r="L152">
        <v>30</v>
      </c>
      <c r="M152">
        <v>1</v>
      </c>
      <c r="N152">
        <v>0</v>
      </c>
      <c r="O152">
        <v>0</v>
      </c>
      <c r="P152">
        <v>0</v>
      </c>
      <c r="Q152">
        <v>0</v>
      </c>
      <c r="R152">
        <v>0</v>
      </c>
      <c r="T152">
        <v>30</v>
      </c>
      <c r="U152">
        <v>0</v>
      </c>
      <c r="V152">
        <v>1</v>
      </c>
      <c r="W152">
        <v>0</v>
      </c>
      <c r="X152">
        <v>0</v>
      </c>
      <c r="Y152">
        <v>0</v>
      </c>
      <c r="Z152">
        <v>0</v>
      </c>
      <c r="AA152">
        <v>0</v>
      </c>
      <c r="AB152">
        <v>0</v>
      </c>
      <c r="AC152">
        <v>0</v>
      </c>
      <c r="AD152">
        <v>0</v>
      </c>
      <c r="AE152">
        <v>0</v>
      </c>
      <c r="AF152">
        <v>0</v>
      </c>
      <c r="AG152">
        <v>0</v>
      </c>
      <c r="AH152">
        <v>0</v>
      </c>
      <c r="AI152">
        <v>0</v>
      </c>
      <c r="AJ152">
        <v>0</v>
      </c>
      <c r="AK152">
        <v>0</v>
      </c>
      <c r="AL152">
        <v>0</v>
      </c>
      <c r="AM152">
        <v>0</v>
      </c>
      <c r="AN152">
        <v>30</v>
      </c>
      <c r="AP152" t="s">
        <v>260</v>
      </c>
      <c r="AS152" t="s">
        <v>418</v>
      </c>
      <c r="AV152" t="s">
        <v>260</v>
      </c>
      <c r="AW152" t="s">
        <v>418</v>
      </c>
      <c r="AX152">
        <v>0</v>
      </c>
      <c r="AY152">
        <v>0</v>
      </c>
      <c r="AZ152" t="s">
        <v>264</v>
      </c>
      <c r="BA152" t="s">
        <v>264</v>
      </c>
      <c r="BB152" t="s">
        <v>411</v>
      </c>
      <c r="BC152">
        <v>8</v>
      </c>
      <c r="BD15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145</v>
      </c>
      <c r="BE152" t="str">
        <f>IF(GetCurrentMonthAging3[[#This Row],[InsGroupPrimary]]="","YES","NO")</f>
        <v>NO</v>
      </c>
      <c r="BF15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145</v>
      </c>
    </row>
    <row r="153" spans="1:58" x14ac:dyDescent="0.25">
      <c r="A153" t="s">
        <v>100</v>
      </c>
      <c r="B153">
        <v>6</v>
      </c>
      <c r="C153" t="s">
        <v>331</v>
      </c>
      <c r="D153" s="142">
        <v>45199</v>
      </c>
      <c r="E153">
        <v>14440</v>
      </c>
      <c r="F153">
        <v>154082</v>
      </c>
      <c r="G153">
        <v>680148</v>
      </c>
      <c r="H153" t="b">
        <v>0</v>
      </c>
      <c r="I153">
        <v>4126</v>
      </c>
      <c r="J153" t="s">
        <v>412</v>
      </c>
      <c r="K153">
        <v>45</v>
      </c>
      <c r="L153">
        <v>45</v>
      </c>
      <c r="M153">
        <v>1</v>
      </c>
      <c r="N153">
        <v>0</v>
      </c>
      <c r="O153">
        <v>0</v>
      </c>
      <c r="P153">
        <v>25</v>
      </c>
      <c r="Q153">
        <v>-25</v>
      </c>
      <c r="R153">
        <v>0</v>
      </c>
      <c r="T153">
        <v>45</v>
      </c>
      <c r="U153">
        <v>0</v>
      </c>
      <c r="V153">
        <v>1</v>
      </c>
      <c r="W153">
        <v>0</v>
      </c>
      <c r="X153">
        <v>0</v>
      </c>
      <c r="Y153">
        <v>0</v>
      </c>
      <c r="Z153">
        <v>0</v>
      </c>
      <c r="AA153">
        <v>0</v>
      </c>
      <c r="AB153">
        <v>0</v>
      </c>
      <c r="AC153">
        <v>0</v>
      </c>
      <c r="AD153">
        <v>0</v>
      </c>
      <c r="AE153">
        <v>0</v>
      </c>
      <c r="AF153">
        <v>0</v>
      </c>
      <c r="AG153">
        <v>0</v>
      </c>
      <c r="AH153">
        <v>0</v>
      </c>
      <c r="AI153">
        <v>0</v>
      </c>
      <c r="AJ153">
        <v>0</v>
      </c>
      <c r="AK153">
        <v>0</v>
      </c>
      <c r="AL153">
        <v>0</v>
      </c>
      <c r="AM153">
        <v>0</v>
      </c>
      <c r="AN153">
        <v>45</v>
      </c>
      <c r="AP153" t="s">
        <v>260</v>
      </c>
      <c r="AS153" t="s">
        <v>418</v>
      </c>
      <c r="AV153" t="s">
        <v>260</v>
      </c>
      <c r="AW153" t="s">
        <v>418</v>
      </c>
      <c r="AX153">
        <v>0</v>
      </c>
      <c r="AY153">
        <v>0</v>
      </c>
      <c r="AZ153" t="s">
        <v>264</v>
      </c>
      <c r="BA153" t="s">
        <v>264</v>
      </c>
      <c r="BB153" t="s">
        <v>411</v>
      </c>
      <c r="BC153">
        <v>8</v>
      </c>
      <c r="BD15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145</v>
      </c>
      <c r="BE153" t="str">
        <f>IF(GetCurrentMonthAging3[[#This Row],[InsGroupPrimary]]="","YES","NO")</f>
        <v>NO</v>
      </c>
      <c r="BF15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145</v>
      </c>
    </row>
    <row r="154" spans="1:58" x14ac:dyDescent="0.25">
      <c r="A154" t="s">
        <v>100</v>
      </c>
      <c r="B154">
        <v>6</v>
      </c>
      <c r="C154" t="s">
        <v>331</v>
      </c>
      <c r="D154" s="142">
        <v>45199</v>
      </c>
      <c r="E154">
        <v>14440</v>
      </c>
      <c r="F154">
        <v>154082</v>
      </c>
      <c r="G154">
        <v>680149</v>
      </c>
      <c r="H154" t="b">
        <v>0</v>
      </c>
      <c r="I154">
        <v>4126</v>
      </c>
      <c r="J154" t="s">
        <v>419</v>
      </c>
      <c r="K154">
        <v>45</v>
      </c>
      <c r="L154">
        <v>45</v>
      </c>
      <c r="M154">
        <v>1</v>
      </c>
      <c r="N154">
        <v>0</v>
      </c>
      <c r="O154">
        <v>0</v>
      </c>
      <c r="P154">
        <v>0</v>
      </c>
      <c r="Q154">
        <v>0</v>
      </c>
      <c r="R154">
        <v>0</v>
      </c>
      <c r="T154">
        <v>45</v>
      </c>
      <c r="U154">
        <v>0</v>
      </c>
      <c r="V154">
        <v>1</v>
      </c>
      <c r="W154">
        <v>0</v>
      </c>
      <c r="X154">
        <v>0</v>
      </c>
      <c r="Y154">
        <v>0</v>
      </c>
      <c r="Z154">
        <v>0</v>
      </c>
      <c r="AA154">
        <v>0</v>
      </c>
      <c r="AB154">
        <v>0</v>
      </c>
      <c r="AC154">
        <v>0</v>
      </c>
      <c r="AD154">
        <v>0</v>
      </c>
      <c r="AE154">
        <v>0</v>
      </c>
      <c r="AF154">
        <v>0</v>
      </c>
      <c r="AG154">
        <v>0</v>
      </c>
      <c r="AH154">
        <v>0</v>
      </c>
      <c r="AI154">
        <v>0</v>
      </c>
      <c r="AJ154">
        <v>0</v>
      </c>
      <c r="AK154">
        <v>0</v>
      </c>
      <c r="AL154">
        <v>0</v>
      </c>
      <c r="AM154">
        <v>0</v>
      </c>
      <c r="AN154">
        <v>45</v>
      </c>
      <c r="AP154" t="s">
        <v>260</v>
      </c>
      <c r="AS154" t="s">
        <v>418</v>
      </c>
      <c r="AV154" t="s">
        <v>260</v>
      </c>
      <c r="AW154" t="s">
        <v>418</v>
      </c>
      <c r="AX154">
        <v>0</v>
      </c>
      <c r="AY154">
        <v>0</v>
      </c>
      <c r="AZ154" t="s">
        <v>264</v>
      </c>
      <c r="BA154" t="s">
        <v>264</v>
      </c>
      <c r="BB154" t="s">
        <v>411</v>
      </c>
      <c r="BC154">
        <v>8</v>
      </c>
      <c r="BD15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145</v>
      </c>
      <c r="BE154" t="str">
        <f>IF(GetCurrentMonthAging3[[#This Row],[InsGroupPrimary]]="","YES","NO")</f>
        <v>NO</v>
      </c>
      <c r="BF15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145</v>
      </c>
    </row>
    <row r="155" spans="1:58" x14ac:dyDescent="0.25">
      <c r="A155" t="s">
        <v>100</v>
      </c>
      <c r="B155">
        <v>6</v>
      </c>
      <c r="C155" t="s">
        <v>331</v>
      </c>
      <c r="D155" s="142">
        <v>45199</v>
      </c>
      <c r="E155">
        <v>14440</v>
      </c>
      <c r="F155">
        <v>154082</v>
      </c>
      <c r="G155">
        <v>680150</v>
      </c>
      <c r="H155" t="b">
        <v>0</v>
      </c>
      <c r="I155">
        <v>4126</v>
      </c>
      <c r="J155" t="s">
        <v>428</v>
      </c>
      <c r="K155">
        <v>25</v>
      </c>
      <c r="L155">
        <v>25</v>
      </c>
      <c r="M155">
        <v>1</v>
      </c>
      <c r="N155">
        <v>0</v>
      </c>
      <c r="O155">
        <v>0</v>
      </c>
      <c r="P155">
        <v>0</v>
      </c>
      <c r="Q155">
        <v>0</v>
      </c>
      <c r="R155">
        <v>0</v>
      </c>
      <c r="T155">
        <v>25</v>
      </c>
      <c r="U155">
        <v>0</v>
      </c>
      <c r="V155">
        <v>1</v>
      </c>
      <c r="W155">
        <v>0</v>
      </c>
      <c r="X155">
        <v>0</v>
      </c>
      <c r="Y155">
        <v>0</v>
      </c>
      <c r="Z155">
        <v>0</v>
      </c>
      <c r="AA155">
        <v>0</v>
      </c>
      <c r="AB155">
        <v>0</v>
      </c>
      <c r="AC155">
        <v>0</v>
      </c>
      <c r="AD155">
        <v>0</v>
      </c>
      <c r="AE155">
        <v>0</v>
      </c>
      <c r="AF155">
        <v>0</v>
      </c>
      <c r="AG155">
        <v>0</v>
      </c>
      <c r="AH155">
        <v>0</v>
      </c>
      <c r="AI155">
        <v>0</v>
      </c>
      <c r="AJ155">
        <v>0</v>
      </c>
      <c r="AK155">
        <v>0</v>
      </c>
      <c r="AL155">
        <v>0</v>
      </c>
      <c r="AM155">
        <v>0</v>
      </c>
      <c r="AN155">
        <v>25</v>
      </c>
      <c r="AP155" t="s">
        <v>260</v>
      </c>
      <c r="AS155" t="s">
        <v>418</v>
      </c>
      <c r="AV155" t="s">
        <v>260</v>
      </c>
      <c r="AW155" t="s">
        <v>418</v>
      </c>
      <c r="AX155">
        <v>0</v>
      </c>
      <c r="AY155">
        <v>0</v>
      </c>
      <c r="AZ155" t="s">
        <v>264</v>
      </c>
      <c r="BA155" t="s">
        <v>264</v>
      </c>
      <c r="BB155" t="s">
        <v>411</v>
      </c>
      <c r="BC155">
        <v>8</v>
      </c>
      <c r="BD15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145</v>
      </c>
      <c r="BE155" t="str">
        <f>IF(GetCurrentMonthAging3[[#This Row],[InsGroupPrimary]]="","YES","NO")</f>
        <v>NO</v>
      </c>
      <c r="BF15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145</v>
      </c>
    </row>
    <row r="156" spans="1:58" x14ac:dyDescent="0.25">
      <c r="A156" t="s">
        <v>100</v>
      </c>
      <c r="B156">
        <v>6</v>
      </c>
      <c r="C156" t="s">
        <v>331</v>
      </c>
      <c r="D156" s="142">
        <v>45199</v>
      </c>
      <c r="E156">
        <v>39104</v>
      </c>
      <c r="F156">
        <v>459779</v>
      </c>
      <c r="G156">
        <v>3022252</v>
      </c>
      <c r="H156" t="b">
        <v>0</v>
      </c>
      <c r="I156">
        <v>3452</v>
      </c>
      <c r="J156" t="s">
        <v>416</v>
      </c>
      <c r="K156">
        <v>45</v>
      </c>
      <c r="L156">
        <v>45</v>
      </c>
      <c r="M156">
        <v>1</v>
      </c>
      <c r="N156">
        <v>0</v>
      </c>
      <c r="O156">
        <v>0</v>
      </c>
      <c r="P156">
        <v>0</v>
      </c>
      <c r="Q156">
        <v>0</v>
      </c>
      <c r="R156">
        <v>0</v>
      </c>
      <c r="T156">
        <v>45</v>
      </c>
      <c r="U156">
        <v>0</v>
      </c>
      <c r="V156">
        <v>1</v>
      </c>
      <c r="W156">
        <v>25.87</v>
      </c>
      <c r="X156">
        <v>12.53</v>
      </c>
      <c r="Y156">
        <v>0</v>
      </c>
      <c r="Z156">
        <v>6.6</v>
      </c>
      <c r="AA156">
        <v>1</v>
      </c>
      <c r="AB156">
        <v>40.5</v>
      </c>
      <c r="AC156">
        <v>0</v>
      </c>
      <c r="AD156">
        <v>0</v>
      </c>
      <c r="AE156">
        <v>0</v>
      </c>
      <c r="AF156">
        <v>0</v>
      </c>
      <c r="AG156">
        <v>0</v>
      </c>
      <c r="AH156">
        <v>0</v>
      </c>
      <c r="AI156">
        <v>0</v>
      </c>
      <c r="AJ156">
        <v>0</v>
      </c>
      <c r="AK156">
        <v>0</v>
      </c>
      <c r="AL156">
        <v>0</v>
      </c>
      <c r="AM156">
        <v>0</v>
      </c>
      <c r="AN156">
        <v>-33.9</v>
      </c>
      <c r="AP156" t="s">
        <v>261</v>
      </c>
      <c r="AQ156" t="s">
        <v>260</v>
      </c>
      <c r="AS156" t="s">
        <v>413</v>
      </c>
      <c r="AT156" t="s">
        <v>415</v>
      </c>
      <c r="AV156" t="s">
        <v>332</v>
      </c>
      <c r="AW156" t="s">
        <v>332</v>
      </c>
      <c r="AX156">
        <v>0</v>
      </c>
      <c r="AY156">
        <v>0</v>
      </c>
      <c r="AZ156" t="s">
        <v>233</v>
      </c>
      <c r="BA156" t="s">
        <v>233</v>
      </c>
      <c r="BB156" t="s">
        <v>411</v>
      </c>
      <c r="BC156">
        <v>8</v>
      </c>
      <c r="BD15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156" t="str">
        <f>IF(GetCurrentMonthAging3[[#This Row],[InsGroupPrimary]]="","YES","NO")</f>
        <v>NO</v>
      </c>
      <c r="BF15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157" spans="1:58" x14ac:dyDescent="0.25">
      <c r="A157" t="s">
        <v>100</v>
      </c>
      <c r="B157">
        <v>6</v>
      </c>
      <c r="C157" t="s">
        <v>331</v>
      </c>
      <c r="D157" s="142">
        <v>45199</v>
      </c>
      <c r="E157">
        <v>40792</v>
      </c>
      <c r="F157">
        <v>463665</v>
      </c>
      <c r="G157">
        <v>3025660</v>
      </c>
      <c r="H157" t="b">
        <v>0</v>
      </c>
      <c r="I157">
        <v>3449</v>
      </c>
      <c r="J157" t="s">
        <v>409</v>
      </c>
      <c r="K157">
        <v>30</v>
      </c>
      <c r="L157">
        <v>30</v>
      </c>
      <c r="M157">
        <v>1</v>
      </c>
      <c r="N157">
        <v>0</v>
      </c>
      <c r="O157">
        <v>0</v>
      </c>
      <c r="P157">
        <v>0</v>
      </c>
      <c r="Q157">
        <v>0</v>
      </c>
      <c r="R157">
        <v>0</v>
      </c>
      <c r="T157">
        <v>30</v>
      </c>
      <c r="U157">
        <v>0</v>
      </c>
      <c r="V157">
        <v>1</v>
      </c>
      <c r="W157">
        <v>8.0500000000000007</v>
      </c>
      <c r="X157">
        <v>19.899999999999999</v>
      </c>
      <c r="Y157">
        <v>0</v>
      </c>
      <c r="Z157">
        <v>2.0499999999999998</v>
      </c>
      <c r="AA157">
        <v>1</v>
      </c>
      <c r="AB157">
        <v>9.19</v>
      </c>
      <c r="AC157">
        <v>0</v>
      </c>
      <c r="AD157">
        <v>0</v>
      </c>
      <c r="AE157">
        <v>0</v>
      </c>
      <c r="AF157">
        <v>0</v>
      </c>
      <c r="AG157">
        <v>0</v>
      </c>
      <c r="AH157">
        <v>0</v>
      </c>
      <c r="AI157">
        <v>0</v>
      </c>
      <c r="AJ157">
        <v>0</v>
      </c>
      <c r="AK157">
        <v>0</v>
      </c>
      <c r="AL157">
        <v>0</v>
      </c>
      <c r="AM157">
        <v>0</v>
      </c>
      <c r="AN157">
        <v>-7.14</v>
      </c>
      <c r="AP157" t="s">
        <v>261</v>
      </c>
      <c r="AQ157" t="s">
        <v>260</v>
      </c>
      <c r="AS157" t="s">
        <v>413</v>
      </c>
      <c r="AT157" t="s">
        <v>418</v>
      </c>
      <c r="AV157" t="s">
        <v>332</v>
      </c>
      <c r="AW157" t="s">
        <v>332</v>
      </c>
      <c r="AX157">
        <v>0</v>
      </c>
      <c r="AY157">
        <v>0</v>
      </c>
      <c r="AZ157" t="s">
        <v>233</v>
      </c>
      <c r="BA157" t="s">
        <v>233</v>
      </c>
      <c r="BB157" t="s">
        <v>411</v>
      </c>
      <c r="BC157">
        <v>8</v>
      </c>
      <c r="BD15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157" t="str">
        <f>IF(GetCurrentMonthAging3[[#This Row],[InsGroupPrimary]]="","YES","NO")</f>
        <v>NO</v>
      </c>
      <c r="BF15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158" spans="1:58" x14ac:dyDescent="0.25">
      <c r="A158" t="s">
        <v>100</v>
      </c>
      <c r="B158">
        <v>6</v>
      </c>
      <c r="C158" t="s">
        <v>331</v>
      </c>
      <c r="D158" s="142">
        <v>45199</v>
      </c>
      <c r="E158">
        <v>40692</v>
      </c>
      <c r="F158">
        <v>467601</v>
      </c>
      <c r="G158">
        <v>3066015</v>
      </c>
      <c r="H158" t="b">
        <v>0</v>
      </c>
      <c r="I158">
        <v>3435</v>
      </c>
      <c r="J158" t="s">
        <v>419</v>
      </c>
      <c r="K158">
        <v>90</v>
      </c>
      <c r="L158">
        <v>45</v>
      </c>
      <c r="M158">
        <v>2</v>
      </c>
      <c r="N158">
        <v>0</v>
      </c>
      <c r="O158">
        <v>90</v>
      </c>
      <c r="P158">
        <v>0</v>
      </c>
      <c r="Q158">
        <v>0</v>
      </c>
      <c r="R158">
        <v>90</v>
      </c>
      <c r="T158">
        <v>90</v>
      </c>
      <c r="U158">
        <v>0</v>
      </c>
      <c r="V158">
        <v>0</v>
      </c>
      <c r="W158">
        <v>0</v>
      </c>
      <c r="X158">
        <v>0</v>
      </c>
      <c r="Y158">
        <v>0</v>
      </c>
      <c r="Z158">
        <v>0</v>
      </c>
      <c r="AA158">
        <v>0</v>
      </c>
      <c r="AB158">
        <v>0</v>
      </c>
      <c r="AC158">
        <v>0</v>
      </c>
      <c r="AD158">
        <v>0</v>
      </c>
      <c r="AE158">
        <v>0</v>
      </c>
      <c r="AF158">
        <v>0</v>
      </c>
      <c r="AG158">
        <v>0</v>
      </c>
      <c r="AH158">
        <v>0</v>
      </c>
      <c r="AI158">
        <v>0</v>
      </c>
      <c r="AJ158">
        <v>0</v>
      </c>
      <c r="AK158">
        <v>44.59</v>
      </c>
      <c r="AL158">
        <v>2</v>
      </c>
      <c r="AM158">
        <v>0</v>
      </c>
      <c r="AN158">
        <v>-44.59</v>
      </c>
      <c r="AP158" t="s">
        <v>259</v>
      </c>
      <c r="AS158" t="s">
        <v>420</v>
      </c>
      <c r="AV158" t="s">
        <v>259</v>
      </c>
      <c r="AW158" t="s">
        <v>420</v>
      </c>
      <c r="AX158">
        <v>0</v>
      </c>
      <c r="AY158">
        <v>0</v>
      </c>
      <c r="AZ158" t="s">
        <v>264</v>
      </c>
      <c r="BA158" t="s">
        <v>264</v>
      </c>
      <c r="BB158" t="s">
        <v>411</v>
      </c>
      <c r="BC158">
        <v>8</v>
      </c>
      <c r="BD15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158" t="str">
        <f>IF(GetCurrentMonthAging3[[#This Row],[InsGroupPrimary]]="","YES","NO")</f>
        <v>NO</v>
      </c>
      <c r="BF15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159" spans="1:58" x14ac:dyDescent="0.25">
      <c r="A159" t="s">
        <v>100</v>
      </c>
      <c r="B159">
        <v>6</v>
      </c>
      <c r="C159" t="s">
        <v>331</v>
      </c>
      <c r="D159" s="142">
        <v>45199</v>
      </c>
      <c r="E159">
        <v>40692</v>
      </c>
      <c r="F159">
        <v>467601</v>
      </c>
      <c r="G159">
        <v>3066016</v>
      </c>
      <c r="H159" t="b">
        <v>0</v>
      </c>
      <c r="I159">
        <v>3435</v>
      </c>
      <c r="J159" t="s">
        <v>412</v>
      </c>
      <c r="K159">
        <v>45</v>
      </c>
      <c r="L159">
        <v>45</v>
      </c>
      <c r="M159">
        <v>1</v>
      </c>
      <c r="N159">
        <v>0</v>
      </c>
      <c r="O159">
        <v>45</v>
      </c>
      <c r="P159">
        <v>0</v>
      </c>
      <c r="Q159">
        <v>0</v>
      </c>
      <c r="R159">
        <v>45</v>
      </c>
      <c r="T159">
        <v>45</v>
      </c>
      <c r="U159">
        <v>0</v>
      </c>
      <c r="V159">
        <v>0</v>
      </c>
      <c r="W159">
        <v>0</v>
      </c>
      <c r="X159">
        <v>0</v>
      </c>
      <c r="Y159">
        <v>0</v>
      </c>
      <c r="Z159">
        <v>0</v>
      </c>
      <c r="AA159">
        <v>0</v>
      </c>
      <c r="AB159">
        <v>0</v>
      </c>
      <c r="AC159">
        <v>0</v>
      </c>
      <c r="AD159">
        <v>0</v>
      </c>
      <c r="AE159">
        <v>0</v>
      </c>
      <c r="AF159">
        <v>0</v>
      </c>
      <c r="AG159">
        <v>0</v>
      </c>
      <c r="AH159">
        <v>0</v>
      </c>
      <c r="AI159">
        <v>0</v>
      </c>
      <c r="AJ159">
        <v>0</v>
      </c>
      <c r="AK159">
        <v>31.12</v>
      </c>
      <c r="AL159">
        <v>2</v>
      </c>
      <c r="AM159">
        <v>0</v>
      </c>
      <c r="AN159">
        <v>-31.12</v>
      </c>
      <c r="AP159" t="s">
        <v>259</v>
      </c>
      <c r="AS159" t="s">
        <v>420</v>
      </c>
      <c r="AV159" t="s">
        <v>259</v>
      </c>
      <c r="AW159" t="s">
        <v>420</v>
      </c>
      <c r="AX159">
        <v>0</v>
      </c>
      <c r="AY159">
        <v>0</v>
      </c>
      <c r="AZ159" t="s">
        <v>264</v>
      </c>
      <c r="BA159" t="s">
        <v>264</v>
      </c>
      <c r="BB159" t="s">
        <v>411</v>
      </c>
      <c r="BC159">
        <v>8</v>
      </c>
      <c r="BD15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159" t="str">
        <f>IF(GetCurrentMonthAging3[[#This Row],[InsGroupPrimary]]="","YES","NO")</f>
        <v>NO</v>
      </c>
      <c r="BF15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160" spans="1:58" x14ac:dyDescent="0.25">
      <c r="A160" t="s">
        <v>100</v>
      </c>
      <c r="B160">
        <v>6</v>
      </c>
      <c r="C160" t="s">
        <v>331</v>
      </c>
      <c r="D160" s="142">
        <v>45199</v>
      </c>
      <c r="E160">
        <v>40692</v>
      </c>
      <c r="F160">
        <v>467604</v>
      </c>
      <c r="G160">
        <v>3079770</v>
      </c>
      <c r="H160" t="b">
        <v>0</v>
      </c>
      <c r="I160">
        <v>3431</v>
      </c>
      <c r="J160" t="s">
        <v>419</v>
      </c>
      <c r="K160">
        <v>45</v>
      </c>
      <c r="L160">
        <v>45</v>
      </c>
      <c r="M160">
        <v>1</v>
      </c>
      <c r="N160">
        <v>0</v>
      </c>
      <c r="O160">
        <v>45</v>
      </c>
      <c r="P160">
        <v>0</v>
      </c>
      <c r="Q160">
        <v>0</v>
      </c>
      <c r="R160">
        <v>45</v>
      </c>
      <c r="T160">
        <v>45</v>
      </c>
      <c r="U160">
        <v>0</v>
      </c>
      <c r="V160">
        <v>0</v>
      </c>
      <c r="W160">
        <v>0</v>
      </c>
      <c r="X160">
        <v>0</v>
      </c>
      <c r="Y160">
        <v>0</v>
      </c>
      <c r="Z160">
        <v>0</v>
      </c>
      <c r="AA160">
        <v>0</v>
      </c>
      <c r="AB160">
        <v>0</v>
      </c>
      <c r="AC160">
        <v>0</v>
      </c>
      <c r="AD160">
        <v>0</v>
      </c>
      <c r="AE160">
        <v>0</v>
      </c>
      <c r="AF160">
        <v>0</v>
      </c>
      <c r="AG160">
        <v>0</v>
      </c>
      <c r="AH160">
        <v>0</v>
      </c>
      <c r="AI160">
        <v>0</v>
      </c>
      <c r="AJ160">
        <v>0</v>
      </c>
      <c r="AK160">
        <v>29.06</v>
      </c>
      <c r="AL160">
        <v>2</v>
      </c>
      <c r="AM160">
        <v>0</v>
      </c>
      <c r="AN160">
        <v>-29.06</v>
      </c>
      <c r="AP160" t="s">
        <v>259</v>
      </c>
      <c r="AS160" t="s">
        <v>420</v>
      </c>
      <c r="AV160" t="s">
        <v>259</v>
      </c>
      <c r="AW160" t="s">
        <v>420</v>
      </c>
      <c r="AX160">
        <v>0</v>
      </c>
      <c r="AY160">
        <v>0</v>
      </c>
      <c r="AZ160" t="s">
        <v>264</v>
      </c>
      <c r="BA160" t="s">
        <v>264</v>
      </c>
      <c r="BB160" t="s">
        <v>411</v>
      </c>
      <c r="BC160">
        <v>8</v>
      </c>
      <c r="BD16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160" t="str">
        <f>IF(GetCurrentMonthAging3[[#This Row],[InsGroupPrimary]]="","YES","NO")</f>
        <v>NO</v>
      </c>
      <c r="BF16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161" spans="1:58" x14ac:dyDescent="0.25">
      <c r="A161" t="s">
        <v>100</v>
      </c>
      <c r="B161">
        <v>6</v>
      </c>
      <c r="C161" t="s">
        <v>331</v>
      </c>
      <c r="D161" s="142">
        <v>45199</v>
      </c>
      <c r="E161">
        <v>40792</v>
      </c>
      <c r="F161">
        <v>475193</v>
      </c>
      <c r="G161">
        <v>3086436</v>
      </c>
      <c r="H161" t="b">
        <v>0</v>
      </c>
      <c r="I161">
        <v>3428</v>
      </c>
      <c r="J161" t="s">
        <v>412</v>
      </c>
      <c r="K161">
        <v>135</v>
      </c>
      <c r="L161">
        <v>45</v>
      </c>
      <c r="M161">
        <v>3</v>
      </c>
      <c r="N161">
        <v>0</v>
      </c>
      <c r="O161">
        <v>0</v>
      </c>
      <c r="P161">
        <v>0</v>
      </c>
      <c r="Q161">
        <v>0</v>
      </c>
      <c r="R161">
        <v>0</v>
      </c>
      <c r="T161">
        <v>135</v>
      </c>
      <c r="U161">
        <v>0</v>
      </c>
      <c r="V161">
        <v>1</v>
      </c>
      <c r="W161">
        <v>56.59</v>
      </c>
      <c r="X161">
        <v>63.97</v>
      </c>
      <c r="Y161">
        <v>0</v>
      </c>
      <c r="Z161">
        <v>14.44</v>
      </c>
      <c r="AA161">
        <v>1</v>
      </c>
      <c r="AB161">
        <v>30.48</v>
      </c>
      <c r="AC161">
        <v>0</v>
      </c>
      <c r="AD161">
        <v>0</v>
      </c>
      <c r="AE161">
        <v>0</v>
      </c>
      <c r="AF161">
        <v>0</v>
      </c>
      <c r="AG161">
        <v>0</v>
      </c>
      <c r="AH161">
        <v>0</v>
      </c>
      <c r="AI161">
        <v>0</v>
      </c>
      <c r="AJ161">
        <v>0</v>
      </c>
      <c r="AK161">
        <v>0</v>
      </c>
      <c r="AL161">
        <v>0</v>
      </c>
      <c r="AM161">
        <v>0</v>
      </c>
      <c r="AN161">
        <v>-16.04</v>
      </c>
      <c r="AP161" t="s">
        <v>261</v>
      </c>
      <c r="AQ161" t="s">
        <v>260</v>
      </c>
      <c r="AS161" t="s">
        <v>413</v>
      </c>
      <c r="AT161" t="s">
        <v>418</v>
      </c>
      <c r="AV161" t="s">
        <v>332</v>
      </c>
      <c r="AW161" t="s">
        <v>332</v>
      </c>
      <c r="AX161">
        <v>0</v>
      </c>
      <c r="AY161">
        <v>0</v>
      </c>
      <c r="AZ161" t="s">
        <v>233</v>
      </c>
      <c r="BA161" t="s">
        <v>233</v>
      </c>
      <c r="BB161" t="s">
        <v>411</v>
      </c>
      <c r="BC161">
        <v>8</v>
      </c>
      <c r="BD16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161" t="str">
        <f>IF(GetCurrentMonthAging3[[#This Row],[InsGroupPrimary]]="","YES","NO")</f>
        <v>NO</v>
      </c>
      <c r="BF16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162" spans="1:58" x14ac:dyDescent="0.25">
      <c r="A162" t="s">
        <v>100</v>
      </c>
      <c r="B162">
        <v>6</v>
      </c>
      <c r="C162" t="s">
        <v>331</v>
      </c>
      <c r="D162" s="142">
        <v>45199</v>
      </c>
      <c r="E162">
        <v>40792</v>
      </c>
      <c r="F162">
        <v>475620</v>
      </c>
      <c r="G162">
        <v>3098900</v>
      </c>
      <c r="H162" t="b">
        <v>0</v>
      </c>
      <c r="I162">
        <v>3424</v>
      </c>
      <c r="J162" t="s">
        <v>416</v>
      </c>
      <c r="K162">
        <v>45</v>
      </c>
      <c r="L162">
        <v>45</v>
      </c>
      <c r="M162">
        <v>1</v>
      </c>
      <c r="N162">
        <v>0</v>
      </c>
      <c r="O162">
        <v>0</v>
      </c>
      <c r="P162">
        <v>0</v>
      </c>
      <c r="Q162">
        <v>0</v>
      </c>
      <c r="R162">
        <v>0</v>
      </c>
      <c r="T162">
        <v>45</v>
      </c>
      <c r="U162">
        <v>0</v>
      </c>
      <c r="V162">
        <v>1</v>
      </c>
      <c r="W162">
        <v>25.87</v>
      </c>
      <c r="X162">
        <v>12.53</v>
      </c>
      <c r="Y162">
        <v>0</v>
      </c>
      <c r="Z162">
        <v>6.6</v>
      </c>
      <c r="AA162">
        <v>1</v>
      </c>
      <c r="AB162">
        <v>19.3</v>
      </c>
      <c r="AC162">
        <v>0</v>
      </c>
      <c r="AD162">
        <v>0</v>
      </c>
      <c r="AE162">
        <v>0</v>
      </c>
      <c r="AF162">
        <v>0</v>
      </c>
      <c r="AG162">
        <v>0</v>
      </c>
      <c r="AH162">
        <v>0</v>
      </c>
      <c r="AI162">
        <v>0</v>
      </c>
      <c r="AJ162">
        <v>0</v>
      </c>
      <c r="AK162">
        <v>0</v>
      </c>
      <c r="AL162">
        <v>0</v>
      </c>
      <c r="AM162">
        <v>0</v>
      </c>
      <c r="AN162">
        <v>-12.7</v>
      </c>
      <c r="AP162" t="s">
        <v>261</v>
      </c>
      <c r="AQ162" t="s">
        <v>260</v>
      </c>
      <c r="AS162" t="s">
        <v>413</v>
      </c>
      <c r="AT162" t="s">
        <v>418</v>
      </c>
      <c r="AV162" t="s">
        <v>332</v>
      </c>
      <c r="AW162" t="s">
        <v>332</v>
      </c>
      <c r="AX162">
        <v>0</v>
      </c>
      <c r="AY162">
        <v>0</v>
      </c>
      <c r="AZ162" t="s">
        <v>233</v>
      </c>
      <c r="BA162" t="s">
        <v>233</v>
      </c>
      <c r="BB162" t="s">
        <v>411</v>
      </c>
      <c r="BC162">
        <v>8</v>
      </c>
      <c r="BD16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162" t="str">
        <f>IF(GetCurrentMonthAging3[[#This Row],[InsGroupPrimary]]="","YES","NO")</f>
        <v>NO</v>
      </c>
      <c r="BF16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163" spans="1:58" x14ac:dyDescent="0.25">
      <c r="A163" t="s">
        <v>100</v>
      </c>
      <c r="B163">
        <v>6</v>
      </c>
      <c r="C163" t="s">
        <v>331</v>
      </c>
      <c r="D163" s="142">
        <v>45199</v>
      </c>
      <c r="E163">
        <v>45930</v>
      </c>
      <c r="F163">
        <v>520920</v>
      </c>
      <c r="G163">
        <v>3293311</v>
      </c>
      <c r="H163" t="b">
        <v>0</v>
      </c>
      <c r="I163">
        <v>3348</v>
      </c>
      <c r="J163" t="s">
        <v>416</v>
      </c>
      <c r="K163">
        <v>45</v>
      </c>
      <c r="L163">
        <v>45</v>
      </c>
      <c r="M163">
        <v>1</v>
      </c>
      <c r="N163">
        <v>0</v>
      </c>
      <c r="O163">
        <v>0</v>
      </c>
      <c r="P163">
        <v>0</v>
      </c>
      <c r="Q163">
        <v>0</v>
      </c>
      <c r="R163">
        <v>0</v>
      </c>
      <c r="T163">
        <v>45</v>
      </c>
      <c r="U163">
        <v>0</v>
      </c>
      <c r="V163">
        <v>0</v>
      </c>
      <c r="W163">
        <v>0</v>
      </c>
      <c r="X163">
        <v>35</v>
      </c>
      <c r="Y163">
        <v>0</v>
      </c>
      <c r="Z163">
        <v>10</v>
      </c>
      <c r="AA163">
        <v>1</v>
      </c>
      <c r="AB163">
        <v>19.399999999999999</v>
      </c>
      <c r="AC163">
        <v>0</v>
      </c>
      <c r="AD163">
        <v>0</v>
      </c>
      <c r="AE163">
        <v>0</v>
      </c>
      <c r="AF163">
        <v>0</v>
      </c>
      <c r="AG163">
        <v>0</v>
      </c>
      <c r="AH163">
        <v>0</v>
      </c>
      <c r="AI163">
        <v>0</v>
      </c>
      <c r="AJ163">
        <v>0</v>
      </c>
      <c r="AK163">
        <v>0</v>
      </c>
      <c r="AL163">
        <v>0</v>
      </c>
      <c r="AM163">
        <v>0</v>
      </c>
      <c r="AN163">
        <v>-9.4</v>
      </c>
      <c r="AP163" t="s">
        <v>260</v>
      </c>
      <c r="AQ163" t="s">
        <v>261</v>
      </c>
      <c r="AR163" t="s">
        <v>262</v>
      </c>
      <c r="AS163" t="s">
        <v>423</v>
      </c>
      <c r="AT163" t="s">
        <v>413</v>
      </c>
      <c r="AU163" t="s">
        <v>424</v>
      </c>
      <c r="AV163" t="s">
        <v>260</v>
      </c>
      <c r="AW163" t="s">
        <v>423</v>
      </c>
      <c r="AX163">
        <v>0</v>
      </c>
      <c r="AY163">
        <v>0</v>
      </c>
      <c r="AZ163" t="s">
        <v>233</v>
      </c>
      <c r="BA163" t="s">
        <v>233</v>
      </c>
      <c r="BB163" t="s">
        <v>411</v>
      </c>
      <c r="BC163">
        <v>8</v>
      </c>
      <c r="BD16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-15.670000000000002</v>
      </c>
      <c r="BE163" t="str">
        <f>IF(GetCurrentMonthAging3[[#This Row],[InsGroupPrimary]]="","YES","NO")</f>
        <v>NO</v>
      </c>
      <c r="BF16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-15.670000000000002</v>
      </c>
    </row>
    <row r="164" spans="1:58" x14ac:dyDescent="0.25">
      <c r="A164" t="s">
        <v>100</v>
      </c>
      <c r="B164">
        <v>6</v>
      </c>
      <c r="C164" t="s">
        <v>331</v>
      </c>
      <c r="D164" s="142">
        <v>45199</v>
      </c>
      <c r="E164">
        <v>32798</v>
      </c>
      <c r="F164">
        <v>370706</v>
      </c>
      <c r="G164">
        <v>2385854</v>
      </c>
      <c r="H164" t="b">
        <v>0</v>
      </c>
      <c r="I164">
        <v>3655</v>
      </c>
      <c r="J164" t="s">
        <v>419</v>
      </c>
      <c r="K164">
        <v>45</v>
      </c>
      <c r="L164">
        <v>45</v>
      </c>
      <c r="M164">
        <v>1</v>
      </c>
      <c r="N164">
        <v>0</v>
      </c>
      <c r="O164">
        <v>0</v>
      </c>
      <c r="P164">
        <v>0</v>
      </c>
      <c r="Q164">
        <v>0</v>
      </c>
      <c r="R164">
        <v>0</v>
      </c>
      <c r="T164">
        <v>45</v>
      </c>
      <c r="U164">
        <v>0</v>
      </c>
      <c r="V164">
        <v>1</v>
      </c>
      <c r="W164">
        <v>45</v>
      </c>
      <c r="X164">
        <v>0</v>
      </c>
      <c r="Y164">
        <v>0</v>
      </c>
      <c r="Z164">
        <v>0</v>
      </c>
      <c r="AA164">
        <v>0</v>
      </c>
      <c r="AB164">
        <v>0</v>
      </c>
      <c r="AC164">
        <v>0</v>
      </c>
      <c r="AD164">
        <v>0</v>
      </c>
      <c r="AE164">
        <v>0</v>
      </c>
      <c r="AF164">
        <v>0</v>
      </c>
      <c r="AG164">
        <v>0</v>
      </c>
      <c r="AH164">
        <v>0</v>
      </c>
      <c r="AI164">
        <v>0</v>
      </c>
      <c r="AJ164">
        <v>0</v>
      </c>
      <c r="AK164">
        <v>0</v>
      </c>
      <c r="AL164">
        <v>0</v>
      </c>
      <c r="AM164">
        <v>0</v>
      </c>
      <c r="AN164">
        <v>-45</v>
      </c>
      <c r="AP164" t="s">
        <v>263</v>
      </c>
      <c r="AS164" t="s">
        <v>439</v>
      </c>
      <c r="AV164" t="s">
        <v>263</v>
      </c>
      <c r="AW164" t="s">
        <v>439</v>
      </c>
      <c r="AX164">
        <v>45</v>
      </c>
      <c r="AY164">
        <v>0</v>
      </c>
      <c r="AZ164" t="s">
        <v>233</v>
      </c>
      <c r="BA164" t="s">
        <v>233</v>
      </c>
      <c r="BB164" t="s">
        <v>411</v>
      </c>
      <c r="BC164">
        <v>8</v>
      </c>
      <c r="BD16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164" t="str">
        <f>IF(GetCurrentMonthAging3[[#This Row],[InsGroupPrimary]]="","YES","NO")</f>
        <v>NO</v>
      </c>
      <c r="BF16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165" spans="1:58" x14ac:dyDescent="0.25">
      <c r="A165" t="s">
        <v>100</v>
      </c>
      <c r="B165">
        <v>6</v>
      </c>
      <c r="C165" t="s">
        <v>331</v>
      </c>
      <c r="D165" s="142">
        <v>45199</v>
      </c>
      <c r="E165">
        <v>32798</v>
      </c>
      <c r="F165">
        <v>370706</v>
      </c>
      <c r="G165">
        <v>2385852</v>
      </c>
      <c r="H165" t="b">
        <v>0</v>
      </c>
      <c r="I165">
        <v>3655</v>
      </c>
      <c r="J165" t="s">
        <v>422</v>
      </c>
      <c r="K165">
        <v>90</v>
      </c>
      <c r="L165">
        <v>90</v>
      </c>
      <c r="M165">
        <v>1</v>
      </c>
      <c r="N165">
        <v>0</v>
      </c>
      <c r="O165">
        <v>0</v>
      </c>
      <c r="P165">
        <v>0</v>
      </c>
      <c r="Q165">
        <v>0</v>
      </c>
      <c r="R165">
        <v>0</v>
      </c>
      <c r="T165">
        <v>90</v>
      </c>
      <c r="U165">
        <v>0</v>
      </c>
      <c r="V165">
        <v>1</v>
      </c>
      <c r="W165">
        <v>90</v>
      </c>
      <c r="X165">
        <v>0</v>
      </c>
      <c r="Y165">
        <v>0</v>
      </c>
      <c r="Z165">
        <v>0</v>
      </c>
      <c r="AA165">
        <v>0</v>
      </c>
      <c r="AB165">
        <v>0</v>
      </c>
      <c r="AC165">
        <v>0</v>
      </c>
      <c r="AD165">
        <v>0</v>
      </c>
      <c r="AE165">
        <v>0</v>
      </c>
      <c r="AF165">
        <v>0</v>
      </c>
      <c r="AG165">
        <v>0</v>
      </c>
      <c r="AH165">
        <v>0</v>
      </c>
      <c r="AI165">
        <v>0</v>
      </c>
      <c r="AJ165">
        <v>0</v>
      </c>
      <c r="AK165">
        <v>0</v>
      </c>
      <c r="AL165">
        <v>0</v>
      </c>
      <c r="AM165">
        <v>0</v>
      </c>
      <c r="AN165">
        <v>-90</v>
      </c>
      <c r="AP165" t="s">
        <v>263</v>
      </c>
      <c r="AS165" t="s">
        <v>439</v>
      </c>
      <c r="AV165" t="s">
        <v>263</v>
      </c>
      <c r="AW165" t="s">
        <v>439</v>
      </c>
      <c r="AX165">
        <v>90</v>
      </c>
      <c r="AY165">
        <v>0</v>
      </c>
      <c r="AZ165" t="s">
        <v>233</v>
      </c>
      <c r="BA165" t="s">
        <v>233</v>
      </c>
      <c r="BB165" t="s">
        <v>411</v>
      </c>
      <c r="BC165">
        <v>8</v>
      </c>
      <c r="BD16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165" t="str">
        <f>IF(GetCurrentMonthAging3[[#This Row],[InsGroupPrimary]]="","YES","NO")</f>
        <v>NO</v>
      </c>
      <c r="BF16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166" spans="1:58" x14ac:dyDescent="0.25">
      <c r="A166" t="s">
        <v>100</v>
      </c>
      <c r="B166">
        <v>6</v>
      </c>
      <c r="C166" t="s">
        <v>331</v>
      </c>
      <c r="D166" s="142">
        <v>45199</v>
      </c>
      <c r="E166">
        <v>32798</v>
      </c>
      <c r="F166">
        <v>370706</v>
      </c>
      <c r="G166">
        <v>2385853</v>
      </c>
      <c r="H166" t="b">
        <v>0</v>
      </c>
      <c r="I166">
        <v>3655</v>
      </c>
      <c r="J166" t="s">
        <v>412</v>
      </c>
      <c r="K166">
        <v>90</v>
      </c>
      <c r="L166">
        <v>45</v>
      </c>
      <c r="M166">
        <v>2</v>
      </c>
      <c r="N166">
        <v>0</v>
      </c>
      <c r="O166">
        <v>0</v>
      </c>
      <c r="P166">
        <v>0</v>
      </c>
      <c r="Q166">
        <v>0</v>
      </c>
      <c r="R166">
        <v>0</v>
      </c>
      <c r="T166">
        <v>90</v>
      </c>
      <c r="U166">
        <v>0</v>
      </c>
      <c r="V166">
        <v>1</v>
      </c>
      <c r="W166">
        <v>90</v>
      </c>
      <c r="X166">
        <v>0</v>
      </c>
      <c r="Y166">
        <v>0</v>
      </c>
      <c r="Z166">
        <v>0</v>
      </c>
      <c r="AA166">
        <v>0</v>
      </c>
      <c r="AB166">
        <v>0</v>
      </c>
      <c r="AC166">
        <v>0</v>
      </c>
      <c r="AD166">
        <v>0</v>
      </c>
      <c r="AE166">
        <v>0</v>
      </c>
      <c r="AF166">
        <v>0</v>
      </c>
      <c r="AG166">
        <v>0</v>
      </c>
      <c r="AH166">
        <v>0</v>
      </c>
      <c r="AI166">
        <v>0</v>
      </c>
      <c r="AJ166">
        <v>0</v>
      </c>
      <c r="AK166">
        <v>0</v>
      </c>
      <c r="AL166">
        <v>0</v>
      </c>
      <c r="AM166">
        <v>0</v>
      </c>
      <c r="AN166">
        <v>-90</v>
      </c>
      <c r="AP166" t="s">
        <v>263</v>
      </c>
      <c r="AS166" t="s">
        <v>439</v>
      </c>
      <c r="AV166" t="s">
        <v>263</v>
      </c>
      <c r="AW166" t="s">
        <v>439</v>
      </c>
      <c r="AX166">
        <v>90</v>
      </c>
      <c r="AY166">
        <v>0</v>
      </c>
      <c r="AZ166" t="s">
        <v>233</v>
      </c>
      <c r="BA166" t="s">
        <v>233</v>
      </c>
      <c r="BB166" t="s">
        <v>411</v>
      </c>
      <c r="BC166">
        <v>8</v>
      </c>
      <c r="BD16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166" t="str">
        <f>IF(GetCurrentMonthAging3[[#This Row],[InsGroupPrimary]]="","YES","NO")</f>
        <v>NO</v>
      </c>
      <c r="BF16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167" spans="1:58" x14ac:dyDescent="0.25">
      <c r="A167" t="s">
        <v>100</v>
      </c>
      <c r="B167">
        <v>6</v>
      </c>
      <c r="C167" t="s">
        <v>331</v>
      </c>
      <c r="D167" s="142">
        <v>45199</v>
      </c>
      <c r="E167">
        <v>140927</v>
      </c>
      <c r="F167">
        <v>1887348</v>
      </c>
      <c r="G167">
        <v>9232110</v>
      </c>
      <c r="H167" t="b">
        <v>0</v>
      </c>
      <c r="I167">
        <v>2605</v>
      </c>
      <c r="J167" t="s">
        <v>419</v>
      </c>
      <c r="K167">
        <v>45</v>
      </c>
      <c r="L167">
        <v>45</v>
      </c>
      <c r="M167">
        <v>1</v>
      </c>
      <c r="N167">
        <v>0</v>
      </c>
      <c r="O167">
        <v>0</v>
      </c>
      <c r="P167">
        <v>0</v>
      </c>
      <c r="Q167">
        <v>0</v>
      </c>
      <c r="R167">
        <v>0</v>
      </c>
      <c r="T167">
        <v>45</v>
      </c>
      <c r="U167">
        <v>0</v>
      </c>
      <c r="V167">
        <v>2</v>
      </c>
      <c r="W167">
        <v>72.459999999999994</v>
      </c>
      <c r="X167">
        <v>4.5</v>
      </c>
      <c r="Y167">
        <v>0</v>
      </c>
      <c r="Z167">
        <v>0</v>
      </c>
      <c r="AA167">
        <v>0</v>
      </c>
      <c r="AB167">
        <v>0</v>
      </c>
      <c r="AC167">
        <v>0</v>
      </c>
      <c r="AD167">
        <v>0</v>
      </c>
      <c r="AE167">
        <v>0</v>
      </c>
      <c r="AF167">
        <v>0</v>
      </c>
      <c r="AG167">
        <v>0</v>
      </c>
      <c r="AH167">
        <v>0</v>
      </c>
      <c r="AI167">
        <v>0</v>
      </c>
      <c r="AJ167">
        <v>0</v>
      </c>
      <c r="AK167">
        <v>0</v>
      </c>
      <c r="AL167">
        <v>0</v>
      </c>
      <c r="AM167">
        <v>0</v>
      </c>
      <c r="AN167">
        <v>-31.96</v>
      </c>
      <c r="AP167" t="s">
        <v>263</v>
      </c>
      <c r="AS167" t="s">
        <v>431</v>
      </c>
      <c r="AV167" t="s">
        <v>263</v>
      </c>
      <c r="AW167" t="s">
        <v>431</v>
      </c>
      <c r="AX167">
        <v>0</v>
      </c>
      <c r="AY167">
        <v>0</v>
      </c>
      <c r="AZ167" t="s">
        <v>264</v>
      </c>
      <c r="BA167" t="s">
        <v>264</v>
      </c>
      <c r="BB167" t="s">
        <v>411</v>
      </c>
      <c r="BC167">
        <v>8</v>
      </c>
      <c r="BD16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167" t="str">
        <f>IF(GetCurrentMonthAging3[[#This Row],[InsGroupPrimary]]="","YES","NO")</f>
        <v>NO</v>
      </c>
      <c r="BF16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168" spans="1:58" x14ac:dyDescent="0.25">
      <c r="A168" t="s">
        <v>100</v>
      </c>
      <c r="B168">
        <v>6</v>
      </c>
      <c r="C168" t="s">
        <v>331</v>
      </c>
      <c r="D168" s="142">
        <v>45199</v>
      </c>
      <c r="E168">
        <v>157121</v>
      </c>
      <c r="F168">
        <v>2141931</v>
      </c>
      <c r="G168">
        <v>10288602</v>
      </c>
      <c r="H168" t="b">
        <v>0</v>
      </c>
      <c r="I168">
        <v>2510</v>
      </c>
      <c r="J168" t="s">
        <v>412</v>
      </c>
      <c r="K168">
        <v>135</v>
      </c>
      <c r="L168">
        <v>45</v>
      </c>
      <c r="M168">
        <v>3</v>
      </c>
      <c r="N168">
        <v>0</v>
      </c>
      <c r="O168">
        <v>14.62</v>
      </c>
      <c r="P168">
        <v>0</v>
      </c>
      <c r="Q168">
        <v>14.62</v>
      </c>
      <c r="R168">
        <v>0</v>
      </c>
      <c r="T168">
        <v>135</v>
      </c>
      <c r="U168">
        <v>0</v>
      </c>
      <c r="V168">
        <v>1</v>
      </c>
      <c r="W168">
        <v>57.32</v>
      </c>
      <c r="X168">
        <v>63.06</v>
      </c>
      <c r="Y168">
        <v>0</v>
      </c>
      <c r="Z168">
        <v>0</v>
      </c>
      <c r="AA168">
        <v>0</v>
      </c>
      <c r="AB168">
        <v>0</v>
      </c>
      <c r="AC168">
        <v>0</v>
      </c>
      <c r="AD168">
        <v>0</v>
      </c>
      <c r="AE168">
        <v>0</v>
      </c>
      <c r="AF168">
        <v>0</v>
      </c>
      <c r="AG168">
        <v>0</v>
      </c>
      <c r="AH168">
        <v>0</v>
      </c>
      <c r="AI168">
        <v>0</v>
      </c>
      <c r="AJ168">
        <v>0</v>
      </c>
      <c r="AK168">
        <v>14.62</v>
      </c>
      <c r="AL168">
        <v>1</v>
      </c>
      <c r="AM168">
        <v>0</v>
      </c>
      <c r="AN168">
        <v>-14.62</v>
      </c>
      <c r="AP168" t="s">
        <v>261</v>
      </c>
      <c r="AS168" t="s">
        <v>413</v>
      </c>
      <c r="AV168" t="s">
        <v>261</v>
      </c>
      <c r="AW168" t="s">
        <v>413</v>
      </c>
      <c r="AX168">
        <v>0</v>
      </c>
      <c r="AY168">
        <v>0</v>
      </c>
      <c r="AZ168" t="s">
        <v>233</v>
      </c>
      <c r="BA168" t="s">
        <v>233</v>
      </c>
      <c r="BB168" t="s">
        <v>411</v>
      </c>
      <c r="BC168">
        <v>8</v>
      </c>
      <c r="BD16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-141.27000000000001</v>
      </c>
      <c r="BE168" t="str">
        <f>IF(GetCurrentMonthAging3[[#This Row],[InsGroupPrimary]]="","YES","NO")</f>
        <v>NO</v>
      </c>
      <c r="BF16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-141.27000000000001</v>
      </c>
    </row>
    <row r="169" spans="1:58" x14ac:dyDescent="0.25">
      <c r="A169" t="s">
        <v>100</v>
      </c>
      <c r="B169">
        <v>6</v>
      </c>
      <c r="C169" t="s">
        <v>331</v>
      </c>
      <c r="D169" s="142">
        <v>45199</v>
      </c>
      <c r="E169">
        <v>157121</v>
      </c>
      <c r="F169">
        <v>2141931</v>
      </c>
      <c r="G169">
        <v>10288601</v>
      </c>
      <c r="H169" t="b">
        <v>0</v>
      </c>
      <c r="I169">
        <v>2510</v>
      </c>
      <c r="J169" t="s">
        <v>422</v>
      </c>
      <c r="K169">
        <v>90</v>
      </c>
      <c r="L169">
        <v>90</v>
      </c>
      <c r="M169">
        <v>1</v>
      </c>
      <c r="N169">
        <v>0</v>
      </c>
      <c r="O169">
        <v>14.91</v>
      </c>
      <c r="P169">
        <v>0</v>
      </c>
      <c r="Q169">
        <v>14.91</v>
      </c>
      <c r="R169">
        <v>0</v>
      </c>
      <c r="T169">
        <v>90</v>
      </c>
      <c r="U169">
        <v>0</v>
      </c>
      <c r="V169">
        <v>1</v>
      </c>
      <c r="W169">
        <v>58.45</v>
      </c>
      <c r="X169">
        <v>16.64</v>
      </c>
      <c r="Y169">
        <v>0</v>
      </c>
      <c r="Z169">
        <v>0</v>
      </c>
      <c r="AA169">
        <v>0</v>
      </c>
      <c r="AB169">
        <v>0</v>
      </c>
      <c r="AC169">
        <v>0</v>
      </c>
      <c r="AD169">
        <v>0</v>
      </c>
      <c r="AE169">
        <v>0</v>
      </c>
      <c r="AF169">
        <v>0</v>
      </c>
      <c r="AG169">
        <v>0</v>
      </c>
      <c r="AH169">
        <v>0</v>
      </c>
      <c r="AI169">
        <v>0</v>
      </c>
      <c r="AJ169">
        <v>0</v>
      </c>
      <c r="AK169">
        <v>14.91</v>
      </c>
      <c r="AL169">
        <v>1</v>
      </c>
      <c r="AM169">
        <v>0</v>
      </c>
      <c r="AN169">
        <v>-14.91</v>
      </c>
      <c r="AP169" t="s">
        <v>261</v>
      </c>
      <c r="AS169" t="s">
        <v>413</v>
      </c>
      <c r="AV169" t="s">
        <v>261</v>
      </c>
      <c r="AW169" t="s">
        <v>413</v>
      </c>
      <c r="AX169">
        <v>0</v>
      </c>
      <c r="AY169">
        <v>0</v>
      </c>
      <c r="AZ169" t="s">
        <v>233</v>
      </c>
      <c r="BA169" t="s">
        <v>233</v>
      </c>
      <c r="BB169" t="s">
        <v>411</v>
      </c>
      <c r="BC169">
        <v>8</v>
      </c>
      <c r="BD16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-141.27000000000001</v>
      </c>
      <c r="BE169" t="str">
        <f>IF(GetCurrentMonthAging3[[#This Row],[InsGroupPrimary]]="","YES","NO")</f>
        <v>NO</v>
      </c>
      <c r="BF16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-141.27000000000001</v>
      </c>
    </row>
    <row r="170" spans="1:58" x14ac:dyDescent="0.25">
      <c r="A170" t="s">
        <v>100</v>
      </c>
      <c r="B170">
        <v>6</v>
      </c>
      <c r="C170" t="s">
        <v>331</v>
      </c>
      <c r="D170" s="142">
        <v>45199</v>
      </c>
      <c r="E170">
        <v>157121</v>
      </c>
      <c r="F170">
        <v>2151096</v>
      </c>
      <c r="G170">
        <v>10322796</v>
      </c>
      <c r="H170" t="b">
        <v>0</v>
      </c>
      <c r="I170">
        <v>2509</v>
      </c>
      <c r="J170" t="s">
        <v>412</v>
      </c>
      <c r="K170">
        <v>180</v>
      </c>
      <c r="L170">
        <v>45</v>
      </c>
      <c r="M170">
        <v>4</v>
      </c>
      <c r="N170">
        <v>0</v>
      </c>
      <c r="O170">
        <v>21</v>
      </c>
      <c r="P170">
        <v>0</v>
      </c>
      <c r="Q170">
        <v>21</v>
      </c>
      <c r="R170">
        <v>0</v>
      </c>
      <c r="T170">
        <v>180</v>
      </c>
      <c r="U170">
        <v>0</v>
      </c>
      <c r="V170">
        <v>1</v>
      </c>
      <c r="W170">
        <v>82.32</v>
      </c>
      <c r="X170">
        <v>76.680000000000007</v>
      </c>
      <c r="Y170">
        <v>0</v>
      </c>
      <c r="Z170">
        <v>0</v>
      </c>
      <c r="AA170">
        <v>0</v>
      </c>
      <c r="AB170">
        <v>0</v>
      </c>
      <c r="AC170">
        <v>0</v>
      </c>
      <c r="AD170">
        <v>0</v>
      </c>
      <c r="AE170">
        <v>0</v>
      </c>
      <c r="AF170">
        <v>0</v>
      </c>
      <c r="AG170">
        <v>0</v>
      </c>
      <c r="AH170">
        <v>0</v>
      </c>
      <c r="AI170">
        <v>0</v>
      </c>
      <c r="AJ170">
        <v>0</v>
      </c>
      <c r="AK170">
        <v>21</v>
      </c>
      <c r="AL170">
        <v>1</v>
      </c>
      <c r="AM170">
        <v>0</v>
      </c>
      <c r="AN170">
        <v>-21</v>
      </c>
      <c r="AP170" t="s">
        <v>261</v>
      </c>
      <c r="AS170" t="s">
        <v>413</v>
      </c>
      <c r="AV170" t="s">
        <v>261</v>
      </c>
      <c r="AW170" t="s">
        <v>413</v>
      </c>
      <c r="AX170">
        <v>0</v>
      </c>
      <c r="AY170">
        <v>0</v>
      </c>
      <c r="AZ170" t="s">
        <v>233</v>
      </c>
      <c r="BA170" t="s">
        <v>233</v>
      </c>
      <c r="BB170" t="s">
        <v>411</v>
      </c>
      <c r="BC170">
        <v>8</v>
      </c>
      <c r="BD17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-141.27000000000001</v>
      </c>
      <c r="BE170" t="str">
        <f>IF(GetCurrentMonthAging3[[#This Row],[InsGroupPrimary]]="","YES","NO")</f>
        <v>NO</v>
      </c>
      <c r="BF17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-141.27000000000001</v>
      </c>
    </row>
    <row r="171" spans="1:58" x14ac:dyDescent="0.25">
      <c r="A171" t="s">
        <v>100</v>
      </c>
      <c r="B171">
        <v>6</v>
      </c>
      <c r="C171" t="s">
        <v>331</v>
      </c>
      <c r="D171" s="142">
        <v>45199</v>
      </c>
      <c r="E171">
        <v>157121</v>
      </c>
      <c r="F171">
        <v>2154036</v>
      </c>
      <c r="G171">
        <v>10456046</v>
      </c>
      <c r="H171" t="b">
        <v>0</v>
      </c>
      <c r="I171">
        <v>2493</v>
      </c>
      <c r="J171" t="s">
        <v>416</v>
      </c>
      <c r="K171">
        <v>45</v>
      </c>
      <c r="L171">
        <v>45</v>
      </c>
      <c r="M171">
        <v>1</v>
      </c>
      <c r="N171">
        <v>0</v>
      </c>
      <c r="O171">
        <v>6.65</v>
      </c>
      <c r="P171">
        <v>0</v>
      </c>
      <c r="Q171">
        <v>6.65</v>
      </c>
      <c r="R171">
        <v>0</v>
      </c>
      <c r="T171">
        <v>45</v>
      </c>
      <c r="U171">
        <v>0</v>
      </c>
      <c r="V171">
        <v>1</v>
      </c>
      <c r="W171">
        <v>26.08</v>
      </c>
      <c r="X171">
        <v>12.27</v>
      </c>
      <c r="Y171">
        <v>0</v>
      </c>
      <c r="Z171">
        <v>0</v>
      </c>
      <c r="AA171">
        <v>0</v>
      </c>
      <c r="AB171">
        <v>0</v>
      </c>
      <c r="AC171">
        <v>0</v>
      </c>
      <c r="AD171">
        <v>0</v>
      </c>
      <c r="AE171">
        <v>0</v>
      </c>
      <c r="AF171">
        <v>0</v>
      </c>
      <c r="AG171">
        <v>0</v>
      </c>
      <c r="AH171">
        <v>0</v>
      </c>
      <c r="AI171">
        <v>0</v>
      </c>
      <c r="AJ171">
        <v>0</v>
      </c>
      <c r="AK171">
        <v>6.65</v>
      </c>
      <c r="AL171">
        <v>1</v>
      </c>
      <c r="AM171">
        <v>0</v>
      </c>
      <c r="AN171">
        <v>-6.65</v>
      </c>
      <c r="AP171" t="s">
        <v>261</v>
      </c>
      <c r="AS171" t="s">
        <v>413</v>
      </c>
      <c r="AV171" t="s">
        <v>261</v>
      </c>
      <c r="AW171" t="s">
        <v>413</v>
      </c>
      <c r="AX171">
        <v>0</v>
      </c>
      <c r="AY171">
        <v>0</v>
      </c>
      <c r="AZ171" t="s">
        <v>233</v>
      </c>
      <c r="BA171" t="s">
        <v>233</v>
      </c>
      <c r="BB171" t="s">
        <v>411</v>
      </c>
      <c r="BC171">
        <v>8</v>
      </c>
      <c r="BD17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-141.27000000000001</v>
      </c>
      <c r="BE171" t="str">
        <f>IF(GetCurrentMonthAging3[[#This Row],[InsGroupPrimary]]="","YES","NO")</f>
        <v>NO</v>
      </c>
      <c r="BF17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-141.27000000000001</v>
      </c>
    </row>
    <row r="172" spans="1:58" x14ac:dyDescent="0.25">
      <c r="A172" t="s">
        <v>100</v>
      </c>
      <c r="B172">
        <v>6</v>
      </c>
      <c r="C172" t="s">
        <v>331</v>
      </c>
      <c r="D172" s="142">
        <v>45199</v>
      </c>
      <c r="E172">
        <v>157121</v>
      </c>
      <c r="F172">
        <v>2154036</v>
      </c>
      <c r="G172">
        <v>10456045</v>
      </c>
      <c r="H172" t="b">
        <v>0</v>
      </c>
      <c r="I172">
        <v>2493</v>
      </c>
      <c r="J172" t="s">
        <v>412</v>
      </c>
      <c r="K172">
        <v>90</v>
      </c>
      <c r="L172">
        <v>45</v>
      </c>
      <c r="M172">
        <v>2</v>
      </c>
      <c r="N172">
        <v>0</v>
      </c>
      <c r="O172">
        <v>9.75</v>
      </c>
      <c r="P172">
        <v>0</v>
      </c>
      <c r="Q172">
        <v>9.75</v>
      </c>
      <c r="R172">
        <v>0</v>
      </c>
      <c r="T172">
        <v>90</v>
      </c>
      <c r="U172">
        <v>0</v>
      </c>
      <c r="V172">
        <v>1</v>
      </c>
      <c r="W172">
        <v>38.21</v>
      </c>
      <c r="X172">
        <v>42.04</v>
      </c>
      <c r="Y172">
        <v>0</v>
      </c>
      <c r="Z172">
        <v>0</v>
      </c>
      <c r="AA172">
        <v>0</v>
      </c>
      <c r="AB172">
        <v>0</v>
      </c>
      <c r="AC172">
        <v>0</v>
      </c>
      <c r="AD172">
        <v>0</v>
      </c>
      <c r="AE172">
        <v>0</v>
      </c>
      <c r="AF172">
        <v>0</v>
      </c>
      <c r="AG172">
        <v>0</v>
      </c>
      <c r="AH172">
        <v>0</v>
      </c>
      <c r="AI172">
        <v>0</v>
      </c>
      <c r="AJ172">
        <v>0</v>
      </c>
      <c r="AK172">
        <v>9.75</v>
      </c>
      <c r="AL172">
        <v>1</v>
      </c>
      <c r="AM172">
        <v>0</v>
      </c>
      <c r="AN172">
        <v>-9.75</v>
      </c>
      <c r="AP172" t="s">
        <v>261</v>
      </c>
      <c r="AS172" t="s">
        <v>413</v>
      </c>
      <c r="AV172" t="s">
        <v>261</v>
      </c>
      <c r="AW172" t="s">
        <v>413</v>
      </c>
      <c r="AX172">
        <v>0</v>
      </c>
      <c r="AY172">
        <v>0</v>
      </c>
      <c r="AZ172" t="s">
        <v>233</v>
      </c>
      <c r="BA172" t="s">
        <v>233</v>
      </c>
      <c r="BB172" t="s">
        <v>411</v>
      </c>
      <c r="BC172">
        <v>8</v>
      </c>
      <c r="BD17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-141.27000000000001</v>
      </c>
      <c r="BE172" t="str">
        <f>IF(GetCurrentMonthAging3[[#This Row],[InsGroupPrimary]]="","YES","NO")</f>
        <v>NO</v>
      </c>
      <c r="BF17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-141.27000000000001</v>
      </c>
    </row>
    <row r="173" spans="1:58" x14ac:dyDescent="0.25">
      <c r="A173" t="s">
        <v>100</v>
      </c>
      <c r="B173">
        <v>6</v>
      </c>
      <c r="C173" t="s">
        <v>331</v>
      </c>
      <c r="D173" s="142">
        <v>45199</v>
      </c>
      <c r="E173">
        <v>140927</v>
      </c>
      <c r="F173">
        <v>1971788</v>
      </c>
      <c r="G173">
        <v>9629958</v>
      </c>
      <c r="H173" t="b">
        <v>0</v>
      </c>
      <c r="I173">
        <v>2570</v>
      </c>
      <c r="J173" t="s">
        <v>419</v>
      </c>
      <c r="K173">
        <v>45</v>
      </c>
      <c r="L173">
        <v>45</v>
      </c>
      <c r="M173">
        <v>1</v>
      </c>
      <c r="N173">
        <v>0</v>
      </c>
      <c r="O173">
        <v>0</v>
      </c>
      <c r="P173">
        <v>0</v>
      </c>
      <c r="Q173">
        <v>0</v>
      </c>
      <c r="R173">
        <v>0</v>
      </c>
      <c r="T173">
        <v>45</v>
      </c>
      <c r="U173">
        <v>0</v>
      </c>
      <c r="V173">
        <v>2</v>
      </c>
      <c r="W173">
        <v>72.45</v>
      </c>
      <c r="X173">
        <v>4.5</v>
      </c>
      <c r="Y173">
        <v>0</v>
      </c>
      <c r="Z173">
        <v>0</v>
      </c>
      <c r="AA173">
        <v>0</v>
      </c>
      <c r="AB173">
        <v>0</v>
      </c>
      <c r="AC173">
        <v>0</v>
      </c>
      <c r="AD173">
        <v>0</v>
      </c>
      <c r="AE173">
        <v>0</v>
      </c>
      <c r="AF173">
        <v>0</v>
      </c>
      <c r="AG173">
        <v>0</v>
      </c>
      <c r="AH173">
        <v>0</v>
      </c>
      <c r="AI173">
        <v>0</v>
      </c>
      <c r="AJ173">
        <v>0</v>
      </c>
      <c r="AK173">
        <v>0</v>
      </c>
      <c r="AL173">
        <v>0</v>
      </c>
      <c r="AM173">
        <v>0</v>
      </c>
      <c r="AN173">
        <v>-31.95</v>
      </c>
      <c r="AP173" t="s">
        <v>263</v>
      </c>
      <c r="AS173" t="s">
        <v>431</v>
      </c>
      <c r="AV173" t="s">
        <v>263</v>
      </c>
      <c r="AW173" t="s">
        <v>431</v>
      </c>
      <c r="AX173">
        <v>0</v>
      </c>
      <c r="AY173">
        <v>0</v>
      </c>
      <c r="AZ173" t="s">
        <v>264</v>
      </c>
      <c r="BA173" t="s">
        <v>264</v>
      </c>
      <c r="BB173" t="s">
        <v>411</v>
      </c>
      <c r="BC173">
        <v>8</v>
      </c>
      <c r="BD17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-543.2399999999999</v>
      </c>
      <c r="BE173" t="str">
        <f>IF(GetCurrentMonthAging3[[#This Row],[InsGroupPrimary]]="","YES","NO")</f>
        <v>NO</v>
      </c>
      <c r="BF17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-543.2399999999999</v>
      </c>
    </row>
    <row r="174" spans="1:58" x14ac:dyDescent="0.25">
      <c r="A174" t="s">
        <v>100</v>
      </c>
      <c r="B174">
        <v>6</v>
      </c>
      <c r="C174" t="s">
        <v>331</v>
      </c>
      <c r="D174" s="142">
        <v>45199</v>
      </c>
      <c r="E174">
        <v>217648</v>
      </c>
      <c r="F174">
        <v>3111168</v>
      </c>
      <c r="G174">
        <v>14146709</v>
      </c>
      <c r="H174" t="b">
        <v>0</v>
      </c>
      <c r="I174">
        <v>2146</v>
      </c>
      <c r="J174" t="s">
        <v>421</v>
      </c>
      <c r="K174">
        <v>30</v>
      </c>
      <c r="L174">
        <v>30</v>
      </c>
      <c r="M174">
        <v>1</v>
      </c>
      <c r="N174">
        <v>0</v>
      </c>
      <c r="O174">
        <v>0</v>
      </c>
      <c r="P174">
        <v>0</v>
      </c>
      <c r="Q174">
        <v>0</v>
      </c>
      <c r="R174">
        <v>0</v>
      </c>
      <c r="T174">
        <v>30</v>
      </c>
      <c r="U174">
        <v>0</v>
      </c>
      <c r="V174">
        <v>0</v>
      </c>
      <c r="W174">
        <v>0</v>
      </c>
      <c r="X174">
        <v>30</v>
      </c>
      <c r="Y174">
        <v>0</v>
      </c>
      <c r="Z174">
        <v>0</v>
      </c>
      <c r="AA174">
        <v>1</v>
      </c>
      <c r="AB174">
        <v>8</v>
      </c>
      <c r="AC174">
        <v>0</v>
      </c>
      <c r="AD174">
        <v>0</v>
      </c>
      <c r="AE174">
        <v>0</v>
      </c>
      <c r="AF174">
        <v>0</v>
      </c>
      <c r="AG174">
        <v>0</v>
      </c>
      <c r="AH174">
        <v>0</v>
      </c>
      <c r="AI174">
        <v>0</v>
      </c>
      <c r="AJ174">
        <v>0</v>
      </c>
      <c r="AK174">
        <v>0</v>
      </c>
      <c r="AL174">
        <v>0</v>
      </c>
      <c r="AM174">
        <v>0</v>
      </c>
      <c r="AN174">
        <v>-8</v>
      </c>
      <c r="AP174" t="s">
        <v>260</v>
      </c>
      <c r="AQ174" t="s">
        <v>265</v>
      </c>
      <c r="AS174" t="s">
        <v>433</v>
      </c>
      <c r="AT174" t="s">
        <v>425</v>
      </c>
      <c r="AV174" t="s">
        <v>260</v>
      </c>
      <c r="AW174" t="s">
        <v>433</v>
      </c>
      <c r="AX174">
        <v>0</v>
      </c>
      <c r="AY174">
        <v>0</v>
      </c>
      <c r="AZ174" t="s">
        <v>233</v>
      </c>
      <c r="BA174" t="s">
        <v>233</v>
      </c>
      <c r="BB174" t="s">
        <v>411</v>
      </c>
      <c r="BC174">
        <v>8</v>
      </c>
      <c r="BD17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-199.54000000000002</v>
      </c>
      <c r="BE174" t="str">
        <f>IF(GetCurrentMonthAging3[[#This Row],[InsGroupPrimary]]="","YES","NO")</f>
        <v>NO</v>
      </c>
      <c r="BF17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-199.54000000000002</v>
      </c>
    </row>
    <row r="175" spans="1:58" x14ac:dyDescent="0.25">
      <c r="A175" t="s">
        <v>100</v>
      </c>
      <c r="B175">
        <v>6</v>
      </c>
      <c r="C175" t="s">
        <v>331</v>
      </c>
      <c r="D175" s="142">
        <v>45199</v>
      </c>
      <c r="E175">
        <v>217648</v>
      </c>
      <c r="F175">
        <v>3111168</v>
      </c>
      <c r="G175">
        <v>14146707</v>
      </c>
      <c r="H175" t="b">
        <v>0</v>
      </c>
      <c r="I175">
        <v>2146</v>
      </c>
      <c r="J175" t="s">
        <v>444</v>
      </c>
      <c r="K175">
        <v>25</v>
      </c>
      <c r="L175">
        <v>25</v>
      </c>
      <c r="M175">
        <v>1</v>
      </c>
      <c r="N175">
        <v>0</v>
      </c>
      <c r="O175">
        <v>0</v>
      </c>
      <c r="P175">
        <v>0</v>
      </c>
      <c r="Q175">
        <v>0</v>
      </c>
      <c r="R175">
        <v>0</v>
      </c>
      <c r="T175">
        <v>25</v>
      </c>
      <c r="U175">
        <v>0</v>
      </c>
      <c r="V175">
        <v>0</v>
      </c>
      <c r="W175">
        <v>0</v>
      </c>
      <c r="X175">
        <v>25</v>
      </c>
      <c r="Y175">
        <v>0</v>
      </c>
      <c r="Z175">
        <v>0</v>
      </c>
      <c r="AA175">
        <v>1</v>
      </c>
      <c r="AB175">
        <v>7.2</v>
      </c>
      <c r="AC175">
        <v>0</v>
      </c>
      <c r="AD175">
        <v>0</v>
      </c>
      <c r="AE175">
        <v>0</v>
      </c>
      <c r="AF175">
        <v>0</v>
      </c>
      <c r="AG175">
        <v>0</v>
      </c>
      <c r="AH175">
        <v>0</v>
      </c>
      <c r="AI175">
        <v>0</v>
      </c>
      <c r="AJ175">
        <v>0</v>
      </c>
      <c r="AK175">
        <v>0</v>
      </c>
      <c r="AL175">
        <v>0</v>
      </c>
      <c r="AM175">
        <v>0</v>
      </c>
      <c r="AN175">
        <v>-7.2</v>
      </c>
      <c r="AP175" t="s">
        <v>260</v>
      </c>
      <c r="AQ175" t="s">
        <v>265</v>
      </c>
      <c r="AS175" t="s">
        <v>433</v>
      </c>
      <c r="AT175" t="s">
        <v>425</v>
      </c>
      <c r="AV175" t="s">
        <v>260</v>
      </c>
      <c r="AW175" t="s">
        <v>433</v>
      </c>
      <c r="AX175">
        <v>0</v>
      </c>
      <c r="AY175">
        <v>0</v>
      </c>
      <c r="AZ175" t="s">
        <v>233</v>
      </c>
      <c r="BA175" t="s">
        <v>233</v>
      </c>
      <c r="BB175" t="s">
        <v>411</v>
      </c>
      <c r="BC175">
        <v>8</v>
      </c>
      <c r="BD17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-199.54000000000002</v>
      </c>
      <c r="BE175" t="str">
        <f>IF(GetCurrentMonthAging3[[#This Row],[InsGroupPrimary]]="","YES","NO")</f>
        <v>NO</v>
      </c>
      <c r="BF17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-199.54000000000002</v>
      </c>
    </row>
    <row r="176" spans="1:58" x14ac:dyDescent="0.25">
      <c r="A176" t="s">
        <v>100</v>
      </c>
      <c r="B176">
        <v>6</v>
      </c>
      <c r="C176" t="s">
        <v>331</v>
      </c>
      <c r="D176" s="142">
        <v>45199</v>
      </c>
      <c r="E176">
        <v>217648</v>
      </c>
      <c r="F176">
        <v>3057654</v>
      </c>
      <c r="G176">
        <v>13963465</v>
      </c>
      <c r="H176" t="b">
        <v>0</v>
      </c>
      <c r="I176">
        <v>2165</v>
      </c>
      <c r="J176" t="s">
        <v>409</v>
      </c>
      <c r="K176">
        <v>30</v>
      </c>
      <c r="L176">
        <v>30</v>
      </c>
      <c r="M176">
        <v>1</v>
      </c>
      <c r="N176">
        <v>0</v>
      </c>
      <c r="O176">
        <v>0</v>
      </c>
      <c r="P176">
        <v>0</v>
      </c>
      <c r="Q176">
        <v>0</v>
      </c>
      <c r="R176">
        <v>0</v>
      </c>
      <c r="T176">
        <v>30</v>
      </c>
      <c r="U176">
        <v>0</v>
      </c>
      <c r="V176">
        <v>0</v>
      </c>
      <c r="W176">
        <v>0</v>
      </c>
      <c r="X176">
        <v>30</v>
      </c>
      <c r="Y176">
        <v>0</v>
      </c>
      <c r="Z176">
        <v>0</v>
      </c>
      <c r="AA176">
        <v>1</v>
      </c>
      <c r="AB176">
        <v>7.2</v>
      </c>
      <c r="AC176">
        <v>0</v>
      </c>
      <c r="AD176">
        <v>0</v>
      </c>
      <c r="AE176">
        <v>0</v>
      </c>
      <c r="AF176">
        <v>0</v>
      </c>
      <c r="AG176">
        <v>0</v>
      </c>
      <c r="AH176">
        <v>0</v>
      </c>
      <c r="AI176">
        <v>0</v>
      </c>
      <c r="AJ176">
        <v>0</v>
      </c>
      <c r="AK176">
        <v>0</v>
      </c>
      <c r="AL176">
        <v>0</v>
      </c>
      <c r="AM176">
        <v>0</v>
      </c>
      <c r="AN176">
        <v>-7.2</v>
      </c>
      <c r="AP176" t="s">
        <v>260</v>
      </c>
      <c r="AQ176" t="s">
        <v>265</v>
      </c>
      <c r="AS176" t="s">
        <v>433</v>
      </c>
      <c r="AT176" t="s">
        <v>425</v>
      </c>
      <c r="AV176" t="s">
        <v>260</v>
      </c>
      <c r="AW176" t="s">
        <v>433</v>
      </c>
      <c r="AX176">
        <v>0</v>
      </c>
      <c r="AY176">
        <v>0</v>
      </c>
      <c r="AZ176" t="s">
        <v>233</v>
      </c>
      <c r="BA176" t="s">
        <v>233</v>
      </c>
      <c r="BB176" t="s">
        <v>411</v>
      </c>
      <c r="BC176">
        <v>8</v>
      </c>
      <c r="BD17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-199.54000000000002</v>
      </c>
      <c r="BE176" t="str">
        <f>IF(GetCurrentMonthAging3[[#This Row],[InsGroupPrimary]]="","YES","NO")</f>
        <v>NO</v>
      </c>
      <c r="BF17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-199.54000000000002</v>
      </c>
    </row>
    <row r="177" spans="1:58" x14ac:dyDescent="0.25">
      <c r="A177" t="s">
        <v>100</v>
      </c>
      <c r="B177">
        <v>6</v>
      </c>
      <c r="C177" t="s">
        <v>331</v>
      </c>
      <c r="D177" s="142">
        <v>45199</v>
      </c>
      <c r="E177">
        <v>222213</v>
      </c>
      <c r="F177">
        <v>3144233</v>
      </c>
      <c r="G177">
        <v>14301798</v>
      </c>
      <c r="H177" t="b">
        <v>0</v>
      </c>
      <c r="I177">
        <v>2132</v>
      </c>
      <c r="J177" t="s">
        <v>412</v>
      </c>
      <c r="K177">
        <v>90</v>
      </c>
      <c r="L177">
        <v>45</v>
      </c>
      <c r="M177">
        <v>2</v>
      </c>
      <c r="N177">
        <v>0</v>
      </c>
      <c r="O177">
        <v>25</v>
      </c>
      <c r="P177">
        <v>0</v>
      </c>
      <c r="Q177">
        <v>25</v>
      </c>
      <c r="R177">
        <v>0</v>
      </c>
      <c r="T177">
        <v>90</v>
      </c>
      <c r="U177">
        <v>0</v>
      </c>
      <c r="V177">
        <v>2</v>
      </c>
      <c r="W177">
        <v>95</v>
      </c>
      <c r="X177">
        <v>30</v>
      </c>
      <c r="Y177">
        <v>0</v>
      </c>
      <c r="Z177">
        <v>0</v>
      </c>
      <c r="AA177">
        <v>0</v>
      </c>
      <c r="AB177">
        <v>0</v>
      </c>
      <c r="AC177">
        <v>0</v>
      </c>
      <c r="AD177">
        <v>0</v>
      </c>
      <c r="AE177">
        <v>0</v>
      </c>
      <c r="AF177">
        <v>0</v>
      </c>
      <c r="AG177">
        <v>0</v>
      </c>
      <c r="AH177">
        <v>0</v>
      </c>
      <c r="AI177">
        <v>0</v>
      </c>
      <c r="AJ177">
        <v>0</v>
      </c>
      <c r="AK177">
        <v>0</v>
      </c>
      <c r="AL177">
        <v>0</v>
      </c>
      <c r="AM177">
        <v>0</v>
      </c>
      <c r="AN177">
        <v>-60</v>
      </c>
      <c r="AP177" t="s">
        <v>262</v>
      </c>
      <c r="AS177" t="s">
        <v>424</v>
      </c>
      <c r="AV177" t="s">
        <v>262</v>
      </c>
      <c r="AW177" t="s">
        <v>424</v>
      </c>
      <c r="AX177">
        <v>0</v>
      </c>
      <c r="AY177">
        <v>0</v>
      </c>
      <c r="AZ177" t="s">
        <v>264</v>
      </c>
      <c r="BA177" t="s">
        <v>264</v>
      </c>
      <c r="BB177" t="s">
        <v>411</v>
      </c>
      <c r="BC177">
        <v>8</v>
      </c>
      <c r="BD17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-60</v>
      </c>
      <c r="BE177" t="str">
        <f>IF(GetCurrentMonthAging3[[#This Row],[InsGroupPrimary]]="","YES","NO")</f>
        <v>NO</v>
      </c>
      <c r="BF17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178" spans="1:58" x14ac:dyDescent="0.25">
      <c r="A178" t="s">
        <v>100</v>
      </c>
      <c r="B178">
        <v>6</v>
      </c>
      <c r="C178" t="s">
        <v>331</v>
      </c>
      <c r="D178" s="142">
        <v>45199</v>
      </c>
      <c r="E178">
        <v>40792</v>
      </c>
      <c r="F178">
        <v>472352</v>
      </c>
      <c r="G178">
        <v>3082329</v>
      </c>
      <c r="H178" t="b">
        <v>0</v>
      </c>
      <c r="I178">
        <v>3431</v>
      </c>
      <c r="J178" t="s">
        <v>409</v>
      </c>
      <c r="K178">
        <v>30</v>
      </c>
      <c r="L178">
        <v>30</v>
      </c>
      <c r="M178">
        <v>1</v>
      </c>
      <c r="N178">
        <v>0</v>
      </c>
      <c r="O178">
        <v>0</v>
      </c>
      <c r="P178">
        <v>0</v>
      </c>
      <c r="Q178">
        <v>0</v>
      </c>
      <c r="R178">
        <v>0</v>
      </c>
      <c r="T178">
        <v>30</v>
      </c>
      <c r="U178">
        <v>0</v>
      </c>
      <c r="V178">
        <v>1</v>
      </c>
      <c r="W178">
        <v>8.0500000000000007</v>
      </c>
      <c r="X178">
        <v>19.899999999999999</v>
      </c>
      <c r="Y178">
        <v>0</v>
      </c>
      <c r="Z178">
        <v>2.0499999999999998</v>
      </c>
      <c r="AA178">
        <v>1</v>
      </c>
      <c r="AB178">
        <v>9.19</v>
      </c>
      <c r="AC178">
        <v>0</v>
      </c>
      <c r="AD178">
        <v>0</v>
      </c>
      <c r="AE178">
        <v>0</v>
      </c>
      <c r="AF178">
        <v>0</v>
      </c>
      <c r="AG178">
        <v>0</v>
      </c>
      <c r="AH178">
        <v>0</v>
      </c>
      <c r="AI178">
        <v>0</v>
      </c>
      <c r="AJ178">
        <v>0</v>
      </c>
      <c r="AK178">
        <v>0</v>
      </c>
      <c r="AL178">
        <v>0</v>
      </c>
      <c r="AM178">
        <v>0</v>
      </c>
      <c r="AN178">
        <v>-7.14</v>
      </c>
      <c r="AP178" t="s">
        <v>261</v>
      </c>
      <c r="AQ178" t="s">
        <v>260</v>
      </c>
      <c r="AS178" t="s">
        <v>413</v>
      </c>
      <c r="AT178" t="s">
        <v>418</v>
      </c>
      <c r="AV178" t="s">
        <v>332</v>
      </c>
      <c r="AW178" t="s">
        <v>332</v>
      </c>
      <c r="AX178">
        <v>0</v>
      </c>
      <c r="AY178">
        <v>0</v>
      </c>
      <c r="AZ178" t="s">
        <v>233</v>
      </c>
      <c r="BA178" t="s">
        <v>233</v>
      </c>
      <c r="BB178" t="s">
        <v>411</v>
      </c>
      <c r="BC178">
        <v>8</v>
      </c>
      <c r="BD17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178" t="str">
        <f>IF(GetCurrentMonthAging3[[#This Row],[InsGroupPrimary]]="","YES","NO")</f>
        <v>NO</v>
      </c>
      <c r="BF17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179" spans="1:58" x14ac:dyDescent="0.25">
      <c r="A179" t="s">
        <v>100</v>
      </c>
      <c r="B179">
        <v>6</v>
      </c>
      <c r="C179" t="s">
        <v>331</v>
      </c>
      <c r="D179" s="142">
        <v>45199</v>
      </c>
      <c r="E179">
        <v>40792</v>
      </c>
      <c r="F179">
        <v>472352</v>
      </c>
      <c r="G179">
        <v>3082330</v>
      </c>
      <c r="H179" t="b">
        <v>0</v>
      </c>
      <c r="I179">
        <v>3431</v>
      </c>
      <c r="J179" t="s">
        <v>412</v>
      </c>
      <c r="K179">
        <v>135</v>
      </c>
      <c r="L179">
        <v>45</v>
      </c>
      <c r="M179">
        <v>3</v>
      </c>
      <c r="N179">
        <v>0</v>
      </c>
      <c r="O179">
        <v>0</v>
      </c>
      <c r="P179">
        <v>0</v>
      </c>
      <c r="Q179">
        <v>0</v>
      </c>
      <c r="R179">
        <v>0</v>
      </c>
      <c r="T179">
        <v>135</v>
      </c>
      <c r="U179">
        <v>0</v>
      </c>
      <c r="V179">
        <v>1</v>
      </c>
      <c r="W179">
        <v>62.52</v>
      </c>
      <c r="X179">
        <v>56.53</v>
      </c>
      <c r="Y179">
        <v>0</v>
      </c>
      <c r="Z179">
        <v>15.95</v>
      </c>
      <c r="AA179">
        <v>1</v>
      </c>
      <c r="AB179">
        <v>55.4</v>
      </c>
      <c r="AC179">
        <v>0</v>
      </c>
      <c r="AD179">
        <v>0</v>
      </c>
      <c r="AE179">
        <v>0</v>
      </c>
      <c r="AF179">
        <v>0</v>
      </c>
      <c r="AG179">
        <v>0</v>
      </c>
      <c r="AH179">
        <v>0</v>
      </c>
      <c r="AI179">
        <v>0</v>
      </c>
      <c r="AJ179">
        <v>0</v>
      </c>
      <c r="AK179">
        <v>0</v>
      </c>
      <c r="AL179">
        <v>0</v>
      </c>
      <c r="AM179">
        <v>0</v>
      </c>
      <c r="AN179">
        <v>-39.450000000000003</v>
      </c>
      <c r="AP179" t="s">
        <v>261</v>
      </c>
      <c r="AQ179" t="s">
        <v>260</v>
      </c>
      <c r="AS179" t="s">
        <v>413</v>
      </c>
      <c r="AT179" t="s">
        <v>418</v>
      </c>
      <c r="AV179" t="s">
        <v>332</v>
      </c>
      <c r="AW179" t="s">
        <v>332</v>
      </c>
      <c r="AX179">
        <v>0</v>
      </c>
      <c r="AY179">
        <v>0</v>
      </c>
      <c r="AZ179" t="s">
        <v>233</v>
      </c>
      <c r="BA179" t="s">
        <v>233</v>
      </c>
      <c r="BB179" t="s">
        <v>411</v>
      </c>
      <c r="BC179">
        <v>8</v>
      </c>
      <c r="BD17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179" t="str">
        <f>IF(GetCurrentMonthAging3[[#This Row],[InsGroupPrimary]]="","YES","NO")</f>
        <v>NO</v>
      </c>
      <c r="BF17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180" spans="1:58" x14ac:dyDescent="0.25">
      <c r="A180" t="s">
        <v>100</v>
      </c>
      <c r="B180">
        <v>6</v>
      </c>
      <c r="C180" t="s">
        <v>331</v>
      </c>
      <c r="D180" s="142">
        <v>45199</v>
      </c>
      <c r="E180">
        <v>59064</v>
      </c>
      <c r="F180">
        <v>701197</v>
      </c>
      <c r="G180">
        <v>3905502</v>
      </c>
      <c r="H180" t="b">
        <v>0</v>
      </c>
      <c r="I180">
        <v>3193</v>
      </c>
      <c r="J180" t="s">
        <v>412</v>
      </c>
      <c r="K180">
        <v>90</v>
      </c>
      <c r="L180">
        <v>45</v>
      </c>
      <c r="M180">
        <v>2</v>
      </c>
      <c r="N180">
        <v>0</v>
      </c>
      <c r="O180">
        <v>0</v>
      </c>
      <c r="P180">
        <v>0</v>
      </c>
      <c r="Q180">
        <v>0</v>
      </c>
      <c r="R180">
        <v>0</v>
      </c>
      <c r="T180">
        <v>90</v>
      </c>
      <c r="U180">
        <v>0</v>
      </c>
      <c r="V180">
        <v>2</v>
      </c>
      <c r="W180">
        <v>13</v>
      </c>
      <c r="X180">
        <v>58.5</v>
      </c>
      <c r="Y180">
        <v>0</v>
      </c>
      <c r="Z180">
        <v>25</v>
      </c>
      <c r="AA180">
        <v>1</v>
      </c>
      <c r="AB180">
        <v>25</v>
      </c>
      <c r="AC180">
        <v>0</v>
      </c>
      <c r="AD180">
        <v>0</v>
      </c>
      <c r="AE180">
        <v>0</v>
      </c>
      <c r="AF180">
        <v>0</v>
      </c>
      <c r="AG180">
        <v>0</v>
      </c>
      <c r="AH180">
        <v>0</v>
      </c>
      <c r="AI180">
        <v>0</v>
      </c>
      <c r="AJ180">
        <v>0</v>
      </c>
      <c r="AK180">
        <v>0</v>
      </c>
      <c r="AL180">
        <v>0</v>
      </c>
      <c r="AM180">
        <v>0</v>
      </c>
      <c r="AN180">
        <v>-6.5</v>
      </c>
      <c r="AP180" t="s">
        <v>265</v>
      </c>
      <c r="AQ180" t="s">
        <v>262</v>
      </c>
      <c r="AS180" t="s">
        <v>425</v>
      </c>
      <c r="AT180" t="s">
        <v>436</v>
      </c>
      <c r="AV180" t="s">
        <v>332</v>
      </c>
      <c r="AW180" t="s">
        <v>332</v>
      </c>
      <c r="AX180">
        <v>0</v>
      </c>
      <c r="AY180">
        <v>0</v>
      </c>
      <c r="AZ180" t="s">
        <v>264</v>
      </c>
      <c r="BA180" t="s">
        <v>264</v>
      </c>
      <c r="BB180" t="s">
        <v>411</v>
      </c>
      <c r="BC180">
        <v>8</v>
      </c>
      <c r="BD18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-95.25</v>
      </c>
      <c r="BE180" t="str">
        <f>IF(GetCurrentMonthAging3[[#This Row],[InsGroupPrimary]]="","YES","NO")</f>
        <v>NO</v>
      </c>
      <c r="BF18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-95.25</v>
      </c>
    </row>
    <row r="181" spans="1:58" x14ac:dyDescent="0.25">
      <c r="A181" t="s">
        <v>100</v>
      </c>
      <c r="B181">
        <v>6</v>
      </c>
      <c r="C181" t="s">
        <v>331</v>
      </c>
      <c r="D181" s="142">
        <v>45199</v>
      </c>
      <c r="E181">
        <v>59064</v>
      </c>
      <c r="F181">
        <v>701197</v>
      </c>
      <c r="G181">
        <v>3905503</v>
      </c>
      <c r="H181" t="b">
        <v>0</v>
      </c>
      <c r="I181">
        <v>3193</v>
      </c>
      <c r="J181" t="s">
        <v>419</v>
      </c>
      <c r="K181">
        <v>45</v>
      </c>
      <c r="L181">
        <v>45</v>
      </c>
      <c r="M181">
        <v>1</v>
      </c>
      <c r="N181">
        <v>0</v>
      </c>
      <c r="O181">
        <v>0</v>
      </c>
      <c r="P181">
        <v>0</v>
      </c>
      <c r="Q181">
        <v>0</v>
      </c>
      <c r="R181">
        <v>0</v>
      </c>
      <c r="T181">
        <v>45</v>
      </c>
      <c r="U181">
        <v>0</v>
      </c>
      <c r="V181">
        <v>2</v>
      </c>
      <c r="W181">
        <v>28</v>
      </c>
      <c r="X181">
        <v>31</v>
      </c>
      <c r="Y181">
        <v>0</v>
      </c>
      <c r="Z181">
        <v>0</v>
      </c>
      <c r="AA181">
        <v>0</v>
      </c>
      <c r="AB181">
        <v>0</v>
      </c>
      <c r="AC181">
        <v>0</v>
      </c>
      <c r="AD181">
        <v>0</v>
      </c>
      <c r="AE181">
        <v>0</v>
      </c>
      <c r="AF181">
        <v>0</v>
      </c>
      <c r="AG181">
        <v>0</v>
      </c>
      <c r="AH181">
        <v>0</v>
      </c>
      <c r="AI181">
        <v>0</v>
      </c>
      <c r="AJ181">
        <v>0</v>
      </c>
      <c r="AK181">
        <v>0</v>
      </c>
      <c r="AL181">
        <v>0</v>
      </c>
      <c r="AM181">
        <v>0</v>
      </c>
      <c r="AN181">
        <v>-14</v>
      </c>
      <c r="AP181" t="s">
        <v>265</v>
      </c>
      <c r="AQ181" t="s">
        <v>262</v>
      </c>
      <c r="AS181" t="s">
        <v>425</v>
      </c>
      <c r="AT181" t="s">
        <v>436</v>
      </c>
      <c r="AV181" t="s">
        <v>332</v>
      </c>
      <c r="AW181" t="s">
        <v>332</v>
      </c>
      <c r="AX181">
        <v>0</v>
      </c>
      <c r="AY181">
        <v>0</v>
      </c>
      <c r="AZ181" t="s">
        <v>264</v>
      </c>
      <c r="BA181" t="s">
        <v>264</v>
      </c>
      <c r="BB181" t="s">
        <v>411</v>
      </c>
      <c r="BC181">
        <v>8</v>
      </c>
      <c r="BD18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-95.25</v>
      </c>
      <c r="BE181" t="str">
        <f>IF(GetCurrentMonthAging3[[#This Row],[InsGroupPrimary]]="","YES","NO")</f>
        <v>NO</v>
      </c>
      <c r="BF18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-95.25</v>
      </c>
    </row>
    <row r="182" spans="1:58" x14ac:dyDescent="0.25">
      <c r="A182" t="s">
        <v>100</v>
      </c>
      <c r="B182">
        <v>6</v>
      </c>
      <c r="C182" t="s">
        <v>331</v>
      </c>
      <c r="D182" s="142">
        <v>45199</v>
      </c>
      <c r="E182">
        <v>59064</v>
      </c>
      <c r="F182">
        <v>719736</v>
      </c>
      <c r="G182">
        <v>3941854</v>
      </c>
      <c r="H182" t="b">
        <v>0</v>
      </c>
      <c r="I182">
        <v>3182</v>
      </c>
      <c r="J182" t="s">
        <v>412</v>
      </c>
      <c r="K182">
        <v>90</v>
      </c>
      <c r="L182">
        <v>45</v>
      </c>
      <c r="M182">
        <v>2</v>
      </c>
      <c r="N182">
        <v>0</v>
      </c>
      <c r="O182">
        <v>0</v>
      </c>
      <c r="P182">
        <v>0</v>
      </c>
      <c r="Q182">
        <v>0</v>
      </c>
      <c r="R182">
        <v>0</v>
      </c>
      <c r="T182">
        <v>90</v>
      </c>
      <c r="U182">
        <v>0</v>
      </c>
      <c r="V182">
        <v>1</v>
      </c>
      <c r="W182">
        <v>6.5</v>
      </c>
      <c r="X182">
        <v>58.5</v>
      </c>
      <c r="Y182">
        <v>0</v>
      </c>
      <c r="Z182">
        <v>25</v>
      </c>
      <c r="AA182">
        <v>1</v>
      </c>
      <c r="AB182">
        <v>40</v>
      </c>
      <c r="AC182">
        <v>0</v>
      </c>
      <c r="AD182">
        <v>0</v>
      </c>
      <c r="AE182">
        <v>0</v>
      </c>
      <c r="AF182">
        <v>0</v>
      </c>
      <c r="AG182">
        <v>0</v>
      </c>
      <c r="AH182">
        <v>0</v>
      </c>
      <c r="AI182">
        <v>0</v>
      </c>
      <c r="AJ182">
        <v>0</v>
      </c>
      <c r="AK182">
        <v>0</v>
      </c>
      <c r="AL182">
        <v>0</v>
      </c>
      <c r="AM182">
        <v>0</v>
      </c>
      <c r="AN182">
        <v>-15</v>
      </c>
      <c r="AP182" t="s">
        <v>265</v>
      </c>
      <c r="AQ182" t="s">
        <v>262</v>
      </c>
      <c r="AS182" t="s">
        <v>425</v>
      </c>
      <c r="AT182" t="s">
        <v>436</v>
      </c>
      <c r="AV182" t="s">
        <v>332</v>
      </c>
      <c r="AW182" t="s">
        <v>332</v>
      </c>
      <c r="AX182">
        <v>0</v>
      </c>
      <c r="AY182">
        <v>0</v>
      </c>
      <c r="AZ182" t="s">
        <v>264</v>
      </c>
      <c r="BA182" t="s">
        <v>264</v>
      </c>
      <c r="BB182" t="s">
        <v>411</v>
      </c>
      <c r="BC182">
        <v>8</v>
      </c>
      <c r="BD18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-95.25</v>
      </c>
      <c r="BE182" t="str">
        <f>IF(GetCurrentMonthAging3[[#This Row],[InsGroupPrimary]]="","YES","NO")</f>
        <v>NO</v>
      </c>
      <c r="BF18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-95.25</v>
      </c>
    </row>
    <row r="183" spans="1:58" x14ac:dyDescent="0.25">
      <c r="A183" t="s">
        <v>100</v>
      </c>
      <c r="B183">
        <v>6</v>
      </c>
      <c r="C183" t="s">
        <v>331</v>
      </c>
      <c r="D183" s="142">
        <v>45199</v>
      </c>
      <c r="E183">
        <v>59064</v>
      </c>
      <c r="F183">
        <v>730766</v>
      </c>
      <c r="G183">
        <v>4008962</v>
      </c>
      <c r="H183" t="b">
        <v>0</v>
      </c>
      <c r="I183">
        <v>3175</v>
      </c>
      <c r="J183" t="s">
        <v>412</v>
      </c>
      <c r="K183">
        <v>90</v>
      </c>
      <c r="L183">
        <v>45</v>
      </c>
      <c r="M183">
        <v>2</v>
      </c>
      <c r="N183">
        <v>0</v>
      </c>
      <c r="O183">
        <v>0</v>
      </c>
      <c r="P183">
        <v>0</v>
      </c>
      <c r="Q183">
        <v>0</v>
      </c>
      <c r="R183">
        <v>0</v>
      </c>
      <c r="T183">
        <v>90</v>
      </c>
      <c r="U183">
        <v>0</v>
      </c>
      <c r="V183">
        <v>1</v>
      </c>
      <c r="W183">
        <v>6.5</v>
      </c>
      <c r="X183">
        <v>58.5</v>
      </c>
      <c r="Y183">
        <v>0</v>
      </c>
      <c r="Z183">
        <v>25</v>
      </c>
      <c r="AA183">
        <v>1</v>
      </c>
      <c r="AB183">
        <v>40</v>
      </c>
      <c r="AC183">
        <v>0</v>
      </c>
      <c r="AD183">
        <v>0</v>
      </c>
      <c r="AE183">
        <v>0</v>
      </c>
      <c r="AF183">
        <v>0</v>
      </c>
      <c r="AG183">
        <v>0</v>
      </c>
      <c r="AH183">
        <v>0</v>
      </c>
      <c r="AI183">
        <v>0</v>
      </c>
      <c r="AJ183">
        <v>0</v>
      </c>
      <c r="AK183">
        <v>0</v>
      </c>
      <c r="AL183">
        <v>0</v>
      </c>
      <c r="AM183">
        <v>0</v>
      </c>
      <c r="AN183">
        <v>-15</v>
      </c>
      <c r="AP183" t="s">
        <v>265</v>
      </c>
      <c r="AQ183" t="s">
        <v>262</v>
      </c>
      <c r="AS183" t="s">
        <v>425</v>
      </c>
      <c r="AT183" t="s">
        <v>436</v>
      </c>
      <c r="AV183" t="s">
        <v>332</v>
      </c>
      <c r="AW183" t="s">
        <v>332</v>
      </c>
      <c r="AX183">
        <v>0</v>
      </c>
      <c r="AY183">
        <v>0</v>
      </c>
      <c r="AZ183" t="s">
        <v>264</v>
      </c>
      <c r="BA183" t="s">
        <v>264</v>
      </c>
      <c r="BB183" t="s">
        <v>411</v>
      </c>
      <c r="BC183">
        <v>8</v>
      </c>
      <c r="BD18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-95.25</v>
      </c>
      <c r="BE183" t="str">
        <f>IF(GetCurrentMonthAging3[[#This Row],[InsGroupPrimary]]="","YES","NO")</f>
        <v>NO</v>
      </c>
      <c r="BF18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-95.25</v>
      </c>
    </row>
    <row r="184" spans="1:58" x14ac:dyDescent="0.25">
      <c r="A184" t="s">
        <v>100</v>
      </c>
      <c r="B184">
        <v>6</v>
      </c>
      <c r="C184" t="s">
        <v>331</v>
      </c>
      <c r="D184" s="142">
        <v>45199</v>
      </c>
      <c r="E184">
        <v>39104</v>
      </c>
      <c r="F184">
        <v>459780</v>
      </c>
      <c r="G184">
        <v>3039066</v>
      </c>
      <c r="H184" t="b">
        <v>0</v>
      </c>
      <c r="I184">
        <v>3447</v>
      </c>
      <c r="J184" t="s">
        <v>416</v>
      </c>
      <c r="K184">
        <v>45</v>
      </c>
      <c r="L184">
        <v>45</v>
      </c>
      <c r="M184">
        <v>1</v>
      </c>
      <c r="N184">
        <v>0</v>
      </c>
      <c r="O184">
        <v>0</v>
      </c>
      <c r="P184">
        <v>0</v>
      </c>
      <c r="Q184">
        <v>0</v>
      </c>
      <c r="R184">
        <v>0</v>
      </c>
      <c r="T184">
        <v>45</v>
      </c>
      <c r="U184">
        <v>0</v>
      </c>
      <c r="V184">
        <v>1</v>
      </c>
      <c r="W184">
        <v>25.87</v>
      </c>
      <c r="X184">
        <v>12.53</v>
      </c>
      <c r="Y184">
        <v>0</v>
      </c>
      <c r="Z184">
        <v>6.6</v>
      </c>
      <c r="AA184">
        <v>1</v>
      </c>
      <c r="AB184">
        <v>40.5</v>
      </c>
      <c r="AC184">
        <v>0</v>
      </c>
      <c r="AD184">
        <v>0</v>
      </c>
      <c r="AE184">
        <v>0</v>
      </c>
      <c r="AF184">
        <v>0</v>
      </c>
      <c r="AG184">
        <v>0</v>
      </c>
      <c r="AH184">
        <v>0</v>
      </c>
      <c r="AI184">
        <v>0</v>
      </c>
      <c r="AJ184">
        <v>0</v>
      </c>
      <c r="AK184">
        <v>0</v>
      </c>
      <c r="AL184">
        <v>0</v>
      </c>
      <c r="AM184">
        <v>0</v>
      </c>
      <c r="AN184">
        <v>-33.9</v>
      </c>
      <c r="AP184" t="s">
        <v>261</v>
      </c>
      <c r="AQ184" t="s">
        <v>260</v>
      </c>
      <c r="AS184" t="s">
        <v>413</v>
      </c>
      <c r="AT184" t="s">
        <v>415</v>
      </c>
      <c r="AV184" t="s">
        <v>332</v>
      </c>
      <c r="AW184" t="s">
        <v>332</v>
      </c>
      <c r="AX184">
        <v>0</v>
      </c>
      <c r="AY184">
        <v>0</v>
      </c>
      <c r="AZ184" t="s">
        <v>233</v>
      </c>
      <c r="BA184" t="s">
        <v>233</v>
      </c>
      <c r="BB184" t="s">
        <v>411</v>
      </c>
      <c r="BC184">
        <v>8</v>
      </c>
      <c r="BD18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184" t="str">
        <f>IF(GetCurrentMonthAging3[[#This Row],[InsGroupPrimary]]="","YES","NO")</f>
        <v>NO</v>
      </c>
      <c r="BF18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185" spans="1:58" x14ac:dyDescent="0.25">
      <c r="A185" t="s">
        <v>100</v>
      </c>
      <c r="B185">
        <v>6</v>
      </c>
      <c r="C185" t="s">
        <v>331</v>
      </c>
      <c r="D185" s="142">
        <v>45199</v>
      </c>
      <c r="E185">
        <v>40792</v>
      </c>
      <c r="F185">
        <v>463666</v>
      </c>
      <c r="G185">
        <v>3040228</v>
      </c>
      <c r="H185" t="b">
        <v>0</v>
      </c>
      <c r="I185">
        <v>3445</v>
      </c>
      <c r="J185" t="s">
        <v>409</v>
      </c>
      <c r="K185">
        <v>30</v>
      </c>
      <c r="L185">
        <v>30</v>
      </c>
      <c r="M185">
        <v>1</v>
      </c>
      <c r="N185">
        <v>0</v>
      </c>
      <c r="O185">
        <v>0</v>
      </c>
      <c r="P185">
        <v>0</v>
      </c>
      <c r="Q185">
        <v>0</v>
      </c>
      <c r="R185">
        <v>0</v>
      </c>
      <c r="T185">
        <v>30</v>
      </c>
      <c r="U185">
        <v>0</v>
      </c>
      <c r="V185">
        <v>1</v>
      </c>
      <c r="W185">
        <v>8.0500000000000007</v>
      </c>
      <c r="X185">
        <v>19.899999999999999</v>
      </c>
      <c r="Y185">
        <v>0</v>
      </c>
      <c r="Z185">
        <v>2.0499999999999998</v>
      </c>
      <c r="AA185">
        <v>1</v>
      </c>
      <c r="AB185">
        <v>9.19</v>
      </c>
      <c r="AC185">
        <v>0</v>
      </c>
      <c r="AD185">
        <v>0</v>
      </c>
      <c r="AE185">
        <v>0</v>
      </c>
      <c r="AF185">
        <v>0</v>
      </c>
      <c r="AG185">
        <v>0</v>
      </c>
      <c r="AH185">
        <v>0</v>
      </c>
      <c r="AI185">
        <v>0</v>
      </c>
      <c r="AJ185">
        <v>0</v>
      </c>
      <c r="AK185">
        <v>0</v>
      </c>
      <c r="AL185">
        <v>0</v>
      </c>
      <c r="AM185">
        <v>0</v>
      </c>
      <c r="AN185">
        <v>-7.14</v>
      </c>
      <c r="AP185" t="s">
        <v>261</v>
      </c>
      <c r="AQ185" t="s">
        <v>260</v>
      </c>
      <c r="AS185" t="s">
        <v>413</v>
      </c>
      <c r="AT185" t="s">
        <v>418</v>
      </c>
      <c r="AV185" t="s">
        <v>332</v>
      </c>
      <c r="AW185" t="s">
        <v>332</v>
      </c>
      <c r="AX185">
        <v>0</v>
      </c>
      <c r="AY185">
        <v>0</v>
      </c>
      <c r="AZ185" t="s">
        <v>233</v>
      </c>
      <c r="BA185" t="s">
        <v>233</v>
      </c>
      <c r="BB185" t="s">
        <v>411</v>
      </c>
      <c r="BC185">
        <v>8</v>
      </c>
      <c r="BD18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185" t="str">
        <f>IF(GetCurrentMonthAging3[[#This Row],[InsGroupPrimary]]="","YES","NO")</f>
        <v>NO</v>
      </c>
      <c r="BF18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186" spans="1:58" x14ac:dyDescent="0.25">
      <c r="A186" t="s">
        <v>100</v>
      </c>
      <c r="B186">
        <v>6</v>
      </c>
      <c r="C186" t="s">
        <v>331</v>
      </c>
      <c r="D186" s="142">
        <v>45199</v>
      </c>
      <c r="E186">
        <v>40692</v>
      </c>
      <c r="F186">
        <v>459640</v>
      </c>
      <c r="G186">
        <v>3039460</v>
      </c>
      <c r="H186" t="b">
        <v>0</v>
      </c>
      <c r="I186">
        <v>3445</v>
      </c>
      <c r="J186" t="s">
        <v>419</v>
      </c>
      <c r="K186">
        <v>90</v>
      </c>
      <c r="L186">
        <v>45</v>
      </c>
      <c r="M186">
        <v>2</v>
      </c>
      <c r="N186">
        <v>0</v>
      </c>
      <c r="O186">
        <v>90</v>
      </c>
      <c r="P186">
        <v>0</v>
      </c>
      <c r="Q186">
        <v>0</v>
      </c>
      <c r="R186">
        <v>90</v>
      </c>
      <c r="T186">
        <v>90</v>
      </c>
      <c r="U186">
        <v>0</v>
      </c>
      <c r="V186">
        <v>0</v>
      </c>
      <c r="W186">
        <v>0</v>
      </c>
      <c r="X186">
        <v>0</v>
      </c>
      <c r="Y186">
        <v>0</v>
      </c>
      <c r="Z186">
        <v>0</v>
      </c>
      <c r="AA186">
        <v>0</v>
      </c>
      <c r="AB186">
        <v>0</v>
      </c>
      <c r="AC186">
        <v>0</v>
      </c>
      <c r="AD186">
        <v>0</v>
      </c>
      <c r="AE186">
        <v>0</v>
      </c>
      <c r="AF186">
        <v>0</v>
      </c>
      <c r="AG186">
        <v>0</v>
      </c>
      <c r="AH186">
        <v>0</v>
      </c>
      <c r="AI186">
        <v>0</v>
      </c>
      <c r="AJ186">
        <v>0</v>
      </c>
      <c r="AK186">
        <v>44.59</v>
      </c>
      <c r="AL186">
        <v>2</v>
      </c>
      <c r="AM186">
        <v>0</v>
      </c>
      <c r="AN186">
        <v>-44.59</v>
      </c>
      <c r="AP186" t="s">
        <v>259</v>
      </c>
      <c r="AS186" t="s">
        <v>420</v>
      </c>
      <c r="AV186" t="s">
        <v>259</v>
      </c>
      <c r="AW186" t="s">
        <v>420</v>
      </c>
      <c r="AX186">
        <v>0</v>
      </c>
      <c r="AY186">
        <v>0</v>
      </c>
      <c r="AZ186" t="s">
        <v>264</v>
      </c>
      <c r="BA186" t="s">
        <v>264</v>
      </c>
      <c r="BB186" t="s">
        <v>411</v>
      </c>
      <c r="BC186">
        <v>8</v>
      </c>
      <c r="BD18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186" t="str">
        <f>IF(GetCurrentMonthAging3[[#This Row],[InsGroupPrimary]]="","YES","NO")</f>
        <v>NO</v>
      </c>
      <c r="BF18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187" spans="1:58" x14ac:dyDescent="0.25">
      <c r="A187" t="s">
        <v>100</v>
      </c>
      <c r="B187">
        <v>6</v>
      </c>
      <c r="C187" t="s">
        <v>331</v>
      </c>
      <c r="D187" s="142">
        <v>45199</v>
      </c>
      <c r="E187">
        <v>40692</v>
      </c>
      <c r="F187">
        <v>459640</v>
      </c>
      <c r="G187">
        <v>3039461</v>
      </c>
      <c r="H187" t="b">
        <v>0</v>
      </c>
      <c r="I187">
        <v>3445</v>
      </c>
      <c r="J187" t="s">
        <v>412</v>
      </c>
      <c r="K187">
        <v>45</v>
      </c>
      <c r="L187">
        <v>45</v>
      </c>
      <c r="M187">
        <v>1</v>
      </c>
      <c r="N187">
        <v>0</v>
      </c>
      <c r="O187">
        <v>45</v>
      </c>
      <c r="P187">
        <v>0</v>
      </c>
      <c r="Q187">
        <v>0</v>
      </c>
      <c r="R187">
        <v>45</v>
      </c>
      <c r="T187">
        <v>45</v>
      </c>
      <c r="U187">
        <v>0</v>
      </c>
      <c r="V187">
        <v>0</v>
      </c>
      <c r="W187">
        <v>0</v>
      </c>
      <c r="X187">
        <v>0</v>
      </c>
      <c r="Y187">
        <v>0</v>
      </c>
      <c r="Z187">
        <v>0</v>
      </c>
      <c r="AA187">
        <v>0</v>
      </c>
      <c r="AB187">
        <v>0</v>
      </c>
      <c r="AC187">
        <v>0</v>
      </c>
      <c r="AD187">
        <v>0</v>
      </c>
      <c r="AE187">
        <v>0</v>
      </c>
      <c r="AF187">
        <v>0</v>
      </c>
      <c r="AG187">
        <v>0</v>
      </c>
      <c r="AH187">
        <v>0</v>
      </c>
      <c r="AI187">
        <v>0</v>
      </c>
      <c r="AJ187">
        <v>0</v>
      </c>
      <c r="AK187">
        <v>31.12</v>
      </c>
      <c r="AL187">
        <v>2</v>
      </c>
      <c r="AM187">
        <v>0</v>
      </c>
      <c r="AN187">
        <v>-31.12</v>
      </c>
      <c r="AP187" t="s">
        <v>259</v>
      </c>
      <c r="AS187" t="s">
        <v>420</v>
      </c>
      <c r="AV187" t="s">
        <v>259</v>
      </c>
      <c r="AW187" t="s">
        <v>420</v>
      </c>
      <c r="AX187">
        <v>0</v>
      </c>
      <c r="AY187">
        <v>0</v>
      </c>
      <c r="AZ187" t="s">
        <v>264</v>
      </c>
      <c r="BA187" t="s">
        <v>264</v>
      </c>
      <c r="BB187" t="s">
        <v>411</v>
      </c>
      <c r="BC187">
        <v>8</v>
      </c>
      <c r="BD18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187" t="str">
        <f>IF(GetCurrentMonthAging3[[#This Row],[InsGroupPrimary]]="","YES","NO")</f>
        <v>NO</v>
      </c>
      <c r="BF18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188" spans="1:58" x14ac:dyDescent="0.25">
      <c r="A188" t="s">
        <v>100</v>
      </c>
      <c r="B188">
        <v>6</v>
      </c>
      <c r="C188" t="s">
        <v>331</v>
      </c>
      <c r="D188" s="142">
        <v>45199</v>
      </c>
      <c r="E188">
        <v>40792</v>
      </c>
      <c r="F188">
        <v>463666</v>
      </c>
      <c r="G188">
        <v>3040229</v>
      </c>
      <c r="H188" t="b">
        <v>0</v>
      </c>
      <c r="I188">
        <v>3445</v>
      </c>
      <c r="J188" t="s">
        <v>416</v>
      </c>
      <c r="K188">
        <v>45</v>
      </c>
      <c r="L188">
        <v>45</v>
      </c>
      <c r="M188">
        <v>1</v>
      </c>
      <c r="N188">
        <v>0</v>
      </c>
      <c r="O188">
        <v>0</v>
      </c>
      <c r="P188">
        <v>0</v>
      </c>
      <c r="Q188">
        <v>0</v>
      </c>
      <c r="R188">
        <v>0</v>
      </c>
      <c r="T188">
        <v>45</v>
      </c>
      <c r="U188">
        <v>0</v>
      </c>
      <c r="V188">
        <v>1</v>
      </c>
      <c r="W188">
        <v>25.87</v>
      </c>
      <c r="X188">
        <v>12.53</v>
      </c>
      <c r="Y188">
        <v>0</v>
      </c>
      <c r="Z188">
        <v>6.6</v>
      </c>
      <c r="AA188">
        <v>1</v>
      </c>
      <c r="AB188">
        <v>19.3</v>
      </c>
      <c r="AC188">
        <v>0</v>
      </c>
      <c r="AD188">
        <v>0</v>
      </c>
      <c r="AE188">
        <v>0</v>
      </c>
      <c r="AF188">
        <v>0</v>
      </c>
      <c r="AG188">
        <v>0</v>
      </c>
      <c r="AH188">
        <v>0</v>
      </c>
      <c r="AI188">
        <v>0</v>
      </c>
      <c r="AJ188">
        <v>0</v>
      </c>
      <c r="AK188">
        <v>0</v>
      </c>
      <c r="AL188">
        <v>0</v>
      </c>
      <c r="AM188">
        <v>0</v>
      </c>
      <c r="AN188">
        <v>-12.7</v>
      </c>
      <c r="AP188" t="s">
        <v>261</v>
      </c>
      <c r="AQ188" t="s">
        <v>260</v>
      </c>
      <c r="AS188" t="s">
        <v>413</v>
      </c>
      <c r="AT188" t="s">
        <v>418</v>
      </c>
      <c r="AV188" t="s">
        <v>332</v>
      </c>
      <c r="AW188" t="s">
        <v>332</v>
      </c>
      <c r="AX188">
        <v>0</v>
      </c>
      <c r="AY188">
        <v>0</v>
      </c>
      <c r="AZ188" t="s">
        <v>233</v>
      </c>
      <c r="BA188" t="s">
        <v>233</v>
      </c>
      <c r="BB188" t="s">
        <v>411</v>
      </c>
      <c r="BC188">
        <v>8</v>
      </c>
      <c r="BD18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-383.13999999999993</v>
      </c>
      <c r="BE188" t="str">
        <f>IF(GetCurrentMonthAging3[[#This Row],[InsGroupPrimary]]="","YES","NO")</f>
        <v>NO</v>
      </c>
      <c r="BF18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-383.13999999999993</v>
      </c>
    </row>
    <row r="189" spans="1:58" x14ac:dyDescent="0.25">
      <c r="A189" t="s">
        <v>100</v>
      </c>
      <c r="B189">
        <v>6</v>
      </c>
      <c r="C189" t="s">
        <v>331</v>
      </c>
      <c r="D189" s="142">
        <v>45199</v>
      </c>
      <c r="E189">
        <v>111708</v>
      </c>
      <c r="F189">
        <v>1513373</v>
      </c>
      <c r="G189">
        <v>7561053</v>
      </c>
      <c r="H189" t="b">
        <v>0</v>
      </c>
      <c r="I189">
        <v>2761</v>
      </c>
      <c r="J189" t="s">
        <v>412</v>
      </c>
      <c r="K189">
        <v>90</v>
      </c>
      <c r="L189">
        <v>45</v>
      </c>
      <c r="M189">
        <v>2</v>
      </c>
      <c r="N189">
        <v>0</v>
      </c>
      <c r="O189">
        <v>0</v>
      </c>
      <c r="P189">
        <v>0</v>
      </c>
      <c r="Q189">
        <v>0</v>
      </c>
      <c r="R189">
        <v>0</v>
      </c>
      <c r="T189">
        <v>90</v>
      </c>
      <c r="U189">
        <v>0</v>
      </c>
      <c r="V189">
        <v>2</v>
      </c>
      <c r="W189">
        <v>139.63999999999999</v>
      </c>
      <c r="X189">
        <v>15</v>
      </c>
      <c r="Y189">
        <v>0</v>
      </c>
      <c r="Z189">
        <v>0</v>
      </c>
      <c r="AA189">
        <v>0</v>
      </c>
      <c r="AB189">
        <v>0</v>
      </c>
      <c r="AC189">
        <v>0</v>
      </c>
      <c r="AD189">
        <v>0</v>
      </c>
      <c r="AE189">
        <v>0</v>
      </c>
      <c r="AF189">
        <v>0</v>
      </c>
      <c r="AG189">
        <v>0</v>
      </c>
      <c r="AH189">
        <v>0</v>
      </c>
      <c r="AI189">
        <v>0</v>
      </c>
      <c r="AJ189">
        <v>0</v>
      </c>
      <c r="AK189">
        <v>0</v>
      </c>
      <c r="AL189">
        <v>0</v>
      </c>
      <c r="AM189">
        <v>0</v>
      </c>
      <c r="AN189">
        <v>-64.64</v>
      </c>
      <c r="AP189" t="s">
        <v>263</v>
      </c>
      <c r="AS189" t="s">
        <v>431</v>
      </c>
      <c r="AV189" t="s">
        <v>263</v>
      </c>
      <c r="AW189" t="s">
        <v>431</v>
      </c>
      <c r="AX189">
        <v>0</v>
      </c>
      <c r="AY189">
        <v>0</v>
      </c>
      <c r="AZ189" t="s">
        <v>233</v>
      </c>
      <c r="BA189" t="s">
        <v>233</v>
      </c>
      <c r="BB189" t="s">
        <v>411</v>
      </c>
      <c r="BC189">
        <v>8</v>
      </c>
      <c r="BD18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-439.63</v>
      </c>
      <c r="BE189" t="str">
        <f>IF(GetCurrentMonthAging3[[#This Row],[InsGroupPrimary]]="","YES","NO")</f>
        <v>NO</v>
      </c>
      <c r="BF18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-439.63</v>
      </c>
    </row>
    <row r="190" spans="1:58" x14ac:dyDescent="0.25">
      <c r="A190" t="s">
        <v>100</v>
      </c>
      <c r="B190">
        <v>6</v>
      </c>
      <c r="C190" t="s">
        <v>331</v>
      </c>
      <c r="D190" s="142">
        <v>45199</v>
      </c>
      <c r="E190">
        <v>114964</v>
      </c>
      <c r="F190">
        <v>1510258</v>
      </c>
      <c r="G190">
        <v>7527307</v>
      </c>
      <c r="H190" t="b">
        <v>0</v>
      </c>
      <c r="I190">
        <v>2763</v>
      </c>
      <c r="J190" t="s">
        <v>422</v>
      </c>
      <c r="K190">
        <v>90</v>
      </c>
      <c r="L190">
        <v>90</v>
      </c>
      <c r="M190">
        <v>1</v>
      </c>
      <c r="N190">
        <v>0</v>
      </c>
      <c r="O190">
        <v>0</v>
      </c>
      <c r="P190">
        <v>0</v>
      </c>
      <c r="Q190">
        <v>0</v>
      </c>
      <c r="R190">
        <v>0</v>
      </c>
      <c r="T190">
        <v>90</v>
      </c>
      <c r="U190">
        <v>0</v>
      </c>
      <c r="V190">
        <v>1</v>
      </c>
      <c r="W190">
        <v>50.88</v>
      </c>
      <c r="X190">
        <v>39.119999999999997</v>
      </c>
      <c r="Y190">
        <v>0</v>
      </c>
      <c r="Z190">
        <v>0</v>
      </c>
      <c r="AA190">
        <v>1</v>
      </c>
      <c r="AB190">
        <v>45.79</v>
      </c>
      <c r="AC190">
        <v>0</v>
      </c>
      <c r="AD190">
        <v>0</v>
      </c>
      <c r="AE190">
        <v>0</v>
      </c>
      <c r="AF190">
        <v>0</v>
      </c>
      <c r="AG190">
        <v>0</v>
      </c>
      <c r="AH190">
        <v>0</v>
      </c>
      <c r="AI190">
        <v>0</v>
      </c>
      <c r="AJ190">
        <v>0</v>
      </c>
      <c r="AK190">
        <v>0</v>
      </c>
      <c r="AL190">
        <v>0</v>
      </c>
      <c r="AM190">
        <v>0</v>
      </c>
      <c r="AN190">
        <v>-45.79</v>
      </c>
      <c r="AP190" t="s">
        <v>260</v>
      </c>
      <c r="AQ190" t="s">
        <v>260</v>
      </c>
      <c r="AS190" t="s">
        <v>418</v>
      </c>
      <c r="AT190" t="s">
        <v>414</v>
      </c>
      <c r="AV190" t="s">
        <v>332</v>
      </c>
      <c r="AW190" t="s">
        <v>332</v>
      </c>
      <c r="AX190">
        <v>0</v>
      </c>
      <c r="AY190">
        <v>0</v>
      </c>
      <c r="AZ190" t="s">
        <v>264</v>
      </c>
      <c r="BA190" t="s">
        <v>264</v>
      </c>
      <c r="BB190" t="s">
        <v>411</v>
      </c>
      <c r="BC190">
        <v>8</v>
      </c>
      <c r="BD19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-25.79</v>
      </c>
      <c r="BE190" t="str">
        <f>IF(GetCurrentMonthAging3[[#This Row],[InsGroupPrimary]]="","YES","NO")</f>
        <v>NO</v>
      </c>
      <c r="BF19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-25.79</v>
      </c>
    </row>
    <row r="191" spans="1:58" x14ac:dyDescent="0.25">
      <c r="A191" t="s">
        <v>100</v>
      </c>
      <c r="B191">
        <v>6</v>
      </c>
      <c r="C191" t="s">
        <v>331</v>
      </c>
      <c r="D191" s="142">
        <v>45199</v>
      </c>
      <c r="E191">
        <v>114964</v>
      </c>
      <c r="F191">
        <v>1510258</v>
      </c>
      <c r="G191">
        <v>7527310</v>
      </c>
      <c r="H191" t="b">
        <v>0</v>
      </c>
      <c r="I191">
        <v>2763</v>
      </c>
      <c r="J191" t="s">
        <v>412</v>
      </c>
      <c r="K191">
        <v>90</v>
      </c>
      <c r="L191">
        <v>45</v>
      </c>
      <c r="M191">
        <v>2</v>
      </c>
      <c r="N191">
        <v>0</v>
      </c>
      <c r="O191">
        <v>0</v>
      </c>
      <c r="P191">
        <v>0</v>
      </c>
      <c r="Q191">
        <v>0</v>
      </c>
      <c r="R191">
        <v>0</v>
      </c>
      <c r="T191">
        <v>90</v>
      </c>
      <c r="U191">
        <v>0</v>
      </c>
      <c r="V191">
        <v>1</v>
      </c>
      <c r="W191">
        <v>21.04</v>
      </c>
      <c r="X191">
        <v>48.96</v>
      </c>
      <c r="Y191">
        <v>0</v>
      </c>
      <c r="Z191">
        <v>20</v>
      </c>
      <c r="AA191">
        <v>0</v>
      </c>
      <c r="AB191">
        <v>0</v>
      </c>
      <c r="AC191">
        <v>0</v>
      </c>
      <c r="AD191">
        <v>0</v>
      </c>
      <c r="AE191">
        <v>0</v>
      </c>
      <c r="AF191">
        <v>0</v>
      </c>
      <c r="AG191">
        <v>0</v>
      </c>
      <c r="AH191">
        <v>0</v>
      </c>
      <c r="AI191">
        <v>0</v>
      </c>
      <c r="AJ191">
        <v>0</v>
      </c>
      <c r="AK191">
        <v>0</v>
      </c>
      <c r="AL191">
        <v>0</v>
      </c>
      <c r="AM191">
        <v>0</v>
      </c>
      <c r="AN191">
        <v>20</v>
      </c>
      <c r="AP191" t="s">
        <v>260</v>
      </c>
      <c r="AQ191" t="s">
        <v>260</v>
      </c>
      <c r="AS191" t="s">
        <v>418</v>
      </c>
      <c r="AT191" t="s">
        <v>414</v>
      </c>
      <c r="AV191" t="s">
        <v>260</v>
      </c>
      <c r="AW191" t="s">
        <v>414</v>
      </c>
      <c r="AX191">
        <v>0</v>
      </c>
      <c r="AY191">
        <v>0</v>
      </c>
      <c r="AZ191" t="s">
        <v>264</v>
      </c>
      <c r="BA191" t="s">
        <v>264</v>
      </c>
      <c r="BB191" t="s">
        <v>411</v>
      </c>
      <c r="BC191">
        <v>8</v>
      </c>
      <c r="BD19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-25.79</v>
      </c>
      <c r="BE191" t="str">
        <f>IF(GetCurrentMonthAging3[[#This Row],[InsGroupPrimary]]="","YES","NO")</f>
        <v>NO</v>
      </c>
      <c r="BF19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-25.79</v>
      </c>
    </row>
    <row r="192" spans="1:58" x14ac:dyDescent="0.25">
      <c r="A192" t="s">
        <v>100</v>
      </c>
      <c r="B192">
        <v>6</v>
      </c>
      <c r="C192" t="s">
        <v>331</v>
      </c>
      <c r="D192" s="142">
        <v>45199</v>
      </c>
      <c r="E192">
        <v>111708</v>
      </c>
      <c r="F192">
        <v>1543750</v>
      </c>
      <c r="G192">
        <v>7666277</v>
      </c>
      <c r="H192" t="b">
        <v>0</v>
      </c>
      <c r="I192">
        <v>2749</v>
      </c>
      <c r="J192" t="s">
        <v>412</v>
      </c>
      <c r="K192">
        <v>135</v>
      </c>
      <c r="L192">
        <v>45</v>
      </c>
      <c r="M192">
        <v>3</v>
      </c>
      <c r="N192">
        <v>0</v>
      </c>
      <c r="O192">
        <v>0</v>
      </c>
      <c r="P192">
        <v>0</v>
      </c>
      <c r="Q192">
        <v>0</v>
      </c>
      <c r="R192">
        <v>0</v>
      </c>
      <c r="T192">
        <v>135</v>
      </c>
      <c r="U192">
        <v>0</v>
      </c>
      <c r="V192">
        <v>2</v>
      </c>
      <c r="W192">
        <v>150</v>
      </c>
      <c r="X192">
        <v>60</v>
      </c>
      <c r="Y192">
        <v>0</v>
      </c>
      <c r="Z192">
        <v>0</v>
      </c>
      <c r="AA192">
        <v>0</v>
      </c>
      <c r="AB192">
        <v>0</v>
      </c>
      <c r="AC192">
        <v>0</v>
      </c>
      <c r="AD192">
        <v>0</v>
      </c>
      <c r="AE192">
        <v>0</v>
      </c>
      <c r="AF192">
        <v>0</v>
      </c>
      <c r="AG192">
        <v>0</v>
      </c>
      <c r="AH192">
        <v>0</v>
      </c>
      <c r="AI192">
        <v>0</v>
      </c>
      <c r="AJ192">
        <v>0</v>
      </c>
      <c r="AK192">
        <v>0</v>
      </c>
      <c r="AL192">
        <v>0</v>
      </c>
      <c r="AM192">
        <v>0</v>
      </c>
      <c r="AN192">
        <v>-75</v>
      </c>
      <c r="AP192" t="s">
        <v>263</v>
      </c>
      <c r="AS192" t="s">
        <v>431</v>
      </c>
      <c r="AV192" t="s">
        <v>263</v>
      </c>
      <c r="AW192" t="s">
        <v>431</v>
      </c>
      <c r="AX192">
        <v>0</v>
      </c>
      <c r="AY192">
        <v>0</v>
      </c>
      <c r="AZ192" t="s">
        <v>233</v>
      </c>
      <c r="BA192" t="s">
        <v>233</v>
      </c>
      <c r="BB192" t="s">
        <v>411</v>
      </c>
      <c r="BC192">
        <v>8</v>
      </c>
      <c r="BD19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-439.63</v>
      </c>
      <c r="BE192" t="str">
        <f>IF(GetCurrentMonthAging3[[#This Row],[InsGroupPrimary]]="","YES","NO")</f>
        <v>NO</v>
      </c>
      <c r="BF19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-439.63</v>
      </c>
    </row>
    <row r="193" spans="1:58" x14ac:dyDescent="0.25">
      <c r="A193" t="s">
        <v>100</v>
      </c>
      <c r="B193">
        <v>6</v>
      </c>
      <c r="C193" t="s">
        <v>331</v>
      </c>
      <c r="D193" s="142">
        <v>45199</v>
      </c>
      <c r="E193">
        <v>217648</v>
      </c>
      <c r="F193">
        <v>3055962</v>
      </c>
      <c r="G193">
        <v>13934694</v>
      </c>
      <c r="H193" t="b">
        <v>0</v>
      </c>
      <c r="I193">
        <v>2167</v>
      </c>
      <c r="J193" t="s">
        <v>457</v>
      </c>
      <c r="K193">
        <v>45</v>
      </c>
      <c r="L193">
        <v>45</v>
      </c>
      <c r="M193">
        <v>1</v>
      </c>
      <c r="N193">
        <v>0</v>
      </c>
      <c r="O193">
        <v>0</v>
      </c>
      <c r="P193">
        <v>0</v>
      </c>
      <c r="Q193">
        <v>0</v>
      </c>
      <c r="R193">
        <v>0</v>
      </c>
      <c r="T193">
        <v>45</v>
      </c>
      <c r="U193">
        <v>0</v>
      </c>
      <c r="V193">
        <v>0</v>
      </c>
      <c r="W193">
        <v>0</v>
      </c>
      <c r="X193">
        <v>45</v>
      </c>
      <c r="Y193">
        <v>0</v>
      </c>
      <c r="Z193">
        <v>0</v>
      </c>
      <c r="AA193">
        <v>1</v>
      </c>
      <c r="AB193">
        <v>16.600000000000001</v>
      </c>
      <c r="AC193">
        <v>0</v>
      </c>
      <c r="AD193">
        <v>0</v>
      </c>
      <c r="AE193">
        <v>0</v>
      </c>
      <c r="AF193">
        <v>0</v>
      </c>
      <c r="AG193">
        <v>0</v>
      </c>
      <c r="AH193">
        <v>0</v>
      </c>
      <c r="AI193">
        <v>0</v>
      </c>
      <c r="AJ193">
        <v>0</v>
      </c>
      <c r="AK193">
        <v>0</v>
      </c>
      <c r="AL193">
        <v>0</v>
      </c>
      <c r="AM193">
        <v>0</v>
      </c>
      <c r="AN193">
        <v>-16.600000000000001</v>
      </c>
      <c r="AP193" t="s">
        <v>260</v>
      </c>
      <c r="AQ193" t="s">
        <v>265</v>
      </c>
      <c r="AS193" t="s">
        <v>433</v>
      </c>
      <c r="AT193" t="s">
        <v>425</v>
      </c>
      <c r="AV193" t="s">
        <v>260</v>
      </c>
      <c r="AW193" t="s">
        <v>433</v>
      </c>
      <c r="AX193">
        <v>0</v>
      </c>
      <c r="AY193">
        <v>0</v>
      </c>
      <c r="AZ193" t="s">
        <v>233</v>
      </c>
      <c r="BA193" t="s">
        <v>233</v>
      </c>
      <c r="BB193" t="s">
        <v>411</v>
      </c>
      <c r="BC193">
        <v>8</v>
      </c>
      <c r="BD19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-199.54000000000002</v>
      </c>
      <c r="BE193" t="str">
        <f>IF(GetCurrentMonthAging3[[#This Row],[InsGroupPrimary]]="","YES","NO")</f>
        <v>NO</v>
      </c>
      <c r="BF19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-199.54000000000002</v>
      </c>
    </row>
    <row r="194" spans="1:58" x14ac:dyDescent="0.25">
      <c r="A194" t="s">
        <v>100</v>
      </c>
      <c r="B194">
        <v>6</v>
      </c>
      <c r="C194" t="s">
        <v>331</v>
      </c>
      <c r="D194" s="142">
        <v>45199</v>
      </c>
      <c r="E194">
        <v>217648</v>
      </c>
      <c r="F194">
        <v>3066597</v>
      </c>
      <c r="G194">
        <v>14012181</v>
      </c>
      <c r="H194" t="b">
        <v>0</v>
      </c>
      <c r="I194">
        <v>2160</v>
      </c>
      <c r="J194" t="s">
        <v>444</v>
      </c>
      <c r="K194">
        <v>25</v>
      </c>
      <c r="L194">
        <v>25</v>
      </c>
      <c r="M194">
        <v>1</v>
      </c>
      <c r="N194">
        <v>0</v>
      </c>
      <c r="O194">
        <v>0</v>
      </c>
      <c r="P194">
        <v>0</v>
      </c>
      <c r="Q194">
        <v>0</v>
      </c>
      <c r="R194">
        <v>0</v>
      </c>
      <c r="T194">
        <v>25</v>
      </c>
      <c r="U194">
        <v>0</v>
      </c>
      <c r="V194">
        <v>0</v>
      </c>
      <c r="W194">
        <v>0</v>
      </c>
      <c r="X194">
        <v>25</v>
      </c>
      <c r="Y194">
        <v>0</v>
      </c>
      <c r="Z194">
        <v>0</v>
      </c>
      <c r="AA194">
        <v>1</v>
      </c>
      <c r="AB194">
        <v>7.2</v>
      </c>
      <c r="AC194">
        <v>0</v>
      </c>
      <c r="AD194">
        <v>0</v>
      </c>
      <c r="AE194">
        <v>0</v>
      </c>
      <c r="AF194">
        <v>0</v>
      </c>
      <c r="AG194">
        <v>0</v>
      </c>
      <c r="AH194">
        <v>0</v>
      </c>
      <c r="AI194">
        <v>0</v>
      </c>
      <c r="AJ194">
        <v>0</v>
      </c>
      <c r="AK194">
        <v>0</v>
      </c>
      <c r="AL194">
        <v>0</v>
      </c>
      <c r="AM194">
        <v>0</v>
      </c>
      <c r="AN194">
        <v>-7.2</v>
      </c>
      <c r="AP194" t="s">
        <v>260</v>
      </c>
      <c r="AQ194" t="s">
        <v>265</v>
      </c>
      <c r="AS194" t="s">
        <v>433</v>
      </c>
      <c r="AT194" t="s">
        <v>425</v>
      </c>
      <c r="AV194" t="s">
        <v>260</v>
      </c>
      <c r="AW194" t="s">
        <v>433</v>
      </c>
      <c r="AX194">
        <v>0</v>
      </c>
      <c r="AY194">
        <v>0</v>
      </c>
      <c r="AZ194" t="s">
        <v>233</v>
      </c>
      <c r="BA194" t="s">
        <v>233</v>
      </c>
      <c r="BB194" t="s">
        <v>411</v>
      </c>
      <c r="BC194">
        <v>8</v>
      </c>
      <c r="BD19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-199.54000000000002</v>
      </c>
      <c r="BE194" t="str">
        <f>IF(GetCurrentMonthAging3[[#This Row],[InsGroupPrimary]]="","YES","NO")</f>
        <v>NO</v>
      </c>
      <c r="BF19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-199.54000000000002</v>
      </c>
    </row>
    <row r="195" spans="1:58" x14ac:dyDescent="0.25">
      <c r="A195" t="s">
        <v>100</v>
      </c>
      <c r="B195">
        <v>6</v>
      </c>
      <c r="C195" t="s">
        <v>331</v>
      </c>
      <c r="D195" s="142">
        <v>45199</v>
      </c>
      <c r="E195">
        <v>217648</v>
      </c>
      <c r="F195">
        <v>3090018</v>
      </c>
      <c r="G195">
        <v>14079971</v>
      </c>
      <c r="H195" t="b">
        <v>0</v>
      </c>
      <c r="I195">
        <v>2153</v>
      </c>
      <c r="J195" t="s">
        <v>421</v>
      </c>
      <c r="K195">
        <v>30</v>
      </c>
      <c r="L195">
        <v>30</v>
      </c>
      <c r="M195">
        <v>1</v>
      </c>
      <c r="N195">
        <v>0</v>
      </c>
      <c r="O195">
        <v>0</v>
      </c>
      <c r="P195">
        <v>0</v>
      </c>
      <c r="Q195">
        <v>0</v>
      </c>
      <c r="R195">
        <v>0</v>
      </c>
      <c r="T195">
        <v>30</v>
      </c>
      <c r="U195">
        <v>0</v>
      </c>
      <c r="V195">
        <v>0</v>
      </c>
      <c r="W195">
        <v>0</v>
      </c>
      <c r="X195">
        <v>30</v>
      </c>
      <c r="Y195">
        <v>0</v>
      </c>
      <c r="Z195">
        <v>0</v>
      </c>
      <c r="AA195">
        <v>1</v>
      </c>
      <c r="AB195">
        <v>31.35</v>
      </c>
      <c r="AC195">
        <v>0</v>
      </c>
      <c r="AD195">
        <v>0</v>
      </c>
      <c r="AE195">
        <v>0</v>
      </c>
      <c r="AF195">
        <v>0</v>
      </c>
      <c r="AG195">
        <v>0</v>
      </c>
      <c r="AH195">
        <v>0</v>
      </c>
      <c r="AI195">
        <v>0</v>
      </c>
      <c r="AJ195">
        <v>0</v>
      </c>
      <c r="AK195">
        <v>0</v>
      </c>
      <c r="AL195">
        <v>0</v>
      </c>
      <c r="AM195">
        <v>0</v>
      </c>
      <c r="AN195">
        <v>-31.35</v>
      </c>
      <c r="AP195" t="s">
        <v>260</v>
      </c>
      <c r="AQ195" t="s">
        <v>265</v>
      </c>
      <c r="AS195" t="s">
        <v>433</v>
      </c>
      <c r="AT195" t="s">
        <v>425</v>
      </c>
      <c r="AV195" t="s">
        <v>260</v>
      </c>
      <c r="AW195" t="s">
        <v>433</v>
      </c>
      <c r="AX195">
        <v>0</v>
      </c>
      <c r="AY195">
        <v>0</v>
      </c>
      <c r="AZ195" t="s">
        <v>233</v>
      </c>
      <c r="BA195" t="s">
        <v>233</v>
      </c>
      <c r="BB195" t="s">
        <v>411</v>
      </c>
      <c r="BC195">
        <v>8</v>
      </c>
      <c r="BD19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-199.54000000000002</v>
      </c>
      <c r="BE195" t="str">
        <f>IF(GetCurrentMonthAging3[[#This Row],[InsGroupPrimary]]="","YES","NO")</f>
        <v>NO</v>
      </c>
      <c r="BF19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-199.54000000000002</v>
      </c>
    </row>
    <row r="196" spans="1:58" x14ac:dyDescent="0.25">
      <c r="A196" t="s">
        <v>100</v>
      </c>
      <c r="B196">
        <v>6</v>
      </c>
      <c r="C196" t="s">
        <v>331</v>
      </c>
      <c r="D196" s="142">
        <v>45199</v>
      </c>
      <c r="E196">
        <v>217648</v>
      </c>
      <c r="F196">
        <v>3057654</v>
      </c>
      <c r="G196">
        <v>13963467</v>
      </c>
      <c r="H196" t="b">
        <v>0</v>
      </c>
      <c r="I196">
        <v>2165</v>
      </c>
      <c r="J196" t="s">
        <v>457</v>
      </c>
      <c r="K196">
        <v>90</v>
      </c>
      <c r="L196">
        <v>45</v>
      </c>
      <c r="M196">
        <v>2</v>
      </c>
      <c r="N196">
        <v>0</v>
      </c>
      <c r="O196">
        <v>0</v>
      </c>
      <c r="P196">
        <v>0</v>
      </c>
      <c r="Q196">
        <v>0</v>
      </c>
      <c r="R196">
        <v>0</v>
      </c>
      <c r="T196">
        <v>90</v>
      </c>
      <c r="U196">
        <v>0</v>
      </c>
      <c r="V196">
        <v>0</v>
      </c>
      <c r="W196">
        <v>0</v>
      </c>
      <c r="X196">
        <v>90</v>
      </c>
      <c r="Y196">
        <v>0</v>
      </c>
      <c r="Z196">
        <v>0</v>
      </c>
      <c r="AA196">
        <v>1</v>
      </c>
      <c r="AB196">
        <v>18.2</v>
      </c>
      <c r="AC196">
        <v>0</v>
      </c>
      <c r="AD196">
        <v>0</v>
      </c>
      <c r="AE196">
        <v>0</v>
      </c>
      <c r="AF196">
        <v>0</v>
      </c>
      <c r="AG196">
        <v>0</v>
      </c>
      <c r="AH196">
        <v>0</v>
      </c>
      <c r="AI196">
        <v>0</v>
      </c>
      <c r="AJ196">
        <v>0</v>
      </c>
      <c r="AK196">
        <v>0</v>
      </c>
      <c r="AL196">
        <v>0</v>
      </c>
      <c r="AM196">
        <v>0</v>
      </c>
      <c r="AN196">
        <v>-18.2</v>
      </c>
      <c r="AP196" t="s">
        <v>260</v>
      </c>
      <c r="AQ196" t="s">
        <v>265</v>
      </c>
      <c r="AS196" t="s">
        <v>433</v>
      </c>
      <c r="AT196" t="s">
        <v>425</v>
      </c>
      <c r="AV196" t="s">
        <v>260</v>
      </c>
      <c r="AW196" t="s">
        <v>433</v>
      </c>
      <c r="AX196">
        <v>0</v>
      </c>
      <c r="AY196">
        <v>0</v>
      </c>
      <c r="AZ196" t="s">
        <v>233</v>
      </c>
      <c r="BA196" t="s">
        <v>233</v>
      </c>
      <c r="BB196" t="s">
        <v>411</v>
      </c>
      <c r="BC196">
        <v>8</v>
      </c>
      <c r="BD19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-199.54000000000002</v>
      </c>
      <c r="BE196" t="str">
        <f>IF(GetCurrentMonthAging3[[#This Row],[InsGroupPrimary]]="","YES","NO")</f>
        <v>NO</v>
      </c>
      <c r="BF19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-199.54000000000002</v>
      </c>
    </row>
    <row r="197" spans="1:58" x14ac:dyDescent="0.25">
      <c r="A197" t="s">
        <v>100</v>
      </c>
      <c r="B197">
        <v>6</v>
      </c>
      <c r="C197" t="s">
        <v>331</v>
      </c>
      <c r="D197" s="142">
        <v>45199</v>
      </c>
      <c r="E197">
        <v>217648</v>
      </c>
      <c r="F197">
        <v>3055962</v>
      </c>
      <c r="G197">
        <v>13934693</v>
      </c>
      <c r="H197" t="b">
        <v>0</v>
      </c>
      <c r="I197">
        <v>2167</v>
      </c>
      <c r="J197" t="s">
        <v>419</v>
      </c>
      <c r="K197">
        <v>90</v>
      </c>
      <c r="L197">
        <v>45</v>
      </c>
      <c r="M197">
        <v>2</v>
      </c>
      <c r="N197">
        <v>0</v>
      </c>
      <c r="O197">
        <v>0</v>
      </c>
      <c r="P197">
        <v>0</v>
      </c>
      <c r="Q197">
        <v>0</v>
      </c>
      <c r="R197">
        <v>0</v>
      </c>
      <c r="T197">
        <v>90</v>
      </c>
      <c r="U197">
        <v>0</v>
      </c>
      <c r="V197">
        <v>0</v>
      </c>
      <c r="W197">
        <v>0</v>
      </c>
      <c r="X197">
        <v>90</v>
      </c>
      <c r="Y197">
        <v>0</v>
      </c>
      <c r="Z197">
        <v>0</v>
      </c>
      <c r="AA197">
        <v>1</v>
      </c>
      <c r="AB197">
        <v>29.02</v>
      </c>
      <c r="AC197">
        <v>0</v>
      </c>
      <c r="AD197">
        <v>0</v>
      </c>
      <c r="AE197">
        <v>0</v>
      </c>
      <c r="AF197">
        <v>0</v>
      </c>
      <c r="AG197">
        <v>0</v>
      </c>
      <c r="AH197">
        <v>0</v>
      </c>
      <c r="AI197">
        <v>0</v>
      </c>
      <c r="AJ197">
        <v>0</v>
      </c>
      <c r="AK197">
        <v>0</v>
      </c>
      <c r="AL197">
        <v>0</v>
      </c>
      <c r="AM197">
        <v>0</v>
      </c>
      <c r="AN197">
        <v>-29.02</v>
      </c>
      <c r="AP197" t="s">
        <v>260</v>
      </c>
      <c r="AQ197" t="s">
        <v>265</v>
      </c>
      <c r="AS197" t="s">
        <v>433</v>
      </c>
      <c r="AT197" t="s">
        <v>425</v>
      </c>
      <c r="AV197" t="s">
        <v>260</v>
      </c>
      <c r="AW197" t="s">
        <v>433</v>
      </c>
      <c r="AX197">
        <v>0</v>
      </c>
      <c r="AY197">
        <v>0</v>
      </c>
      <c r="AZ197" t="s">
        <v>233</v>
      </c>
      <c r="BA197" t="s">
        <v>233</v>
      </c>
      <c r="BB197" t="s">
        <v>411</v>
      </c>
      <c r="BC197">
        <v>8</v>
      </c>
      <c r="BD19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-199.54000000000002</v>
      </c>
      <c r="BE197" t="str">
        <f>IF(GetCurrentMonthAging3[[#This Row],[InsGroupPrimary]]="","YES","NO")</f>
        <v>NO</v>
      </c>
      <c r="BF19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-199.54000000000002</v>
      </c>
    </row>
    <row r="198" spans="1:58" x14ac:dyDescent="0.25">
      <c r="A198" t="s">
        <v>100</v>
      </c>
      <c r="B198">
        <v>6</v>
      </c>
      <c r="C198" t="s">
        <v>331</v>
      </c>
      <c r="D198" s="142">
        <v>45199</v>
      </c>
      <c r="E198">
        <v>230293</v>
      </c>
      <c r="F198">
        <v>3363115</v>
      </c>
      <c r="G198">
        <v>15223658</v>
      </c>
      <c r="H198" t="b">
        <v>0</v>
      </c>
      <c r="I198">
        <v>2039</v>
      </c>
      <c r="J198" t="s">
        <v>412</v>
      </c>
      <c r="K198">
        <v>90</v>
      </c>
      <c r="L198">
        <v>45</v>
      </c>
      <c r="M198">
        <v>2</v>
      </c>
      <c r="N198">
        <v>0</v>
      </c>
      <c r="O198">
        <v>3.18</v>
      </c>
      <c r="P198">
        <v>0</v>
      </c>
      <c r="Q198">
        <v>3.18</v>
      </c>
      <c r="R198">
        <v>0</v>
      </c>
      <c r="T198">
        <v>90</v>
      </c>
      <c r="U198">
        <v>0</v>
      </c>
      <c r="V198">
        <v>0</v>
      </c>
      <c r="W198">
        <v>0</v>
      </c>
      <c r="X198">
        <v>58.2</v>
      </c>
      <c r="Y198">
        <v>0</v>
      </c>
      <c r="Z198">
        <v>31.8</v>
      </c>
      <c r="AA198">
        <v>2</v>
      </c>
      <c r="AB198">
        <v>57.24</v>
      </c>
      <c r="AC198">
        <v>0</v>
      </c>
      <c r="AD198">
        <v>0</v>
      </c>
      <c r="AE198">
        <v>0</v>
      </c>
      <c r="AF198">
        <v>0</v>
      </c>
      <c r="AG198">
        <v>0</v>
      </c>
      <c r="AH198">
        <v>0</v>
      </c>
      <c r="AI198">
        <v>0</v>
      </c>
      <c r="AJ198">
        <v>0</v>
      </c>
      <c r="AK198">
        <v>0</v>
      </c>
      <c r="AL198">
        <v>0</v>
      </c>
      <c r="AM198">
        <v>0</v>
      </c>
      <c r="AN198">
        <v>-28.62</v>
      </c>
      <c r="AP198" t="s">
        <v>265</v>
      </c>
      <c r="AQ198" t="s">
        <v>265</v>
      </c>
      <c r="AS198" t="s">
        <v>434</v>
      </c>
      <c r="AT198" t="s">
        <v>425</v>
      </c>
      <c r="AV198" t="s">
        <v>265</v>
      </c>
      <c r="AW198" t="s">
        <v>434</v>
      </c>
      <c r="AX198">
        <v>0</v>
      </c>
      <c r="AY198">
        <v>0</v>
      </c>
      <c r="AZ198" t="s">
        <v>264</v>
      </c>
      <c r="BA198" t="s">
        <v>264</v>
      </c>
      <c r="BB198" t="s">
        <v>411</v>
      </c>
      <c r="BC198">
        <v>8</v>
      </c>
      <c r="BD19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-255.23999999999998</v>
      </c>
      <c r="BE198" t="str">
        <f>IF(GetCurrentMonthAging3[[#This Row],[InsGroupPrimary]]="","YES","NO")</f>
        <v>NO</v>
      </c>
      <c r="BF19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-255.23999999999998</v>
      </c>
    </row>
    <row r="199" spans="1:58" x14ac:dyDescent="0.25">
      <c r="A199" t="s">
        <v>100</v>
      </c>
      <c r="B199">
        <v>6</v>
      </c>
      <c r="C199" t="s">
        <v>331</v>
      </c>
      <c r="D199" s="142">
        <v>45199</v>
      </c>
      <c r="E199">
        <v>230293</v>
      </c>
      <c r="F199">
        <v>3363115</v>
      </c>
      <c r="G199">
        <v>15223657</v>
      </c>
      <c r="H199" t="b">
        <v>0</v>
      </c>
      <c r="I199">
        <v>2039</v>
      </c>
      <c r="J199" t="s">
        <v>421</v>
      </c>
      <c r="K199">
        <v>30</v>
      </c>
      <c r="L199">
        <v>30</v>
      </c>
      <c r="M199">
        <v>1</v>
      </c>
      <c r="N199">
        <v>0</v>
      </c>
      <c r="O199">
        <v>0.8</v>
      </c>
      <c r="P199">
        <v>0</v>
      </c>
      <c r="Q199">
        <v>0.8</v>
      </c>
      <c r="R199">
        <v>0</v>
      </c>
      <c r="T199">
        <v>30</v>
      </c>
      <c r="U199">
        <v>0</v>
      </c>
      <c r="V199">
        <v>0</v>
      </c>
      <c r="W199">
        <v>0</v>
      </c>
      <c r="X199">
        <v>22</v>
      </c>
      <c r="Y199">
        <v>0</v>
      </c>
      <c r="Z199">
        <v>8</v>
      </c>
      <c r="AA199">
        <v>2</v>
      </c>
      <c r="AB199">
        <v>14.4</v>
      </c>
      <c r="AC199">
        <v>0</v>
      </c>
      <c r="AD199">
        <v>0</v>
      </c>
      <c r="AE199">
        <v>0</v>
      </c>
      <c r="AF199">
        <v>0</v>
      </c>
      <c r="AG199">
        <v>0</v>
      </c>
      <c r="AH199">
        <v>0</v>
      </c>
      <c r="AI199">
        <v>0</v>
      </c>
      <c r="AJ199">
        <v>0</v>
      </c>
      <c r="AK199">
        <v>0</v>
      </c>
      <c r="AL199">
        <v>0</v>
      </c>
      <c r="AM199">
        <v>0</v>
      </c>
      <c r="AN199">
        <v>-7.2</v>
      </c>
      <c r="AP199" t="s">
        <v>265</v>
      </c>
      <c r="AQ199" t="s">
        <v>265</v>
      </c>
      <c r="AS199" t="s">
        <v>434</v>
      </c>
      <c r="AT199" t="s">
        <v>425</v>
      </c>
      <c r="AV199" t="s">
        <v>265</v>
      </c>
      <c r="AW199" t="s">
        <v>434</v>
      </c>
      <c r="AX199">
        <v>0</v>
      </c>
      <c r="AY199">
        <v>0</v>
      </c>
      <c r="AZ199" t="s">
        <v>264</v>
      </c>
      <c r="BA199" t="s">
        <v>264</v>
      </c>
      <c r="BB199" t="s">
        <v>411</v>
      </c>
      <c r="BC199">
        <v>8</v>
      </c>
      <c r="BD19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-255.23999999999998</v>
      </c>
      <c r="BE199" t="str">
        <f>IF(GetCurrentMonthAging3[[#This Row],[InsGroupPrimary]]="","YES","NO")</f>
        <v>NO</v>
      </c>
      <c r="BF19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-255.23999999999998</v>
      </c>
    </row>
    <row r="200" spans="1:58" x14ac:dyDescent="0.25">
      <c r="A200" t="s">
        <v>100</v>
      </c>
      <c r="B200">
        <v>6</v>
      </c>
      <c r="C200" t="s">
        <v>331</v>
      </c>
      <c r="D200" s="142">
        <v>45199</v>
      </c>
      <c r="E200">
        <v>230293</v>
      </c>
      <c r="F200">
        <v>3363115</v>
      </c>
      <c r="G200">
        <v>15223659</v>
      </c>
      <c r="H200" t="b">
        <v>0</v>
      </c>
      <c r="I200">
        <v>2039</v>
      </c>
      <c r="J200" t="s">
        <v>416</v>
      </c>
      <c r="K200">
        <v>45</v>
      </c>
      <c r="L200">
        <v>45</v>
      </c>
      <c r="M200">
        <v>1</v>
      </c>
      <c r="N200">
        <v>0</v>
      </c>
      <c r="O200">
        <v>1.61</v>
      </c>
      <c r="P200">
        <v>0</v>
      </c>
      <c r="Q200">
        <v>1.61</v>
      </c>
      <c r="R200">
        <v>0</v>
      </c>
      <c r="T200">
        <v>45</v>
      </c>
      <c r="U200">
        <v>0</v>
      </c>
      <c r="V200">
        <v>0</v>
      </c>
      <c r="W200">
        <v>0</v>
      </c>
      <c r="X200">
        <v>28.85</v>
      </c>
      <c r="Y200">
        <v>0</v>
      </c>
      <c r="Z200">
        <v>16.149999999999999</v>
      </c>
      <c r="AA200">
        <v>2</v>
      </c>
      <c r="AB200">
        <v>29.08</v>
      </c>
      <c r="AC200">
        <v>0</v>
      </c>
      <c r="AD200">
        <v>0</v>
      </c>
      <c r="AE200">
        <v>0</v>
      </c>
      <c r="AF200">
        <v>0</v>
      </c>
      <c r="AG200">
        <v>0</v>
      </c>
      <c r="AH200">
        <v>0</v>
      </c>
      <c r="AI200">
        <v>0</v>
      </c>
      <c r="AJ200">
        <v>0</v>
      </c>
      <c r="AK200">
        <v>0</v>
      </c>
      <c r="AL200">
        <v>0</v>
      </c>
      <c r="AM200">
        <v>0</v>
      </c>
      <c r="AN200">
        <v>-14.54</v>
      </c>
      <c r="AP200" t="s">
        <v>265</v>
      </c>
      <c r="AQ200" t="s">
        <v>265</v>
      </c>
      <c r="AS200" t="s">
        <v>434</v>
      </c>
      <c r="AT200" t="s">
        <v>425</v>
      </c>
      <c r="AV200" t="s">
        <v>265</v>
      </c>
      <c r="AW200" t="s">
        <v>434</v>
      </c>
      <c r="AX200">
        <v>0</v>
      </c>
      <c r="AY200">
        <v>0</v>
      </c>
      <c r="AZ200" t="s">
        <v>264</v>
      </c>
      <c r="BA200" t="s">
        <v>264</v>
      </c>
      <c r="BB200" t="s">
        <v>411</v>
      </c>
      <c r="BC200">
        <v>8</v>
      </c>
      <c r="BD20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-255.23999999999998</v>
      </c>
      <c r="BE200" t="str">
        <f>IF(GetCurrentMonthAging3[[#This Row],[InsGroupPrimary]]="","YES","NO")</f>
        <v>NO</v>
      </c>
      <c r="BF20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-255.23999999999998</v>
      </c>
    </row>
    <row r="201" spans="1:58" x14ac:dyDescent="0.25">
      <c r="A201" t="s">
        <v>100</v>
      </c>
      <c r="B201">
        <v>6</v>
      </c>
      <c r="C201" t="s">
        <v>331</v>
      </c>
      <c r="D201" s="142">
        <v>45199</v>
      </c>
      <c r="E201">
        <v>230293</v>
      </c>
      <c r="F201">
        <v>3389940</v>
      </c>
      <c r="G201">
        <v>15278787</v>
      </c>
      <c r="H201" t="b">
        <v>0</v>
      </c>
      <c r="I201">
        <v>2034</v>
      </c>
      <c r="J201" t="s">
        <v>435</v>
      </c>
      <c r="K201">
        <v>45</v>
      </c>
      <c r="L201">
        <v>45</v>
      </c>
      <c r="M201">
        <v>1</v>
      </c>
      <c r="N201">
        <v>0</v>
      </c>
      <c r="O201">
        <v>1.66</v>
      </c>
      <c r="P201">
        <v>0</v>
      </c>
      <c r="Q201">
        <v>1.66</v>
      </c>
      <c r="R201">
        <v>0</v>
      </c>
      <c r="T201">
        <v>45</v>
      </c>
      <c r="U201">
        <v>0</v>
      </c>
      <c r="V201">
        <v>0</v>
      </c>
      <c r="W201">
        <v>0</v>
      </c>
      <c r="X201">
        <v>28.4</v>
      </c>
      <c r="Y201">
        <v>0</v>
      </c>
      <c r="Z201">
        <v>16.600000000000001</v>
      </c>
      <c r="AA201">
        <v>2</v>
      </c>
      <c r="AB201">
        <v>29.88</v>
      </c>
      <c r="AC201">
        <v>0</v>
      </c>
      <c r="AD201">
        <v>0</v>
      </c>
      <c r="AE201">
        <v>0</v>
      </c>
      <c r="AF201">
        <v>0</v>
      </c>
      <c r="AG201">
        <v>0</v>
      </c>
      <c r="AH201">
        <v>0</v>
      </c>
      <c r="AI201">
        <v>0</v>
      </c>
      <c r="AJ201">
        <v>0</v>
      </c>
      <c r="AK201">
        <v>0</v>
      </c>
      <c r="AL201">
        <v>0</v>
      </c>
      <c r="AM201">
        <v>0</v>
      </c>
      <c r="AN201">
        <v>-14.94</v>
      </c>
      <c r="AP201" t="s">
        <v>265</v>
      </c>
      <c r="AQ201" t="s">
        <v>265</v>
      </c>
      <c r="AS201" t="s">
        <v>434</v>
      </c>
      <c r="AT201" t="s">
        <v>425</v>
      </c>
      <c r="AV201" t="s">
        <v>265</v>
      </c>
      <c r="AW201" t="s">
        <v>434</v>
      </c>
      <c r="AX201">
        <v>0</v>
      </c>
      <c r="AY201">
        <v>0</v>
      </c>
      <c r="AZ201" t="s">
        <v>264</v>
      </c>
      <c r="BA201" t="s">
        <v>264</v>
      </c>
      <c r="BB201" t="s">
        <v>411</v>
      </c>
      <c r="BC201">
        <v>8</v>
      </c>
      <c r="BD20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-255.23999999999998</v>
      </c>
      <c r="BE201" t="str">
        <f>IF(GetCurrentMonthAging3[[#This Row],[InsGroupPrimary]]="","YES","NO")</f>
        <v>NO</v>
      </c>
      <c r="BF20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-255.23999999999998</v>
      </c>
    </row>
    <row r="202" spans="1:58" x14ac:dyDescent="0.25">
      <c r="A202" t="s">
        <v>100</v>
      </c>
      <c r="B202">
        <v>6</v>
      </c>
      <c r="C202" t="s">
        <v>331</v>
      </c>
      <c r="D202" s="142">
        <v>45199</v>
      </c>
      <c r="E202">
        <v>230293</v>
      </c>
      <c r="F202">
        <v>3389940</v>
      </c>
      <c r="G202">
        <v>15278786</v>
      </c>
      <c r="H202" t="b">
        <v>0</v>
      </c>
      <c r="I202">
        <v>2034</v>
      </c>
      <c r="J202" t="s">
        <v>412</v>
      </c>
      <c r="K202">
        <v>90</v>
      </c>
      <c r="L202">
        <v>45</v>
      </c>
      <c r="M202">
        <v>2</v>
      </c>
      <c r="N202">
        <v>0</v>
      </c>
      <c r="O202">
        <v>3.18</v>
      </c>
      <c r="P202">
        <v>0</v>
      </c>
      <c r="Q202">
        <v>3.18</v>
      </c>
      <c r="R202">
        <v>0</v>
      </c>
      <c r="T202">
        <v>90</v>
      </c>
      <c r="U202">
        <v>0</v>
      </c>
      <c r="V202">
        <v>0</v>
      </c>
      <c r="W202">
        <v>0</v>
      </c>
      <c r="X202">
        <v>58.2</v>
      </c>
      <c r="Y202">
        <v>0</v>
      </c>
      <c r="Z202">
        <v>31.8</v>
      </c>
      <c r="AA202">
        <v>2</v>
      </c>
      <c r="AB202">
        <v>57.24</v>
      </c>
      <c r="AC202">
        <v>0</v>
      </c>
      <c r="AD202">
        <v>0</v>
      </c>
      <c r="AE202">
        <v>0</v>
      </c>
      <c r="AF202">
        <v>0</v>
      </c>
      <c r="AG202">
        <v>0</v>
      </c>
      <c r="AH202">
        <v>0</v>
      </c>
      <c r="AI202">
        <v>0</v>
      </c>
      <c r="AJ202">
        <v>0</v>
      </c>
      <c r="AK202">
        <v>0</v>
      </c>
      <c r="AL202">
        <v>0</v>
      </c>
      <c r="AM202">
        <v>0</v>
      </c>
      <c r="AN202">
        <v>-28.62</v>
      </c>
      <c r="AP202" t="s">
        <v>265</v>
      </c>
      <c r="AQ202" t="s">
        <v>265</v>
      </c>
      <c r="AS202" t="s">
        <v>434</v>
      </c>
      <c r="AT202" t="s">
        <v>425</v>
      </c>
      <c r="AV202" t="s">
        <v>265</v>
      </c>
      <c r="AW202" t="s">
        <v>434</v>
      </c>
      <c r="AX202">
        <v>0</v>
      </c>
      <c r="AY202">
        <v>0</v>
      </c>
      <c r="AZ202" t="s">
        <v>264</v>
      </c>
      <c r="BA202" t="s">
        <v>264</v>
      </c>
      <c r="BB202" t="s">
        <v>411</v>
      </c>
      <c r="BC202">
        <v>8</v>
      </c>
      <c r="BD20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-255.23999999999998</v>
      </c>
      <c r="BE202" t="str">
        <f>IF(GetCurrentMonthAging3[[#This Row],[InsGroupPrimary]]="","YES","NO")</f>
        <v>NO</v>
      </c>
      <c r="BF20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-255.23999999999998</v>
      </c>
    </row>
    <row r="203" spans="1:58" x14ac:dyDescent="0.25">
      <c r="A203" t="s">
        <v>100</v>
      </c>
      <c r="B203">
        <v>6</v>
      </c>
      <c r="C203" t="s">
        <v>331</v>
      </c>
      <c r="D203" s="142">
        <v>45199</v>
      </c>
      <c r="E203">
        <v>230293</v>
      </c>
      <c r="F203">
        <v>3363112</v>
      </c>
      <c r="G203">
        <v>15120848</v>
      </c>
      <c r="H203" t="b">
        <v>0</v>
      </c>
      <c r="I203">
        <v>2047</v>
      </c>
      <c r="J203" t="s">
        <v>412</v>
      </c>
      <c r="K203">
        <v>90</v>
      </c>
      <c r="L203">
        <v>45</v>
      </c>
      <c r="M203">
        <v>2</v>
      </c>
      <c r="N203">
        <v>0</v>
      </c>
      <c r="O203">
        <v>3.18</v>
      </c>
      <c r="P203">
        <v>0</v>
      </c>
      <c r="Q203">
        <v>3.18</v>
      </c>
      <c r="R203">
        <v>0</v>
      </c>
      <c r="T203">
        <v>90</v>
      </c>
      <c r="U203">
        <v>0</v>
      </c>
      <c r="V203">
        <v>0</v>
      </c>
      <c r="W203">
        <v>0</v>
      </c>
      <c r="X203">
        <v>58.2</v>
      </c>
      <c r="Y203">
        <v>0</v>
      </c>
      <c r="Z203">
        <v>31.8</v>
      </c>
      <c r="AA203">
        <v>2</v>
      </c>
      <c r="AB203">
        <v>57.24</v>
      </c>
      <c r="AC203">
        <v>0</v>
      </c>
      <c r="AD203">
        <v>0</v>
      </c>
      <c r="AE203">
        <v>0</v>
      </c>
      <c r="AF203">
        <v>0</v>
      </c>
      <c r="AG203">
        <v>0</v>
      </c>
      <c r="AH203">
        <v>0</v>
      </c>
      <c r="AI203">
        <v>0</v>
      </c>
      <c r="AJ203">
        <v>0</v>
      </c>
      <c r="AK203">
        <v>0</v>
      </c>
      <c r="AL203">
        <v>0</v>
      </c>
      <c r="AM203">
        <v>0</v>
      </c>
      <c r="AN203">
        <v>-28.62</v>
      </c>
      <c r="AP203" t="s">
        <v>265</v>
      </c>
      <c r="AQ203" t="s">
        <v>265</v>
      </c>
      <c r="AS203" t="s">
        <v>434</v>
      </c>
      <c r="AT203" t="s">
        <v>425</v>
      </c>
      <c r="AV203" t="s">
        <v>265</v>
      </c>
      <c r="AW203" t="s">
        <v>434</v>
      </c>
      <c r="AX203">
        <v>0</v>
      </c>
      <c r="AY203">
        <v>0</v>
      </c>
      <c r="AZ203" t="s">
        <v>264</v>
      </c>
      <c r="BA203" t="s">
        <v>264</v>
      </c>
      <c r="BB203" t="s">
        <v>411</v>
      </c>
      <c r="BC203">
        <v>8</v>
      </c>
      <c r="BD20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-255.23999999999998</v>
      </c>
      <c r="BE203" t="str">
        <f>IF(GetCurrentMonthAging3[[#This Row],[InsGroupPrimary]]="","YES","NO")</f>
        <v>NO</v>
      </c>
      <c r="BF20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-255.23999999999998</v>
      </c>
    </row>
    <row r="204" spans="1:58" x14ac:dyDescent="0.25">
      <c r="A204" t="s">
        <v>100</v>
      </c>
      <c r="B204">
        <v>6</v>
      </c>
      <c r="C204" t="s">
        <v>331</v>
      </c>
      <c r="D204" s="142">
        <v>45199</v>
      </c>
      <c r="E204">
        <v>230293</v>
      </c>
      <c r="F204">
        <v>3363112</v>
      </c>
      <c r="G204">
        <v>15120850</v>
      </c>
      <c r="H204" t="b">
        <v>0</v>
      </c>
      <c r="I204">
        <v>2047</v>
      </c>
      <c r="J204" t="s">
        <v>419</v>
      </c>
      <c r="K204">
        <v>45</v>
      </c>
      <c r="L204">
        <v>45</v>
      </c>
      <c r="M204">
        <v>1</v>
      </c>
      <c r="N204">
        <v>0</v>
      </c>
      <c r="O204">
        <v>1.45</v>
      </c>
      <c r="P204">
        <v>0</v>
      </c>
      <c r="Q204">
        <v>1.45</v>
      </c>
      <c r="R204">
        <v>0</v>
      </c>
      <c r="T204">
        <v>45</v>
      </c>
      <c r="U204">
        <v>0</v>
      </c>
      <c r="V204">
        <v>0</v>
      </c>
      <c r="W204">
        <v>0</v>
      </c>
      <c r="X204">
        <v>30.49</v>
      </c>
      <c r="Y204">
        <v>0</v>
      </c>
      <c r="Z204">
        <v>14.51</v>
      </c>
      <c r="AA204">
        <v>2</v>
      </c>
      <c r="AB204">
        <v>26.12</v>
      </c>
      <c r="AC204">
        <v>0</v>
      </c>
      <c r="AD204">
        <v>0</v>
      </c>
      <c r="AE204">
        <v>0</v>
      </c>
      <c r="AF204">
        <v>0</v>
      </c>
      <c r="AG204">
        <v>0</v>
      </c>
      <c r="AH204">
        <v>0</v>
      </c>
      <c r="AI204">
        <v>0</v>
      </c>
      <c r="AJ204">
        <v>0</v>
      </c>
      <c r="AK204">
        <v>0</v>
      </c>
      <c r="AL204">
        <v>0</v>
      </c>
      <c r="AM204">
        <v>0</v>
      </c>
      <c r="AN204">
        <v>-13.06</v>
      </c>
      <c r="AP204" t="s">
        <v>265</v>
      </c>
      <c r="AQ204" t="s">
        <v>265</v>
      </c>
      <c r="AS204" t="s">
        <v>434</v>
      </c>
      <c r="AT204" t="s">
        <v>425</v>
      </c>
      <c r="AV204" t="s">
        <v>265</v>
      </c>
      <c r="AW204" t="s">
        <v>434</v>
      </c>
      <c r="AX204">
        <v>0</v>
      </c>
      <c r="AY204">
        <v>0</v>
      </c>
      <c r="AZ204" t="s">
        <v>264</v>
      </c>
      <c r="BA204" t="s">
        <v>264</v>
      </c>
      <c r="BB204" t="s">
        <v>411</v>
      </c>
      <c r="BC204">
        <v>8</v>
      </c>
      <c r="BD20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-255.23999999999998</v>
      </c>
      <c r="BE204" t="str">
        <f>IF(GetCurrentMonthAging3[[#This Row],[InsGroupPrimary]]="","YES","NO")</f>
        <v>NO</v>
      </c>
      <c r="BF20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-255.23999999999998</v>
      </c>
    </row>
    <row r="205" spans="1:58" x14ac:dyDescent="0.25">
      <c r="A205" t="s">
        <v>100</v>
      </c>
      <c r="B205">
        <v>6</v>
      </c>
      <c r="C205" t="s">
        <v>331</v>
      </c>
      <c r="D205" s="142">
        <v>45199</v>
      </c>
      <c r="E205">
        <v>230293</v>
      </c>
      <c r="F205">
        <v>3363108</v>
      </c>
      <c r="G205">
        <v>15151064</v>
      </c>
      <c r="H205" t="b">
        <v>0</v>
      </c>
      <c r="I205">
        <v>2045</v>
      </c>
      <c r="J205" t="s">
        <v>419</v>
      </c>
      <c r="K205">
        <v>45</v>
      </c>
      <c r="L205">
        <v>45</v>
      </c>
      <c r="M205">
        <v>1</v>
      </c>
      <c r="N205">
        <v>0</v>
      </c>
      <c r="O205">
        <v>1.45</v>
      </c>
      <c r="P205">
        <v>0</v>
      </c>
      <c r="Q205">
        <v>1.45</v>
      </c>
      <c r="R205">
        <v>0</v>
      </c>
      <c r="T205">
        <v>45</v>
      </c>
      <c r="U205">
        <v>0</v>
      </c>
      <c r="V205">
        <v>0</v>
      </c>
      <c r="W205">
        <v>0</v>
      </c>
      <c r="X205">
        <v>30.49</v>
      </c>
      <c r="Y205">
        <v>0</v>
      </c>
      <c r="Z205">
        <v>14.51</v>
      </c>
      <c r="AA205">
        <v>2</v>
      </c>
      <c r="AB205">
        <v>26.12</v>
      </c>
      <c r="AC205">
        <v>0</v>
      </c>
      <c r="AD205">
        <v>0</v>
      </c>
      <c r="AE205">
        <v>0</v>
      </c>
      <c r="AF205">
        <v>0</v>
      </c>
      <c r="AG205">
        <v>0</v>
      </c>
      <c r="AH205">
        <v>0</v>
      </c>
      <c r="AI205">
        <v>0</v>
      </c>
      <c r="AJ205">
        <v>0</v>
      </c>
      <c r="AK205">
        <v>0</v>
      </c>
      <c r="AL205">
        <v>0</v>
      </c>
      <c r="AM205">
        <v>0</v>
      </c>
      <c r="AN205">
        <v>-13.06</v>
      </c>
      <c r="AP205" t="s">
        <v>265</v>
      </c>
      <c r="AQ205" t="s">
        <v>265</v>
      </c>
      <c r="AS205" t="s">
        <v>434</v>
      </c>
      <c r="AT205" t="s">
        <v>425</v>
      </c>
      <c r="AV205" t="s">
        <v>265</v>
      </c>
      <c r="AW205" t="s">
        <v>434</v>
      </c>
      <c r="AX205">
        <v>0</v>
      </c>
      <c r="AY205">
        <v>0</v>
      </c>
      <c r="AZ205" t="s">
        <v>264</v>
      </c>
      <c r="BA205" t="s">
        <v>264</v>
      </c>
      <c r="BB205" t="s">
        <v>411</v>
      </c>
      <c r="BC205">
        <v>8</v>
      </c>
      <c r="BD20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-255.23999999999998</v>
      </c>
      <c r="BE205" t="str">
        <f>IF(GetCurrentMonthAging3[[#This Row],[InsGroupPrimary]]="","YES","NO")</f>
        <v>NO</v>
      </c>
      <c r="BF20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-255.23999999999998</v>
      </c>
    </row>
    <row r="206" spans="1:58" x14ac:dyDescent="0.25">
      <c r="A206" t="s">
        <v>100</v>
      </c>
      <c r="B206">
        <v>6</v>
      </c>
      <c r="C206" t="s">
        <v>331</v>
      </c>
      <c r="D206" s="142">
        <v>45199</v>
      </c>
      <c r="E206">
        <v>230293</v>
      </c>
      <c r="F206">
        <v>3363119</v>
      </c>
      <c r="G206">
        <v>15155293</v>
      </c>
      <c r="H206" t="b">
        <v>0</v>
      </c>
      <c r="I206">
        <v>2042</v>
      </c>
      <c r="J206" t="s">
        <v>421</v>
      </c>
      <c r="K206">
        <v>30</v>
      </c>
      <c r="L206">
        <v>30</v>
      </c>
      <c r="M206">
        <v>1</v>
      </c>
      <c r="N206">
        <v>0</v>
      </c>
      <c r="O206">
        <v>0.8</v>
      </c>
      <c r="P206">
        <v>0</v>
      </c>
      <c r="Q206">
        <v>0.8</v>
      </c>
      <c r="R206">
        <v>0</v>
      </c>
      <c r="T206">
        <v>30</v>
      </c>
      <c r="U206">
        <v>0</v>
      </c>
      <c r="V206">
        <v>0</v>
      </c>
      <c r="W206">
        <v>0</v>
      </c>
      <c r="X206">
        <v>22</v>
      </c>
      <c r="Y206">
        <v>0</v>
      </c>
      <c r="Z206">
        <v>8</v>
      </c>
      <c r="AA206">
        <v>2</v>
      </c>
      <c r="AB206">
        <v>14.4</v>
      </c>
      <c r="AC206">
        <v>0</v>
      </c>
      <c r="AD206">
        <v>0</v>
      </c>
      <c r="AE206">
        <v>0</v>
      </c>
      <c r="AF206">
        <v>0</v>
      </c>
      <c r="AG206">
        <v>0</v>
      </c>
      <c r="AH206">
        <v>0</v>
      </c>
      <c r="AI206">
        <v>0</v>
      </c>
      <c r="AJ206">
        <v>0</v>
      </c>
      <c r="AK206">
        <v>0</v>
      </c>
      <c r="AL206">
        <v>0</v>
      </c>
      <c r="AM206">
        <v>0</v>
      </c>
      <c r="AN206">
        <v>-7.2</v>
      </c>
      <c r="AP206" t="s">
        <v>265</v>
      </c>
      <c r="AQ206" t="s">
        <v>265</v>
      </c>
      <c r="AS206" t="s">
        <v>434</v>
      </c>
      <c r="AT206" t="s">
        <v>425</v>
      </c>
      <c r="AV206" t="s">
        <v>265</v>
      </c>
      <c r="AW206" t="s">
        <v>434</v>
      </c>
      <c r="AX206">
        <v>0</v>
      </c>
      <c r="AY206">
        <v>0</v>
      </c>
      <c r="AZ206" t="s">
        <v>264</v>
      </c>
      <c r="BA206" t="s">
        <v>264</v>
      </c>
      <c r="BB206" t="s">
        <v>411</v>
      </c>
      <c r="BC206">
        <v>8</v>
      </c>
      <c r="BD20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-255.23999999999998</v>
      </c>
      <c r="BE206" t="str">
        <f>IF(GetCurrentMonthAging3[[#This Row],[InsGroupPrimary]]="","YES","NO")</f>
        <v>NO</v>
      </c>
      <c r="BF20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-255.23999999999998</v>
      </c>
    </row>
    <row r="207" spans="1:58" x14ac:dyDescent="0.25">
      <c r="A207" t="s">
        <v>100</v>
      </c>
      <c r="B207">
        <v>6</v>
      </c>
      <c r="C207" t="s">
        <v>331</v>
      </c>
      <c r="D207" s="142">
        <v>45199</v>
      </c>
      <c r="E207">
        <v>254621</v>
      </c>
      <c r="F207">
        <v>3658893</v>
      </c>
      <c r="G207">
        <v>16698103</v>
      </c>
      <c r="H207" t="b">
        <v>0</v>
      </c>
      <c r="I207">
        <v>1916</v>
      </c>
      <c r="J207" t="s">
        <v>419</v>
      </c>
      <c r="K207">
        <v>45</v>
      </c>
      <c r="L207">
        <v>45</v>
      </c>
      <c r="M207">
        <v>1</v>
      </c>
      <c r="N207">
        <v>0</v>
      </c>
      <c r="O207">
        <v>0</v>
      </c>
      <c r="P207">
        <v>0</v>
      </c>
      <c r="Q207">
        <v>0</v>
      </c>
      <c r="R207">
        <v>0</v>
      </c>
      <c r="T207">
        <v>45</v>
      </c>
      <c r="U207">
        <v>0</v>
      </c>
      <c r="V207">
        <v>1</v>
      </c>
      <c r="W207">
        <v>17.170000000000002</v>
      </c>
      <c r="X207">
        <v>0</v>
      </c>
      <c r="Y207">
        <v>0</v>
      </c>
      <c r="Z207">
        <v>0</v>
      </c>
      <c r="AA207">
        <v>1</v>
      </c>
      <c r="AB207">
        <v>4.38</v>
      </c>
      <c r="AC207">
        <v>0</v>
      </c>
      <c r="AD207">
        <v>0</v>
      </c>
      <c r="AE207">
        <v>0</v>
      </c>
      <c r="AF207">
        <v>0</v>
      </c>
      <c r="AG207">
        <v>0</v>
      </c>
      <c r="AH207">
        <v>0</v>
      </c>
      <c r="AI207">
        <v>0</v>
      </c>
      <c r="AJ207">
        <v>0</v>
      </c>
      <c r="AK207">
        <v>0</v>
      </c>
      <c r="AL207">
        <v>0</v>
      </c>
      <c r="AM207">
        <v>0</v>
      </c>
      <c r="AN207">
        <v>-21.55</v>
      </c>
      <c r="AP207" t="s">
        <v>261</v>
      </c>
      <c r="AQ207" t="s">
        <v>265</v>
      </c>
      <c r="AS207" t="s">
        <v>413</v>
      </c>
      <c r="AT207" t="s">
        <v>425</v>
      </c>
      <c r="AV207" t="s">
        <v>332</v>
      </c>
      <c r="AW207" t="s">
        <v>332</v>
      </c>
      <c r="AX207">
        <v>45</v>
      </c>
      <c r="AY207">
        <v>0</v>
      </c>
      <c r="AZ207" t="s">
        <v>264</v>
      </c>
      <c r="BA207" t="s">
        <v>264</v>
      </c>
      <c r="BB207" t="s">
        <v>411</v>
      </c>
      <c r="BC207">
        <v>8</v>
      </c>
      <c r="BD20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-21.55</v>
      </c>
      <c r="BE207" t="str">
        <f>IF(GetCurrentMonthAging3[[#This Row],[InsGroupPrimary]]="","YES","NO")</f>
        <v>NO</v>
      </c>
      <c r="BF20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-21.55</v>
      </c>
    </row>
    <row r="208" spans="1:58" x14ac:dyDescent="0.25">
      <c r="A208" t="s">
        <v>100</v>
      </c>
      <c r="B208">
        <v>6</v>
      </c>
      <c r="C208" t="s">
        <v>331</v>
      </c>
      <c r="D208" s="142">
        <v>45199</v>
      </c>
      <c r="E208">
        <v>32222</v>
      </c>
      <c r="F208">
        <v>363442</v>
      </c>
      <c r="G208">
        <v>2319378</v>
      </c>
      <c r="H208" t="b">
        <v>0</v>
      </c>
      <c r="I208">
        <v>3670</v>
      </c>
      <c r="J208" t="s">
        <v>409</v>
      </c>
      <c r="K208">
        <v>30</v>
      </c>
      <c r="L208">
        <v>30</v>
      </c>
      <c r="M208">
        <v>1</v>
      </c>
      <c r="N208">
        <v>0</v>
      </c>
      <c r="O208">
        <v>0</v>
      </c>
      <c r="P208">
        <v>0</v>
      </c>
      <c r="Q208">
        <v>0</v>
      </c>
      <c r="R208">
        <v>0</v>
      </c>
      <c r="T208">
        <v>30</v>
      </c>
      <c r="U208">
        <v>0</v>
      </c>
      <c r="V208">
        <v>2</v>
      </c>
      <c r="W208">
        <v>50</v>
      </c>
      <c r="X208">
        <v>0</v>
      </c>
      <c r="Y208">
        <v>0</v>
      </c>
      <c r="Z208">
        <v>0</v>
      </c>
      <c r="AA208">
        <v>0</v>
      </c>
      <c r="AB208">
        <v>0</v>
      </c>
      <c r="AC208">
        <v>0</v>
      </c>
      <c r="AD208">
        <v>0</v>
      </c>
      <c r="AE208">
        <v>0</v>
      </c>
      <c r="AF208">
        <v>0</v>
      </c>
      <c r="AG208">
        <v>0</v>
      </c>
      <c r="AH208">
        <v>0</v>
      </c>
      <c r="AI208">
        <v>0</v>
      </c>
      <c r="AJ208">
        <v>0</v>
      </c>
      <c r="AK208">
        <v>0</v>
      </c>
      <c r="AL208">
        <v>0</v>
      </c>
      <c r="AM208">
        <v>0</v>
      </c>
      <c r="AN208">
        <v>-20</v>
      </c>
      <c r="AP208" t="s">
        <v>263</v>
      </c>
      <c r="AS208" t="s">
        <v>410</v>
      </c>
      <c r="AV208" t="s">
        <v>263</v>
      </c>
      <c r="AW208" t="s">
        <v>410</v>
      </c>
      <c r="AX208">
        <v>0</v>
      </c>
      <c r="AY208">
        <v>0</v>
      </c>
      <c r="AZ208" t="s">
        <v>233</v>
      </c>
      <c r="BA208" t="s">
        <v>233</v>
      </c>
      <c r="BB208" t="s">
        <v>411</v>
      </c>
      <c r="BC208">
        <v>8</v>
      </c>
      <c r="BD20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-210</v>
      </c>
      <c r="BE208" t="str">
        <f>IF(GetCurrentMonthAging3[[#This Row],[InsGroupPrimary]]="","YES","NO")</f>
        <v>NO</v>
      </c>
      <c r="BF20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-210</v>
      </c>
    </row>
    <row r="209" spans="1:58" x14ac:dyDescent="0.25">
      <c r="A209" t="s">
        <v>100</v>
      </c>
      <c r="B209">
        <v>6</v>
      </c>
      <c r="C209" t="s">
        <v>331</v>
      </c>
      <c r="D209" s="142">
        <v>45199</v>
      </c>
      <c r="E209">
        <v>39104</v>
      </c>
      <c r="F209">
        <v>445420</v>
      </c>
      <c r="G209">
        <v>2936014</v>
      </c>
      <c r="H209" t="b">
        <v>0</v>
      </c>
      <c r="I209">
        <v>3484</v>
      </c>
      <c r="J209" t="s">
        <v>412</v>
      </c>
      <c r="K209">
        <v>90</v>
      </c>
      <c r="L209">
        <v>45</v>
      </c>
      <c r="M209">
        <v>2</v>
      </c>
      <c r="N209">
        <v>0</v>
      </c>
      <c r="O209">
        <v>0</v>
      </c>
      <c r="P209">
        <v>0</v>
      </c>
      <c r="Q209">
        <v>0</v>
      </c>
      <c r="R209">
        <v>0</v>
      </c>
      <c r="T209">
        <v>90</v>
      </c>
      <c r="U209">
        <v>0</v>
      </c>
      <c r="V209">
        <v>1</v>
      </c>
      <c r="W209">
        <v>37.729999999999997</v>
      </c>
      <c r="X209">
        <v>42.65</v>
      </c>
      <c r="Y209">
        <v>0</v>
      </c>
      <c r="Z209">
        <v>9.6199999999999992</v>
      </c>
      <c r="AA209">
        <v>2</v>
      </c>
      <c r="AB209">
        <v>68.84</v>
      </c>
      <c r="AC209">
        <v>0</v>
      </c>
      <c r="AD209">
        <v>0</v>
      </c>
      <c r="AE209">
        <v>0</v>
      </c>
      <c r="AF209">
        <v>0</v>
      </c>
      <c r="AG209">
        <v>0</v>
      </c>
      <c r="AH209">
        <v>0</v>
      </c>
      <c r="AI209">
        <v>0</v>
      </c>
      <c r="AJ209">
        <v>0</v>
      </c>
      <c r="AK209">
        <v>0</v>
      </c>
      <c r="AL209">
        <v>0</v>
      </c>
      <c r="AM209">
        <v>0</v>
      </c>
      <c r="AN209">
        <v>-59.22</v>
      </c>
      <c r="AP209" t="s">
        <v>261</v>
      </c>
      <c r="AQ209" t="s">
        <v>260</v>
      </c>
      <c r="AS209" t="s">
        <v>413</v>
      </c>
      <c r="AT209" t="s">
        <v>415</v>
      </c>
      <c r="AV209" t="s">
        <v>332</v>
      </c>
      <c r="AW209" t="s">
        <v>332</v>
      </c>
      <c r="AX209">
        <v>0</v>
      </c>
      <c r="AY209">
        <v>0</v>
      </c>
      <c r="AZ209" t="s">
        <v>233</v>
      </c>
      <c r="BA209" t="s">
        <v>233</v>
      </c>
      <c r="BB209" t="s">
        <v>411</v>
      </c>
      <c r="BC209">
        <v>8</v>
      </c>
      <c r="BD20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209" t="str">
        <f>IF(GetCurrentMonthAging3[[#This Row],[InsGroupPrimary]]="","YES","NO")</f>
        <v>NO</v>
      </c>
      <c r="BF20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210" spans="1:58" x14ac:dyDescent="0.25">
      <c r="A210" t="s">
        <v>100</v>
      </c>
      <c r="B210">
        <v>6</v>
      </c>
      <c r="C210" t="s">
        <v>331</v>
      </c>
      <c r="D210" s="142">
        <v>45199</v>
      </c>
      <c r="E210">
        <v>39104</v>
      </c>
      <c r="F210">
        <v>445420</v>
      </c>
      <c r="G210">
        <v>2936015</v>
      </c>
      <c r="H210" t="b">
        <v>0</v>
      </c>
      <c r="I210">
        <v>3484</v>
      </c>
      <c r="J210" t="s">
        <v>416</v>
      </c>
      <c r="K210">
        <v>90</v>
      </c>
      <c r="L210">
        <v>45</v>
      </c>
      <c r="M210">
        <v>2</v>
      </c>
      <c r="N210">
        <v>0</v>
      </c>
      <c r="O210">
        <v>0</v>
      </c>
      <c r="P210">
        <v>0</v>
      </c>
      <c r="Q210">
        <v>0</v>
      </c>
      <c r="R210">
        <v>0</v>
      </c>
      <c r="T210">
        <v>90</v>
      </c>
      <c r="U210">
        <v>0</v>
      </c>
      <c r="V210">
        <v>1</v>
      </c>
      <c r="W210">
        <v>45.28</v>
      </c>
      <c r="X210">
        <v>33.17</v>
      </c>
      <c r="Y210">
        <v>0</v>
      </c>
      <c r="Z210">
        <v>11.55</v>
      </c>
      <c r="AA210">
        <v>1</v>
      </c>
      <c r="AB210">
        <v>81</v>
      </c>
      <c r="AC210">
        <v>0</v>
      </c>
      <c r="AD210">
        <v>0</v>
      </c>
      <c r="AE210">
        <v>0</v>
      </c>
      <c r="AF210">
        <v>0</v>
      </c>
      <c r="AG210">
        <v>0</v>
      </c>
      <c r="AH210">
        <v>0</v>
      </c>
      <c r="AI210">
        <v>0</v>
      </c>
      <c r="AJ210">
        <v>0</v>
      </c>
      <c r="AK210">
        <v>0</v>
      </c>
      <c r="AL210">
        <v>0</v>
      </c>
      <c r="AM210">
        <v>0</v>
      </c>
      <c r="AN210">
        <v>-69.45</v>
      </c>
      <c r="AP210" t="s">
        <v>261</v>
      </c>
      <c r="AQ210" t="s">
        <v>260</v>
      </c>
      <c r="AS210" t="s">
        <v>413</v>
      </c>
      <c r="AT210" t="s">
        <v>415</v>
      </c>
      <c r="AV210" t="s">
        <v>332</v>
      </c>
      <c r="AW210" t="s">
        <v>332</v>
      </c>
      <c r="AX210">
        <v>0</v>
      </c>
      <c r="AY210">
        <v>0</v>
      </c>
      <c r="AZ210" t="s">
        <v>233</v>
      </c>
      <c r="BA210" t="s">
        <v>233</v>
      </c>
      <c r="BB210" t="s">
        <v>411</v>
      </c>
      <c r="BC210">
        <v>8</v>
      </c>
      <c r="BD21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210" t="str">
        <f>IF(GetCurrentMonthAging3[[#This Row],[InsGroupPrimary]]="","YES","NO")</f>
        <v>NO</v>
      </c>
      <c r="BF21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211" spans="1:58" x14ac:dyDescent="0.25">
      <c r="A211" t="s">
        <v>100</v>
      </c>
      <c r="B211">
        <v>6</v>
      </c>
      <c r="C211" t="s">
        <v>331</v>
      </c>
      <c r="D211" s="142">
        <v>45199</v>
      </c>
      <c r="E211">
        <v>38740</v>
      </c>
      <c r="F211">
        <v>448366</v>
      </c>
      <c r="G211">
        <v>2972149</v>
      </c>
      <c r="H211" t="b">
        <v>0</v>
      </c>
      <c r="I211">
        <v>3473</v>
      </c>
      <c r="J211" t="s">
        <v>432</v>
      </c>
      <c r="K211">
        <v>45</v>
      </c>
      <c r="L211">
        <v>45</v>
      </c>
      <c r="M211">
        <v>1</v>
      </c>
      <c r="N211">
        <v>0</v>
      </c>
      <c r="O211">
        <v>0</v>
      </c>
      <c r="P211">
        <v>0</v>
      </c>
      <c r="Q211">
        <v>0</v>
      </c>
      <c r="R211">
        <v>0</v>
      </c>
      <c r="T211">
        <v>45</v>
      </c>
      <c r="U211">
        <v>0</v>
      </c>
      <c r="V211">
        <v>1</v>
      </c>
      <c r="W211">
        <v>16.79</v>
      </c>
      <c r="X211">
        <v>23.93</v>
      </c>
      <c r="Y211">
        <v>0</v>
      </c>
      <c r="Z211">
        <v>4.28</v>
      </c>
      <c r="AA211">
        <v>2</v>
      </c>
      <c r="AB211">
        <v>8.56</v>
      </c>
      <c r="AC211">
        <v>0</v>
      </c>
      <c r="AD211">
        <v>0</v>
      </c>
      <c r="AE211">
        <v>0</v>
      </c>
      <c r="AF211">
        <v>0</v>
      </c>
      <c r="AG211">
        <v>0</v>
      </c>
      <c r="AH211">
        <v>0</v>
      </c>
      <c r="AI211">
        <v>0</v>
      </c>
      <c r="AJ211">
        <v>0</v>
      </c>
      <c r="AK211">
        <v>0</v>
      </c>
      <c r="AL211">
        <v>0</v>
      </c>
      <c r="AM211">
        <v>0</v>
      </c>
      <c r="AN211">
        <v>-4.28</v>
      </c>
      <c r="AP211" t="s">
        <v>261</v>
      </c>
      <c r="AQ211" t="s">
        <v>262</v>
      </c>
      <c r="AS211" t="s">
        <v>413</v>
      </c>
      <c r="AT211" t="s">
        <v>441</v>
      </c>
      <c r="AV211" t="s">
        <v>332</v>
      </c>
      <c r="AW211" t="s">
        <v>332</v>
      </c>
      <c r="AX211">
        <v>0</v>
      </c>
      <c r="AY211">
        <v>0</v>
      </c>
      <c r="AZ211" t="s">
        <v>264</v>
      </c>
      <c r="BA211" t="s">
        <v>264</v>
      </c>
      <c r="BB211" t="s">
        <v>411</v>
      </c>
      <c r="BC211">
        <v>8</v>
      </c>
      <c r="BD21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-40.44</v>
      </c>
      <c r="BE211" t="str">
        <f>IF(GetCurrentMonthAging3[[#This Row],[InsGroupPrimary]]="","YES","NO")</f>
        <v>NO</v>
      </c>
      <c r="BF21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-40.44</v>
      </c>
    </row>
    <row r="212" spans="1:58" x14ac:dyDescent="0.25">
      <c r="A212" t="s">
        <v>100</v>
      </c>
      <c r="B212">
        <v>6</v>
      </c>
      <c r="C212" t="s">
        <v>331</v>
      </c>
      <c r="D212" s="142">
        <v>45199</v>
      </c>
      <c r="E212">
        <v>38740</v>
      </c>
      <c r="F212">
        <v>448366</v>
      </c>
      <c r="G212">
        <v>2972150</v>
      </c>
      <c r="H212" t="b">
        <v>0</v>
      </c>
      <c r="I212">
        <v>3473</v>
      </c>
      <c r="J212" t="s">
        <v>416</v>
      </c>
      <c r="K212">
        <v>45</v>
      </c>
      <c r="L212">
        <v>45</v>
      </c>
      <c r="M212">
        <v>1</v>
      </c>
      <c r="N212">
        <v>0</v>
      </c>
      <c r="O212">
        <v>0</v>
      </c>
      <c r="P212">
        <v>0</v>
      </c>
      <c r="Q212">
        <v>0</v>
      </c>
      <c r="R212">
        <v>0</v>
      </c>
      <c r="T212">
        <v>45</v>
      </c>
      <c r="U212">
        <v>0</v>
      </c>
      <c r="V212">
        <v>1</v>
      </c>
      <c r="W212">
        <v>25.87</v>
      </c>
      <c r="X212">
        <v>12.53</v>
      </c>
      <c r="Y212">
        <v>0</v>
      </c>
      <c r="Z212">
        <v>6.6</v>
      </c>
      <c r="AA212">
        <v>2</v>
      </c>
      <c r="AB212">
        <v>13.2</v>
      </c>
      <c r="AC212">
        <v>0</v>
      </c>
      <c r="AD212">
        <v>0</v>
      </c>
      <c r="AE212">
        <v>0</v>
      </c>
      <c r="AF212">
        <v>0</v>
      </c>
      <c r="AG212">
        <v>0</v>
      </c>
      <c r="AH212">
        <v>0</v>
      </c>
      <c r="AI212">
        <v>0</v>
      </c>
      <c r="AJ212">
        <v>0</v>
      </c>
      <c r="AK212">
        <v>0</v>
      </c>
      <c r="AL212">
        <v>0</v>
      </c>
      <c r="AM212">
        <v>0</v>
      </c>
      <c r="AN212">
        <v>-6.6</v>
      </c>
      <c r="AP212" t="s">
        <v>261</v>
      </c>
      <c r="AQ212" t="s">
        <v>262</v>
      </c>
      <c r="AS212" t="s">
        <v>413</v>
      </c>
      <c r="AT212" t="s">
        <v>441</v>
      </c>
      <c r="AV212" t="s">
        <v>332</v>
      </c>
      <c r="AW212" t="s">
        <v>332</v>
      </c>
      <c r="AX212">
        <v>0</v>
      </c>
      <c r="AY212">
        <v>0</v>
      </c>
      <c r="AZ212" t="s">
        <v>264</v>
      </c>
      <c r="BA212" t="s">
        <v>264</v>
      </c>
      <c r="BB212" t="s">
        <v>411</v>
      </c>
      <c r="BC212">
        <v>8</v>
      </c>
      <c r="BD21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-40.44</v>
      </c>
      <c r="BE212" t="str">
        <f>IF(GetCurrentMonthAging3[[#This Row],[InsGroupPrimary]]="","YES","NO")</f>
        <v>NO</v>
      </c>
      <c r="BF21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-40.44</v>
      </c>
    </row>
    <row r="213" spans="1:58" x14ac:dyDescent="0.25">
      <c r="A213" t="s">
        <v>100</v>
      </c>
      <c r="B213">
        <v>6</v>
      </c>
      <c r="C213" t="s">
        <v>331</v>
      </c>
      <c r="D213" s="142">
        <v>45199</v>
      </c>
      <c r="E213">
        <v>38740</v>
      </c>
      <c r="F213">
        <v>449613</v>
      </c>
      <c r="G213">
        <v>2984688</v>
      </c>
      <c r="H213" t="b">
        <v>0</v>
      </c>
      <c r="I213">
        <v>3469</v>
      </c>
      <c r="J213" t="s">
        <v>416</v>
      </c>
      <c r="K213">
        <v>45</v>
      </c>
      <c r="L213">
        <v>45</v>
      </c>
      <c r="M213">
        <v>1</v>
      </c>
      <c r="N213">
        <v>0</v>
      </c>
      <c r="O213">
        <v>0</v>
      </c>
      <c r="P213">
        <v>0</v>
      </c>
      <c r="Q213">
        <v>0</v>
      </c>
      <c r="R213">
        <v>0</v>
      </c>
      <c r="T213">
        <v>45</v>
      </c>
      <c r="U213">
        <v>0</v>
      </c>
      <c r="V213">
        <v>1</v>
      </c>
      <c r="W213">
        <v>25.87</v>
      </c>
      <c r="X213">
        <v>12.53</v>
      </c>
      <c r="Y213">
        <v>0</v>
      </c>
      <c r="Z213">
        <v>6.6</v>
      </c>
      <c r="AA213">
        <v>2</v>
      </c>
      <c r="AB213">
        <v>13.2</v>
      </c>
      <c r="AC213">
        <v>0</v>
      </c>
      <c r="AD213">
        <v>0</v>
      </c>
      <c r="AE213">
        <v>0</v>
      </c>
      <c r="AF213">
        <v>0</v>
      </c>
      <c r="AG213">
        <v>0</v>
      </c>
      <c r="AH213">
        <v>0</v>
      </c>
      <c r="AI213">
        <v>0</v>
      </c>
      <c r="AJ213">
        <v>0</v>
      </c>
      <c r="AK213">
        <v>0</v>
      </c>
      <c r="AL213">
        <v>0</v>
      </c>
      <c r="AM213">
        <v>0</v>
      </c>
      <c r="AN213">
        <v>-6.6</v>
      </c>
      <c r="AP213" t="s">
        <v>261</v>
      </c>
      <c r="AQ213" t="s">
        <v>262</v>
      </c>
      <c r="AS213" t="s">
        <v>413</v>
      </c>
      <c r="AT213" t="s">
        <v>441</v>
      </c>
      <c r="AV213" t="s">
        <v>332</v>
      </c>
      <c r="AW213" t="s">
        <v>332</v>
      </c>
      <c r="AX213">
        <v>0</v>
      </c>
      <c r="AY213">
        <v>0</v>
      </c>
      <c r="AZ213" t="s">
        <v>264</v>
      </c>
      <c r="BA213" t="s">
        <v>264</v>
      </c>
      <c r="BB213" t="s">
        <v>411</v>
      </c>
      <c r="BC213">
        <v>8</v>
      </c>
      <c r="BD21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-40.44</v>
      </c>
      <c r="BE213" t="str">
        <f>IF(GetCurrentMonthAging3[[#This Row],[InsGroupPrimary]]="","YES","NO")</f>
        <v>NO</v>
      </c>
      <c r="BF21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-40.44</v>
      </c>
    </row>
    <row r="214" spans="1:58" x14ac:dyDescent="0.25">
      <c r="A214" t="s">
        <v>100</v>
      </c>
      <c r="B214">
        <v>6</v>
      </c>
      <c r="C214" t="s">
        <v>331</v>
      </c>
      <c r="D214" s="142">
        <v>45199</v>
      </c>
      <c r="E214">
        <v>38740</v>
      </c>
      <c r="F214">
        <v>449613</v>
      </c>
      <c r="G214">
        <v>2984690</v>
      </c>
      <c r="H214" t="b">
        <v>0</v>
      </c>
      <c r="I214">
        <v>3469</v>
      </c>
      <c r="J214" t="s">
        <v>412</v>
      </c>
      <c r="K214">
        <v>45</v>
      </c>
      <c r="L214">
        <v>45</v>
      </c>
      <c r="M214">
        <v>1</v>
      </c>
      <c r="N214">
        <v>0</v>
      </c>
      <c r="O214">
        <v>0</v>
      </c>
      <c r="P214">
        <v>0</v>
      </c>
      <c r="Q214">
        <v>0</v>
      </c>
      <c r="R214">
        <v>0</v>
      </c>
      <c r="T214">
        <v>45</v>
      </c>
      <c r="U214">
        <v>0</v>
      </c>
      <c r="V214">
        <v>1</v>
      </c>
      <c r="W214">
        <v>18.86</v>
      </c>
      <c r="X214">
        <v>21.33</v>
      </c>
      <c r="Y214">
        <v>0</v>
      </c>
      <c r="Z214">
        <v>4.8099999999999996</v>
      </c>
      <c r="AA214">
        <v>2</v>
      </c>
      <c r="AB214">
        <v>9.6199999999999992</v>
      </c>
      <c r="AC214">
        <v>0</v>
      </c>
      <c r="AD214">
        <v>0</v>
      </c>
      <c r="AE214">
        <v>0</v>
      </c>
      <c r="AF214">
        <v>0</v>
      </c>
      <c r="AG214">
        <v>0</v>
      </c>
      <c r="AH214">
        <v>0</v>
      </c>
      <c r="AI214">
        <v>0</v>
      </c>
      <c r="AJ214">
        <v>0</v>
      </c>
      <c r="AK214">
        <v>0</v>
      </c>
      <c r="AL214">
        <v>0</v>
      </c>
      <c r="AM214">
        <v>0</v>
      </c>
      <c r="AN214">
        <v>-4.8099999999999996</v>
      </c>
      <c r="AP214" t="s">
        <v>261</v>
      </c>
      <c r="AQ214" t="s">
        <v>262</v>
      </c>
      <c r="AS214" t="s">
        <v>413</v>
      </c>
      <c r="AT214" t="s">
        <v>441</v>
      </c>
      <c r="AV214" t="s">
        <v>332</v>
      </c>
      <c r="AW214" t="s">
        <v>332</v>
      </c>
      <c r="AX214">
        <v>0</v>
      </c>
      <c r="AY214">
        <v>0</v>
      </c>
      <c r="AZ214" t="s">
        <v>264</v>
      </c>
      <c r="BA214" t="s">
        <v>264</v>
      </c>
      <c r="BB214" t="s">
        <v>411</v>
      </c>
      <c r="BC214">
        <v>8</v>
      </c>
      <c r="BD21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-40.44</v>
      </c>
      <c r="BE214" t="str">
        <f>IF(GetCurrentMonthAging3[[#This Row],[InsGroupPrimary]]="","YES","NO")</f>
        <v>NO</v>
      </c>
      <c r="BF21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-40.44</v>
      </c>
    </row>
    <row r="215" spans="1:58" x14ac:dyDescent="0.25">
      <c r="A215" t="s">
        <v>100</v>
      </c>
      <c r="B215">
        <v>6</v>
      </c>
      <c r="C215" t="s">
        <v>331</v>
      </c>
      <c r="D215" s="142">
        <v>45199</v>
      </c>
      <c r="E215">
        <v>38740</v>
      </c>
      <c r="F215">
        <v>448366</v>
      </c>
      <c r="G215">
        <v>2972151</v>
      </c>
      <c r="H215" t="b">
        <v>0</v>
      </c>
      <c r="I215">
        <v>3473</v>
      </c>
      <c r="J215" t="s">
        <v>419</v>
      </c>
      <c r="K215">
        <v>45</v>
      </c>
      <c r="L215">
        <v>45</v>
      </c>
      <c r="M215">
        <v>1</v>
      </c>
      <c r="N215">
        <v>0</v>
      </c>
      <c r="O215">
        <v>0</v>
      </c>
      <c r="P215">
        <v>0</v>
      </c>
      <c r="Q215">
        <v>0</v>
      </c>
      <c r="R215">
        <v>0</v>
      </c>
      <c r="T215">
        <v>45</v>
      </c>
      <c r="U215">
        <v>0</v>
      </c>
      <c r="V215">
        <v>1</v>
      </c>
      <c r="W215">
        <v>17.77</v>
      </c>
      <c r="X215">
        <v>22.7</v>
      </c>
      <c r="Y215">
        <v>0</v>
      </c>
      <c r="Z215">
        <v>4.53</v>
      </c>
      <c r="AA215">
        <v>2</v>
      </c>
      <c r="AB215">
        <v>9.06</v>
      </c>
      <c r="AC215">
        <v>0</v>
      </c>
      <c r="AD215">
        <v>0</v>
      </c>
      <c r="AE215">
        <v>0</v>
      </c>
      <c r="AF215">
        <v>0</v>
      </c>
      <c r="AG215">
        <v>0</v>
      </c>
      <c r="AH215">
        <v>0</v>
      </c>
      <c r="AI215">
        <v>0</v>
      </c>
      <c r="AJ215">
        <v>0</v>
      </c>
      <c r="AK215">
        <v>0</v>
      </c>
      <c r="AL215">
        <v>0</v>
      </c>
      <c r="AM215">
        <v>0</v>
      </c>
      <c r="AN215">
        <v>-4.53</v>
      </c>
      <c r="AP215" t="s">
        <v>261</v>
      </c>
      <c r="AQ215" t="s">
        <v>262</v>
      </c>
      <c r="AS215" t="s">
        <v>413</v>
      </c>
      <c r="AT215" t="s">
        <v>441</v>
      </c>
      <c r="AV215" t="s">
        <v>332</v>
      </c>
      <c r="AW215" t="s">
        <v>332</v>
      </c>
      <c r="AX215">
        <v>0</v>
      </c>
      <c r="AY215">
        <v>0</v>
      </c>
      <c r="AZ215" t="s">
        <v>264</v>
      </c>
      <c r="BA215" t="s">
        <v>264</v>
      </c>
      <c r="BB215" t="s">
        <v>411</v>
      </c>
      <c r="BC215">
        <v>8</v>
      </c>
      <c r="BD21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-40.44</v>
      </c>
      <c r="BE215" t="str">
        <f>IF(GetCurrentMonthAging3[[#This Row],[InsGroupPrimary]]="","YES","NO")</f>
        <v>NO</v>
      </c>
      <c r="BF21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-40.44</v>
      </c>
    </row>
    <row r="216" spans="1:58" x14ac:dyDescent="0.25">
      <c r="A216" t="s">
        <v>100</v>
      </c>
      <c r="B216">
        <v>6</v>
      </c>
      <c r="C216" t="s">
        <v>331</v>
      </c>
      <c r="D216" s="142">
        <v>45199</v>
      </c>
      <c r="E216">
        <v>38740</v>
      </c>
      <c r="F216">
        <v>448366</v>
      </c>
      <c r="G216">
        <v>2972152</v>
      </c>
      <c r="H216" t="b">
        <v>0</v>
      </c>
      <c r="I216">
        <v>3473</v>
      </c>
      <c r="J216" t="s">
        <v>412</v>
      </c>
      <c r="K216">
        <v>45</v>
      </c>
      <c r="L216">
        <v>45</v>
      </c>
      <c r="M216">
        <v>1</v>
      </c>
      <c r="N216">
        <v>0</v>
      </c>
      <c r="O216">
        <v>0</v>
      </c>
      <c r="P216">
        <v>0</v>
      </c>
      <c r="Q216">
        <v>0</v>
      </c>
      <c r="R216">
        <v>0</v>
      </c>
      <c r="T216">
        <v>45</v>
      </c>
      <c r="U216">
        <v>0</v>
      </c>
      <c r="V216">
        <v>1</v>
      </c>
      <c r="W216">
        <v>18.86</v>
      </c>
      <c r="X216">
        <v>21.33</v>
      </c>
      <c r="Y216">
        <v>0</v>
      </c>
      <c r="Z216">
        <v>4.8099999999999996</v>
      </c>
      <c r="AA216">
        <v>2</v>
      </c>
      <c r="AB216">
        <v>9.6199999999999992</v>
      </c>
      <c r="AC216">
        <v>0</v>
      </c>
      <c r="AD216">
        <v>0</v>
      </c>
      <c r="AE216">
        <v>0</v>
      </c>
      <c r="AF216">
        <v>0</v>
      </c>
      <c r="AG216">
        <v>0</v>
      </c>
      <c r="AH216">
        <v>0</v>
      </c>
      <c r="AI216">
        <v>0</v>
      </c>
      <c r="AJ216">
        <v>0</v>
      </c>
      <c r="AK216">
        <v>0</v>
      </c>
      <c r="AL216">
        <v>0</v>
      </c>
      <c r="AM216">
        <v>0</v>
      </c>
      <c r="AN216">
        <v>-4.8099999999999996</v>
      </c>
      <c r="AP216" t="s">
        <v>261</v>
      </c>
      <c r="AQ216" t="s">
        <v>262</v>
      </c>
      <c r="AS216" t="s">
        <v>413</v>
      </c>
      <c r="AT216" t="s">
        <v>441</v>
      </c>
      <c r="AV216" t="s">
        <v>332</v>
      </c>
      <c r="AW216" t="s">
        <v>332</v>
      </c>
      <c r="AX216">
        <v>0</v>
      </c>
      <c r="AY216">
        <v>0</v>
      </c>
      <c r="AZ216" t="s">
        <v>264</v>
      </c>
      <c r="BA216" t="s">
        <v>264</v>
      </c>
      <c r="BB216" t="s">
        <v>411</v>
      </c>
      <c r="BC216">
        <v>8</v>
      </c>
      <c r="BD21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-40.44</v>
      </c>
      <c r="BE216" t="str">
        <f>IF(GetCurrentMonthAging3[[#This Row],[InsGroupPrimary]]="","YES","NO")</f>
        <v>NO</v>
      </c>
      <c r="BF21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-40.44</v>
      </c>
    </row>
    <row r="217" spans="1:58" x14ac:dyDescent="0.25">
      <c r="A217" t="s">
        <v>100</v>
      </c>
      <c r="B217">
        <v>6</v>
      </c>
      <c r="C217" t="s">
        <v>331</v>
      </c>
      <c r="D217" s="142">
        <v>45199</v>
      </c>
      <c r="E217">
        <v>40692</v>
      </c>
      <c r="F217">
        <v>459635</v>
      </c>
      <c r="G217">
        <v>3015956</v>
      </c>
      <c r="H217" t="b">
        <v>0</v>
      </c>
      <c r="I217">
        <v>3454</v>
      </c>
      <c r="J217" t="s">
        <v>412</v>
      </c>
      <c r="K217">
        <v>45</v>
      </c>
      <c r="L217">
        <v>45</v>
      </c>
      <c r="M217">
        <v>1</v>
      </c>
      <c r="N217">
        <v>0</v>
      </c>
      <c r="O217">
        <v>45</v>
      </c>
      <c r="P217">
        <v>45</v>
      </c>
      <c r="Q217">
        <v>0</v>
      </c>
      <c r="R217">
        <v>0</v>
      </c>
      <c r="T217">
        <v>45</v>
      </c>
      <c r="U217">
        <v>0</v>
      </c>
      <c r="V217">
        <v>0</v>
      </c>
      <c r="W217">
        <v>0</v>
      </c>
      <c r="X217">
        <v>0</v>
      </c>
      <c r="Y217">
        <v>0</v>
      </c>
      <c r="Z217">
        <v>0</v>
      </c>
      <c r="AA217">
        <v>0</v>
      </c>
      <c r="AB217">
        <v>0</v>
      </c>
      <c r="AC217">
        <v>0</v>
      </c>
      <c r="AD217">
        <v>0</v>
      </c>
      <c r="AE217">
        <v>0</v>
      </c>
      <c r="AF217">
        <v>0</v>
      </c>
      <c r="AG217">
        <v>0</v>
      </c>
      <c r="AH217">
        <v>0</v>
      </c>
      <c r="AI217">
        <v>0</v>
      </c>
      <c r="AJ217">
        <v>0</v>
      </c>
      <c r="AK217">
        <v>31.12</v>
      </c>
      <c r="AL217">
        <v>2</v>
      </c>
      <c r="AM217">
        <v>0</v>
      </c>
      <c r="AN217">
        <v>-31.12</v>
      </c>
      <c r="AP217" t="s">
        <v>259</v>
      </c>
      <c r="AS217" t="s">
        <v>420</v>
      </c>
      <c r="AV217" t="s">
        <v>259</v>
      </c>
      <c r="AW217" t="s">
        <v>420</v>
      </c>
      <c r="AX217">
        <v>0</v>
      </c>
      <c r="AY217">
        <v>0</v>
      </c>
      <c r="AZ217" t="s">
        <v>264</v>
      </c>
      <c r="BA217" t="s">
        <v>264</v>
      </c>
      <c r="BB217" t="s">
        <v>411</v>
      </c>
      <c r="BC217">
        <v>8</v>
      </c>
      <c r="BD21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-401.87</v>
      </c>
      <c r="BE217" t="str">
        <f>IF(GetCurrentMonthAging3[[#This Row],[InsGroupPrimary]]="","YES","NO")</f>
        <v>NO</v>
      </c>
      <c r="BF21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-401.87</v>
      </c>
    </row>
    <row r="218" spans="1:58" x14ac:dyDescent="0.25">
      <c r="A218" t="s">
        <v>100</v>
      </c>
      <c r="B218">
        <v>6</v>
      </c>
      <c r="C218" t="s">
        <v>331</v>
      </c>
      <c r="D218" s="142">
        <v>45199</v>
      </c>
      <c r="E218">
        <v>37262</v>
      </c>
      <c r="F218">
        <v>450984</v>
      </c>
      <c r="G218">
        <v>2984680</v>
      </c>
      <c r="H218" t="b">
        <v>0</v>
      </c>
      <c r="I218">
        <v>3469</v>
      </c>
      <c r="J218" t="s">
        <v>412</v>
      </c>
      <c r="K218">
        <v>90</v>
      </c>
      <c r="L218">
        <v>45</v>
      </c>
      <c r="M218">
        <v>2</v>
      </c>
      <c r="N218">
        <v>0</v>
      </c>
      <c r="O218">
        <v>0</v>
      </c>
      <c r="P218">
        <v>0</v>
      </c>
      <c r="Q218">
        <v>0</v>
      </c>
      <c r="R218">
        <v>0</v>
      </c>
      <c r="T218">
        <v>90</v>
      </c>
      <c r="U218">
        <v>0</v>
      </c>
      <c r="V218">
        <v>1</v>
      </c>
      <c r="W218">
        <v>43.66</v>
      </c>
      <c r="X218">
        <v>35.200000000000003</v>
      </c>
      <c r="Y218">
        <v>0</v>
      </c>
      <c r="Z218">
        <v>11.14</v>
      </c>
      <c r="AA218">
        <v>2</v>
      </c>
      <c r="AB218">
        <v>22.28</v>
      </c>
      <c r="AC218">
        <v>0</v>
      </c>
      <c r="AD218">
        <v>0</v>
      </c>
      <c r="AE218">
        <v>0</v>
      </c>
      <c r="AF218">
        <v>0</v>
      </c>
      <c r="AG218">
        <v>0</v>
      </c>
      <c r="AH218">
        <v>0</v>
      </c>
      <c r="AI218">
        <v>0</v>
      </c>
      <c r="AJ218">
        <v>0</v>
      </c>
      <c r="AK218">
        <v>0</v>
      </c>
      <c r="AL218">
        <v>0</v>
      </c>
      <c r="AM218">
        <v>0</v>
      </c>
      <c r="AN218">
        <v>-11.14</v>
      </c>
      <c r="AP218" t="s">
        <v>261</v>
      </c>
      <c r="AQ218" t="s">
        <v>262</v>
      </c>
      <c r="AS218" t="s">
        <v>413</v>
      </c>
      <c r="AT218" t="s">
        <v>441</v>
      </c>
      <c r="AV218" t="s">
        <v>332</v>
      </c>
      <c r="AW218" t="s">
        <v>332</v>
      </c>
      <c r="AX218">
        <v>0</v>
      </c>
      <c r="AY218">
        <v>0</v>
      </c>
      <c r="AZ218" t="s">
        <v>264</v>
      </c>
      <c r="BA218" t="s">
        <v>264</v>
      </c>
      <c r="BB218" t="s">
        <v>411</v>
      </c>
      <c r="BC218">
        <v>8</v>
      </c>
      <c r="BD21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-17.72</v>
      </c>
      <c r="BE218" t="str">
        <f>IF(GetCurrentMonthAging3[[#This Row],[InsGroupPrimary]]="","YES","NO")</f>
        <v>NO</v>
      </c>
      <c r="BF21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-17.72</v>
      </c>
    </row>
    <row r="219" spans="1:58" x14ac:dyDescent="0.25">
      <c r="A219" t="s">
        <v>100</v>
      </c>
      <c r="B219">
        <v>6</v>
      </c>
      <c r="C219" t="s">
        <v>331</v>
      </c>
      <c r="D219" s="142">
        <v>45199</v>
      </c>
      <c r="E219">
        <v>38740</v>
      </c>
      <c r="F219">
        <v>449613</v>
      </c>
      <c r="G219">
        <v>2984687</v>
      </c>
      <c r="H219" t="b">
        <v>0</v>
      </c>
      <c r="I219">
        <v>3469</v>
      </c>
      <c r="J219" t="s">
        <v>432</v>
      </c>
      <c r="K219">
        <v>45</v>
      </c>
      <c r="L219">
        <v>45</v>
      </c>
      <c r="M219">
        <v>1</v>
      </c>
      <c r="N219">
        <v>0</v>
      </c>
      <c r="O219">
        <v>0</v>
      </c>
      <c r="P219">
        <v>0</v>
      </c>
      <c r="Q219">
        <v>0</v>
      </c>
      <c r="R219">
        <v>0</v>
      </c>
      <c r="T219">
        <v>45</v>
      </c>
      <c r="U219">
        <v>0</v>
      </c>
      <c r="V219">
        <v>1</v>
      </c>
      <c r="W219">
        <v>16.79</v>
      </c>
      <c r="X219">
        <v>23.93</v>
      </c>
      <c r="Y219">
        <v>0</v>
      </c>
      <c r="Z219">
        <v>4.28</v>
      </c>
      <c r="AA219">
        <v>2</v>
      </c>
      <c r="AB219">
        <v>8.56</v>
      </c>
      <c r="AC219">
        <v>0</v>
      </c>
      <c r="AD219">
        <v>0</v>
      </c>
      <c r="AE219">
        <v>0</v>
      </c>
      <c r="AF219">
        <v>0</v>
      </c>
      <c r="AG219">
        <v>0</v>
      </c>
      <c r="AH219">
        <v>0</v>
      </c>
      <c r="AI219">
        <v>0</v>
      </c>
      <c r="AJ219">
        <v>0</v>
      </c>
      <c r="AK219">
        <v>0</v>
      </c>
      <c r="AL219">
        <v>0</v>
      </c>
      <c r="AM219">
        <v>0</v>
      </c>
      <c r="AN219">
        <v>-4.28</v>
      </c>
      <c r="AP219" t="s">
        <v>261</v>
      </c>
      <c r="AQ219" t="s">
        <v>262</v>
      </c>
      <c r="AS219" t="s">
        <v>413</v>
      </c>
      <c r="AT219" t="s">
        <v>441</v>
      </c>
      <c r="AV219" t="s">
        <v>332</v>
      </c>
      <c r="AW219" t="s">
        <v>332</v>
      </c>
      <c r="AX219">
        <v>0</v>
      </c>
      <c r="AY219">
        <v>0</v>
      </c>
      <c r="AZ219" t="s">
        <v>264</v>
      </c>
      <c r="BA219" t="s">
        <v>264</v>
      </c>
      <c r="BB219" t="s">
        <v>411</v>
      </c>
      <c r="BC219">
        <v>8</v>
      </c>
      <c r="BD21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-40.44</v>
      </c>
      <c r="BE219" t="str">
        <f>IF(GetCurrentMonthAging3[[#This Row],[InsGroupPrimary]]="","YES","NO")</f>
        <v>NO</v>
      </c>
      <c r="BF21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-40.44</v>
      </c>
    </row>
    <row r="220" spans="1:58" x14ac:dyDescent="0.25">
      <c r="A220" t="s">
        <v>100</v>
      </c>
      <c r="B220">
        <v>6</v>
      </c>
      <c r="C220" t="s">
        <v>331</v>
      </c>
      <c r="D220" s="142">
        <v>45199</v>
      </c>
      <c r="E220">
        <v>39104</v>
      </c>
      <c r="F220">
        <v>459779</v>
      </c>
      <c r="G220">
        <v>3022251</v>
      </c>
      <c r="H220" t="b">
        <v>0</v>
      </c>
      <c r="I220">
        <v>3452</v>
      </c>
      <c r="J220" t="s">
        <v>412</v>
      </c>
      <c r="K220">
        <v>180</v>
      </c>
      <c r="L220">
        <v>45</v>
      </c>
      <c r="M220">
        <v>4</v>
      </c>
      <c r="N220">
        <v>0</v>
      </c>
      <c r="O220">
        <v>0</v>
      </c>
      <c r="P220">
        <v>0</v>
      </c>
      <c r="Q220">
        <v>0</v>
      </c>
      <c r="R220">
        <v>0</v>
      </c>
      <c r="T220">
        <v>180</v>
      </c>
      <c r="U220">
        <v>0</v>
      </c>
      <c r="V220">
        <v>1</v>
      </c>
      <c r="W220">
        <v>75.45</v>
      </c>
      <c r="X220">
        <v>85.3</v>
      </c>
      <c r="Y220">
        <v>0</v>
      </c>
      <c r="Z220">
        <v>19.25</v>
      </c>
      <c r="AA220">
        <v>1</v>
      </c>
      <c r="AB220">
        <v>162</v>
      </c>
      <c r="AC220">
        <v>0</v>
      </c>
      <c r="AD220">
        <v>0</v>
      </c>
      <c r="AE220">
        <v>0</v>
      </c>
      <c r="AF220">
        <v>0</v>
      </c>
      <c r="AG220">
        <v>0</v>
      </c>
      <c r="AH220">
        <v>0</v>
      </c>
      <c r="AI220">
        <v>0</v>
      </c>
      <c r="AJ220">
        <v>0</v>
      </c>
      <c r="AK220">
        <v>0</v>
      </c>
      <c r="AL220">
        <v>0</v>
      </c>
      <c r="AM220">
        <v>0</v>
      </c>
      <c r="AN220">
        <v>-142.75</v>
      </c>
      <c r="AP220" t="s">
        <v>261</v>
      </c>
      <c r="AQ220" t="s">
        <v>260</v>
      </c>
      <c r="AS220" t="s">
        <v>413</v>
      </c>
      <c r="AT220" t="s">
        <v>415</v>
      </c>
      <c r="AV220" t="s">
        <v>332</v>
      </c>
      <c r="AW220" t="s">
        <v>332</v>
      </c>
      <c r="AX220">
        <v>0</v>
      </c>
      <c r="AY220">
        <v>0</v>
      </c>
      <c r="AZ220" t="s">
        <v>233</v>
      </c>
      <c r="BA220" t="s">
        <v>233</v>
      </c>
      <c r="BB220" t="s">
        <v>411</v>
      </c>
      <c r="BC220">
        <v>8</v>
      </c>
      <c r="BD22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-1150.68</v>
      </c>
      <c r="BE220" t="str">
        <f>IF(GetCurrentMonthAging3[[#This Row],[InsGroupPrimary]]="","YES","NO")</f>
        <v>NO</v>
      </c>
      <c r="BF22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-1150.68</v>
      </c>
    </row>
    <row r="221" spans="1:58" x14ac:dyDescent="0.25">
      <c r="A221" t="s">
        <v>100</v>
      </c>
      <c r="B221">
        <v>6</v>
      </c>
      <c r="C221" t="s">
        <v>331</v>
      </c>
      <c r="D221" s="142">
        <v>45199</v>
      </c>
      <c r="E221">
        <v>70966</v>
      </c>
      <c r="F221">
        <v>862106</v>
      </c>
      <c r="G221">
        <v>4605175</v>
      </c>
      <c r="H221" t="b">
        <v>0</v>
      </c>
      <c r="I221">
        <v>3084</v>
      </c>
      <c r="J221" t="s">
        <v>412</v>
      </c>
      <c r="K221">
        <v>90</v>
      </c>
      <c r="L221">
        <v>45</v>
      </c>
      <c r="M221">
        <v>2</v>
      </c>
      <c r="N221">
        <v>0</v>
      </c>
      <c r="O221">
        <v>0</v>
      </c>
      <c r="P221">
        <v>0</v>
      </c>
      <c r="Q221">
        <v>0</v>
      </c>
      <c r="R221">
        <v>0</v>
      </c>
      <c r="T221">
        <v>90</v>
      </c>
      <c r="U221">
        <v>0</v>
      </c>
      <c r="V221">
        <v>3</v>
      </c>
      <c r="W221">
        <v>55.04</v>
      </c>
      <c r="X221">
        <v>34.96</v>
      </c>
      <c r="Y221">
        <v>0</v>
      </c>
      <c r="Z221">
        <v>0</v>
      </c>
      <c r="AA221">
        <v>0</v>
      </c>
      <c r="AB221">
        <v>0</v>
      </c>
      <c r="AC221">
        <v>0</v>
      </c>
      <c r="AD221">
        <v>0</v>
      </c>
      <c r="AE221">
        <v>0</v>
      </c>
      <c r="AF221">
        <v>0</v>
      </c>
      <c r="AG221">
        <v>0</v>
      </c>
      <c r="AH221">
        <v>0</v>
      </c>
      <c r="AI221">
        <v>0</v>
      </c>
      <c r="AJ221">
        <v>0</v>
      </c>
      <c r="AK221">
        <v>20</v>
      </c>
      <c r="AL221">
        <v>1</v>
      </c>
      <c r="AM221">
        <v>0</v>
      </c>
      <c r="AN221">
        <v>-20</v>
      </c>
      <c r="AP221" t="s">
        <v>259</v>
      </c>
      <c r="AS221" t="s">
        <v>426</v>
      </c>
      <c r="AV221" t="s">
        <v>259</v>
      </c>
      <c r="AW221" t="s">
        <v>426</v>
      </c>
      <c r="AX221">
        <v>0</v>
      </c>
      <c r="AY221">
        <v>0</v>
      </c>
      <c r="AZ221" t="s">
        <v>233</v>
      </c>
      <c r="BA221" t="s">
        <v>233</v>
      </c>
      <c r="BB221" t="s">
        <v>411</v>
      </c>
      <c r="BC221">
        <v>8</v>
      </c>
      <c r="BD22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-100</v>
      </c>
      <c r="BE221" t="str">
        <f>IF(GetCurrentMonthAging3[[#This Row],[InsGroupPrimary]]="","YES","NO")</f>
        <v>NO</v>
      </c>
      <c r="BF22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-100</v>
      </c>
    </row>
    <row r="222" spans="1:58" x14ac:dyDescent="0.25">
      <c r="A222" t="s">
        <v>100</v>
      </c>
      <c r="B222">
        <v>6</v>
      </c>
      <c r="C222" t="s">
        <v>331</v>
      </c>
      <c r="D222" s="142">
        <v>45199</v>
      </c>
      <c r="E222">
        <v>45930</v>
      </c>
      <c r="F222">
        <v>520920</v>
      </c>
      <c r="G222">
        <v>3293312</v>
      </c>
      <c r="H222" t="b">
        <v>0</v>
      </c>
      <c r="I222">
        <v>3348</v>
      </c>
      <c r="J222" t="s">
        <v>419</v>
      </c>
      <c r="K222">
        <v>45</v>
      </c>
      <c r="L222">
        <v>45</v>
      </c>
      <c r="M222">
        <v>1</v>
      </c>
      <c r="N222">
        <v>0</v>
      </c>
      <c r="O222">
        <v>0</v>
      </c>
      <c r="P222">
        <v>0</v>
      </c>
      <c r="Q222">
        <v>0</v>
      </c>
      <c r="R222">
        <v>0</v>
      </c>
      <c r="T222">
        <v>45</v>
      </c>
      <c r="U222">
        <v>0</v>
      </c>
      <c r="V222">
        <v>0</v>
      </c>
      <c r="W222">
        <v>0</v>
      </c>
      <c r="X222">
        <v>35</v>
      </c>
      <c r="Y222">
        <v>0</v>
      </c>
      <c r="Z222">
        <v>10</v>
      </c>
      <c r="AA222">
        <v>1</v>
      </c>
      <c r="AB222">
        <v>17.77</v>
      </c>
      <c r="AC222">
        <v>0</v>
      </c>
      <c r="AD222">
        <v>0</v>
      </c>
      <c r="AE222">
        <v>0</v>
      </c>
      <c r="AF222">
        <v>0</v>
      </c>
      <c r="AG222">
        <v>0</v>
      </c>
      <c r="AH222">
        <v>0</v>
      </c>
      <c r="AI222">
        <v>0</v>
      </c>
      <c r="AJ222">
        <v>0</v>
      </c>
      <c r="AK222">
        <v>0</v>
      </c>
      <c r="AL222">
        <v>0</v>
      </c>
      <c r="AM222">
        <v>0</v>
      </c>
      <c r="AN222">
        <v>-7.77</v>
      </c>
      <c r="AP222" t="s">
        <v>260</v>
      </c>
      <c r="AQ222" t="s">
        <v>261</v>
      </c>
      <c r="AR222" t="s">
        <v>262</v>
      </c>
      <c r="AS222" t="s">
        <v>423</v>
      </c>
      <c r="AT222" t="s">
        <v>413</v>
      </c>
      <c r="AU222" t="s">
        <v>424</v>
      </c>
      <c r="AV222" t="s">
        <v>260</v>
      </c>
      <c r="AW222" t="s">
        <v>423</v>
      </c>
      <c r="AX222">
        <v>0</v>
      </c>
      <c r="AY222">
        <v>0</v>
      </c>
      <c r="AZ222" t="s">
        <v>233</v>
      </c>
      <c r="BA222" t="s">
        <v>233</v>
      </c>
      <c r="BB222" t="s">
        <v>411</v>
      </c>
      <c r="BC222">
        <v>8</v>
      </c>
      <c r="BD22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-15.670000000000002</v>
      </c>
      <c r="BE222" t="str">
        <f>IF(GetCurrentMonthAging3[[#This Row],[InsGroupPrimary]]="","YES","NO")</f>
        <v>NO</v>
      </c>
      <c r="BF22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-15.670000000000002</v>
      </c>
    </row>
    <row r="223" spans="1:58" x14ac:dyDescent="0.25">
      <c r="A223" t="s">
        <v>100</v>
      </c>
      <c r="B223">
        <v>6</v>
      </c>
      <c r="C223" t="s">
        <v>331</v>
      </c>
      <c r="D223" s="142">
        <v>45199</v>
      </c>
      <c r="E223">
        <v>45930</v>
      </c>
      <c r="F223">
        <v>520920</v>
      </c>
      <c r="G223">
        <v>3293310</v>
      </c>
      <c r="H223" t="b">
        <v>0</v>
      </c>
      <c r="I223">
        <v>3348</v>
      </c>
      <c r="J223" t="s">
        <v>422</v>
      </c>
      <c r="K223">
        <v>90</v>
      </c>
      <c r="L223">
        <v>90</v>
      </c>
      <c r="M223">
        <v>1</v>
      </c>
      <c r="N223">
        <v>0</v>
      </c>
      <c r="O223">
        <v>0</v>
      </c>
      <c r="P223">
        <v>0</v>
      </c>
      <c r="Q223">
        <v>0</v>
      </c>
      <c r="R223">
        <v>0</v>
      </c>
      <c r="T223">
        <v>90</v>
      </c>
      <c r="U223">
        <v>0</v>
      </c>
      <c r="V223">
        <v>0</v>
      </c>
      <c r="W223">
        <v>0</v>
      </c>
      <c r="X223">
        <v>70</v>
      </c>
      <c r="Y223">
        <v>0</v>
      </c>
      <c r="Z223">
        <v>20</v>
      </c>
      <c r="AA223">
        <v>1</v>
      </c>
      <c r="AB223">
        <v>18.5</v>
      </c>
      <c r="AC223">
        <v>0</v>
      </c>
      <c r="AD223">
        <v>0</v>
      </c>
      <c r="AE223">
        <v>1.5</v>
      </c>
      <c r="AF223">
        <v>0</v>
      </c>
      <c r="AG223">
        <v>0</v>
      </c>
      <c r="AH223">
        <v>0</v>
      </c>
      <c r="AI223">
        <v>0</v>
      </c>
      <c r="AJ223">
        <v>0</v>
      </c>
      <c r="AK223">
        <v>0</v>
      </c>
      <c r="AL223">
        <v>0</v>
      </c>
      <c r="AM223">
        <v>0</v>
      </c>
      <c r="AN223">
        <v>1.5</v>
      </c>
      <c r="AP223" t="s">
        <v>260</v>
      </c>
      <c r="AQ223" t="s">
        <v>261</v>
      </c>
      <c r="AR223" t="s">
        <v>262</v>
      </c>
      <c r="AS223" t="s">
        <v>423</v>
      </c>
      <c r="AT223" t="s">
        <v>413</v>
      </c>
      <c r="AU223" t="s">
        <v>424</v>
      </c>
      <c r="AV223" t="s">
        <v>260</v>
      </c>
      <c r="AW223" t="s">
        <v>423</v>
      </c>
      <c r="AX223">
        <v>0</v>
      </c>
      <c r="AY223">
        <v>0</v>
      </c>
      <c r="AZ223" t="s">
        <v>233</v>
      </c>
      <c r="BA223" t="s">
        <v>233</v>
      </c>
      <c r="BB223" t="s">
        <v>411</v>
      </c>
      <c r="BC223">
        <v>8</v>
      </c>
      <c r="BD22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-15.670000000000002</v>
      </c>
      <c r="BE223" t="str">
        <f>IF(GetCurrentMonthAging3[[#This Row],[InsGroupPrimary]]="","YES","NO")</f>
        <v>NO</v>
      </c>
      <c r="BF22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-15.670000000000002</v>
      </c>
    </row>
    <row r="224" spans="1:58" x14ac:dyDescent="0.25">
      <c r="A224" t="s">
        <v>100</v>
      </c>
      <c r="B224">
        <v>6</v>
      </c>
      <c r="C224" t="s">
        <v>331</v>
      </c>
      <c r="D224" s="142">
        <v>45199</v>
      </c>
      <c r="E224">
        <v>15998</v>
      </c>
      <c r="F224">
        <v>178599</v>
      </c>
      <c r="G224">
        <v>866021</v>
      </c>
      <c r="H224" t="b">
        <v>0</v>
      </c>
      <c r="I224">
        <v>4062</v>
      </c>
      <c r="J224" t="s">
        <v>412</v>
      </c>
      <c r="K224">
        <v>90</v>
      </c>
      <c r="L224">
        <v>45</v>
      </c>
      <c r="M224">
        <v>2</v>
      </c>
      <c r="N224">
        <v>0</v>
      </c>
      <c r="O224">
        <v>0</v>
      </c>
      <c r="P224">
        <v>0</v>
      </c>
      <c r="Q224">
        <v>0</v>
      </c>
      <c r="R224">
        <v>0</v>
      </c>
      <c r="T224">
        <v>90</v>
      </c>
      <c r="U224">
        <v>0</v>
      </c>
      <c r="V224">
        <v>1</v>
      </c>
      <c r="W224">
        <v>45.88</v>
      </c>
      <c r="X224">
        <v>32.65</v>
      </c>
      <c r="Y224">
        <v>0</v>
      </c>
      <c r="Z224">
        <v>11.47</v>
      </c>
      <c r="AA224">
        <v>1</v>
      </c>
      <c r="AB224">
        <v>16.57</v>
      </c>
      <c r="AC224">
        <v>0</v>
      </c>
      <c r="AD224">
        <v>0</v>
      </c>
      <c r="AE224">
        <v>0</v>
      </c>
      <c r="AF224">
        <v>0</v>
      </c>
      <c r="AG224">
        <v>0</v>
      </c>
      <c r="AH224">
        <v>0</v>
      </c>
      <c r="AI224">
        <v>0</v>
      </c>
      <c r="AJ224">
        <v>0</v>
      </c>
      <c r="AK224">
        <v>0</v>
      </c>
      <c r="AL224">
        <v>0</v>
      </c>
      <c r="AM224">
        <v>0</v>
      </c>
      <c r="AN224">
        <v>-5.0999999999999996</v>
      </c>
      <c r="AP224" t="s">
        <v>261</v>
      </c>
      <c r="AQ224" t="s">
        <v>260</v>
      </c>
      <c r="AS224" t="s">
        <v>413</v>
      </c>
      <c r="AT224" t="s">
        <v>414</v>
      </c>
      <c r="AV224" t="s">
        <v>332</v>
      </c>
      <c r="AW224" t="s">
        <v>332</v>
      </c>
      <c r="AX224">
        <v>0</v>
      </c>
      <c r="AY224">
        <v>0</v>
      </c>
      <c r="AZ224" t="s">
        <v>264</v>
      </c>
      <c r="BA224" t="s">
        <v>264</v>
      </c>
      <c r="BB224" t="s">
        <v>411</v>
      </c>
      <c r="BC224">
        <v>8</v>
      </c>
      <c r="BD22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24" t="str">
        <f>IF(GetCurrentMonthAging3[[#This Row],[InsGroupPrimary]]="","YES","NO")</f>
        <v>NO</v>
      </c>
      <c r="BF22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225" spans="1:58" x14ac:dyDescent="0.25">
      <c r="A225" t="s">
        <v>100</v>
      </c>
      <c r="B225">
        <v>6</v>
      </c>
      <c r="C225" t="s">
        <v>331</v>
      </c>
      <c r="D225" s="142">
        <v>45199</v>
      </c>
      <c r="E225">
        <v>15998</v>
      </c>
      <c r="F225">
        <v>178599</v>
      </c>
      <c r="G225">
        <v>866023</v>
      </c>
      <c r="H225" t="b">
        <v>0</v>
      </c>
      <c r="I225">
        <v>4062</v>
      </c>
      <c r="J225" t="s">
        <v>419</v>
      </c>
      <c r="K225">
        <v>45</v>
      </c>
      <c r="L225">
        <v>45</v>
      </c>
      <c r="M225">
        <v>1</v>
      </c>
      <c r="N225">
        <v>0</v>
      </c>
      <c r="O225">
        <v>0</v>
      </c>
      <c r="P225">
        <v>0</v>
      </c>
      <c r="Q225">
        <v>0</v>
      </c>
      <c r="R225">
        <v>0</v>
      </c>
      <c r="T225">
        <v>45</v>
      </c>
      <c r="U225">
        <v>0</v>
      </c>
      <c r="V225">
        <v>1</v>
      </c>
      <c r="W225">
        <v>20.399999999999999</v>
      </c>
      <c r="X225">
        <v>19.5</v>
      </c>
      <c r="Y225">
        <v>0</v>
      </c>
      <c r="Z225">
        <v>5.0999999999999996</v>
      </c>
      <c r="AA225">
        <v>1</v>
      </c>
      <c r="AB225">
        <v>0</v>
      </c>
      <c r="AC225">
        <v>0</v>
      </c>
      <c r="AD225">
        <v>0</v>
      </c>
      <c r="AE225">
        <v>0</v>
      </c>
      <c r="AF225">
        <v>0</v>
      </c>
      <c r="AG225">
        <v>0</v>
      </c>
      <c r="AH225">
        <v>0</v>
      </c>
      <c r="AI225">
        <v>0</v>
      </c>
      <c r="AJ225">
        <v>0</v>
      </c>
      <c r="AK225">
        <v>0</v>
      </c>
      <c r="AL225">
        <v>0</v>
      </c>
      <c r="AM225">
        <v>0</v>
      </c>
      <c r="AN225">
        <v>5.0999999999999996</v>
      </c>
      <c r="AP225" t="s">
        <v>261</v>
      </c>
      <c r="AQ225" t="s">
        <v>260</v>
      </c>
      <c r="AS225" t="s">
        <v>413</v>
      </c>
      <c r="AT225" t="s">
        <v>414</v>
      </c>
      <c r="AV225" t="s">
        <v>332</v>
      </c>
      <c r="AW225" t="s">
        <v>332</v>
      </c>
      <c r="AX225">
        <v>0</v>
      </c>
      <c r="AY225">
        <v>0</v>
      </c>
      <c r="AZ225" t="s">
        <v>264</v>
      </c>
      <c r="BA225" t="s">
        <v>264</v>
      </c>
      <c r="BB225" t="s">
        <v>411</v>
      </c>
      <c r="BC225">
        <v>8</v>
      </c>
      <c r="BD22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25" t="str">
        <f>IF(GetCurrentMonthAging3[[#This Row],[InsGroupPrimary]]="","YES","NO")</f>
        <v>NO</v>
      </c>
      <c r="BF22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226" spans="1:58" x14ac:dyDescent="0.25">
      <c r="A226" t="s">
        <v>100</v>
      </c>
      <c r="B226">
        <v>6</v>
      </c>
      <c r="C226" t="s">
        <v>331</v>
      </c>
      <c r="D226" s="142">
        <v>45199</v>
      </c>
      <c r="E226">
        <v>164909</v>
      </c>
      <c r="F226">
        <v>2348004</v>
      </c>
      <c r="G226">
        <v>11070431</v>
      </c>
      <c r="H226" t="b">
        <v>0</v>
      </c>
      <c r="I226">
        <v>2433</v>
      </c>
      <c r="J226" t="s">
        <v>412</v>
      </c>
      <c r="K226">
        <v>135</v>
      </c>
      <c r="L226">
        <v>45</v>
      </c>
      <c r="M226">
        <v>3</v>
      </c>
      <c r="N226">
        <v>0</v>
      </c>
      <c r="O226">
        <v>0</v>
      </c>
      <c r="P226">
        <v>0</v>
      </c>
      <c r="Q226">
        <v>0</v>
      </c>
      <c r="R226">
        <v>0</v>
      </c>
      <c r="T226">
        <v>135</v>
      </c>
      <c r="U226">
        <v>0</v>
      </c>
      <c r="V226">
        <v>0</v>
      </c>
      <c r="W226">
        <v>0</v>
      </c>
      <c r="X226">
        <v>85.74</v>
      </c>
      <c r="Y226">
        <v>0</v>
      </c>
      <c r="Z226">
        <v>49.26</v>
      </c>
      <c r="AA226">
        <v>1</v>
      </c>
      <c r="AB226">
        <v>63.96</v>
      </c>
      <c r="AC226">
        <v>0</v>
      </c>
      <c r="AD226">
        <v>0</v>
      </c>
      <c r="AE226">
        <v>0</v>
      </c>
      <c r="AF226">
        <v>0</v>
      </c>
      <c r="AG226">
        <v>0</v>
      </c>
      <c r="AH226">
        <v>0</v>
      </c>
      <c r="AI226">
        <v>0</v>
      </c>
      <c r="AJ226">
        <v>0</v>
      </c>
      <c r="AK226">
        <v>0</v>
      </c>
      <c r="AL226">
        <v>0</v>
      </c>
      <c r="AM226">
        <v>0</v>
      </c>
      <c r="AN226">
        <v>-14.7</v>
      </c>
      <c r="AP226" t="s">
        <v>260</v>
      </c>
      <c r="AQ226" t="s">
        <v>261</v>
      </c>
      <c r="AS226" t="s">
        <v>418</v>
      </c>
      <c r="AT226" t="s">
        <v>413</v>
      </c>
      <c r="AV226" t="s">
        <v>260</v>
      </c>
      <c r="AW226" t="s">
        <v>418</v>
      </c>
      <c r="AX226">
        <v>0</v>
      </c>
      <c r="AY226">
        <v>0</v>
      </c>
      <c r="AZ226" t="s">
        <v>233</v>
      </c>
      <c r="BA226" t="s">
        <v>233</v>
      </c>
      <c r="BB226" t="s">
        <v>411</v>
      </c>
      <c r="BC226">
        <v>8</v>
      </c>
      <c r="BD22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-14.7</v>
      </c>
      <c r="BE226" t="str">
        <f>IF(GetCurrentMonthAging3[[#This Row],[InsGroupPrimary]]="","YES","NO")</f>
        <v>NO</v>
      </c>
      <c r="BF22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-14.7</v>
      </c>
    </row>
    <row r="227" spans="1:58" x14ac:dyDescent="0.25">
      <c r="A227" t="s">
        <v>100</v>
      </c>
      <c r="B227">
        <v>6</v>
      </c>
      <c r="C227" t="s">
        <v>331</v>
      </c>
      <c r="D227" s="142">
        <v>45199</v>
      </c>
      <c r="E227">
        <v>112868</v>
      </c>
      <c r="F227">
        <v>1579956</v>
      </c>
      <c r="G227">
        <v>7856611</v>
      </c>
      <c r="H227" t="b">
        <v>0</v>
      </c>
      <c r="I227">
        <v>2732</v>
      </c>
      <c r="J227" t="s">
        <v>412</v>
      </c>
      <c r="K227">
        <v>90</v>
      </c>
      <c r="L227">
        <v>45</v>
      </c>
      <c r="M227">
        <v>2</v>
      </c>
      <c r="N227">
        <v>0</v>
      </c>
      <c r="O227">
        <v>0</v>
      </c>
      <c r="P227">
        <v>0</v>
      </c>
      <c r="Q227">
        <v>0</v>
      </c>
      <c r="R227">
        <v>0</v>
      </c>
      <c r="T227">
        <v>90</v>
      </c>
      <c r="U227">
        <v>0</v>
      </c>
      <c r="V227">
        <v>2</v>
      </c>
      <c r="W227">
        <v>150</v>
      </c>
      <c r="X227">
        <v>15</v>
      </c>
      <c r="Y227">
        <v>0</v>
      </c>
      <c r="Z227">
        <v>0</v>
      </c>
      <c r="AA227">
        <v>0</v>
      </c>
      <c r="AB227">
        <v>0</v>
      </c>
      <c r="AC227">
        <v>0</v>
      </c>
      <c r="AD227">
        <v>0</v>
      </c>
      <c r="AE227">
        <v>0</v>
      </c>
      <c r="AF227">
        <v>0</v>
      </c>
      <c r="AG227">
        <v>0</v>
      </c>
      <c r="AH227">
        <v>0</v>
      </c>
      <c r="AI227">
        <v>0</v>
      </c>
      <c r="AJ227">
        <v>0</v>
      </c>
      <c r="AK227">
        <v>0</v>
      </c>
      <c r="AL227">
        <v>0</v>
      </c>
      <c r="AM227">
        <v>0</v>
      </c>
      <c r="AN227">
        <v>-75</v>
      </c>
      <c r="AP227" t="s">
        <v>263</v>
      </c>
      <c r="AS227" t="s">
        <v>430</v>
      </c>
      <c r="AV227" t="s">
        <v>263</v>
      </c>
      <c r="AW227" t="s">
        <v>430</v>
      </c>
      <c r="AX227">
        <v>0</v>
      </c>
      <c r="AY227">
        <v>0</v>
      </c>
      <c r="AZ227" t="s">
        <v>264</v>
      </c>
      <c r="BA227" t="s">
        <v>264</v>
      </c>
      <c r="BB227" t="s">
        <v>411</v>
      </c>
      <c r="BC227">
        <v>8</v>
      </c>
      <c r="BD22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-400</v>
      </c>
      <c r="BE227" t="str">
        <f>IF(GetCurrentMonthAging3[[#This Row],[InsGroupPrimary]]="","YES","NO")</f>
        <v>NO</v>
      </c>
      <c r="BF22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-400</v>
      </c>
    </row>
    <row r="228" spans="1:58" x14ac:dyDescent="0.25">
      <c r="A228" t="s">
        <v>100</v>
      </c>
      <c r="B228">
        <v>6</v>
      </c>
      <c r="C228" t="s">
        <v>331</v>
      </c>
      <c r="D228" s="142">
        <v>45199</v>
      </c>
      <c r="E228">
        <v>111708</v>
      </c>
      <c r="F228">
        <v>1577939</v>
      </c>
      <c r="G228">
        <v>7864903</v>
      </c>
      <c r="H228" t="b">
        <v>0</v>
      </c>
      <c r="I228">
        <v>2731</v>
      </c>
      <c r="J228" t="s">
        <v>412</v>
      </c>
      <c r="K228">
        <v>135</v>
      </c>
      <c r="L228">
        <v>45</v>
      </c>
      <c r="M228">
        <v>3</v>
      </c>
      <c r="N228">
        <v>0</v>
      </c>
      <c r="O228">
        <v>0</v>
      </c>
      <c r="P228">
        <v>0</v>
      </c>
      <c r="Q228">
        <v>0</v>
      </c>
      <c r="R228">
        <v>0</v>
      </c>
      <c r="T228">
        <v>135</v>
      </c>
      <c r="U228">
        <v>0</v>
      </c>
      <c r="V228">
        <v>2</v>
      </c>
      <c r="W228">
        <v>150</v>
      </c>
      <c r="X228">
        <v>60</v>
      </c>
      <c r="Y228">
        <v>0</v>
      </c>
      <c r="Z228">
        <v>0</v>
      </c>
      <c r="AA228">
        <v>0</v>
      </c>
      <c r="AB228">
        <v>0</v>
      </c>
      <c r="AC228">
        <v>0</v>
      </c>
      <c r="AD228">
        <v>0</v>
      </c>
      <c r="AE228">
        <v>0</v>
      </c>
      <c r="AF228">
        <v>0</v>
      </c>
      <c r="AG228">
        <v>0</v>
      </c>
      <c r="AH228">
        <v>0</v>
      </c>
      <c r="AI228">
        <v>0</v>
      </c>
      <c r="AJ228">
        <v>0</v>
      </c>
      <c r="AK228">
        <v>0</v>
      </c>
      <c r="AL228">
        <v>0</v>
      </c>
      <c r="AM228">
        <v>0</v>
      </c>
      <c r="AN228">
        <v>-75</v>
      </c>
      <c r="AP228" t="s">
        <v>263</v>
      </c>
      <c r="AS228" t="s">
        <v>431</v>
      </c>
      <c r="AV228" t="s">
        <v>263</v>
      </c>
      <c r="AW228" t="s">
        <v>431</v>
      </c>
      <c r="AX228">
        <v>0</v>
      </c>
      <c r="AY228">
        <v>0</v>
      </c>
      <c r="AZ228" t="s">
        <v>233</v>
      </c>
      <c r="BA228" t="s">
        <v>233</v>
      </c>
      <c r="BB228" t="s">
        <v>411</v>
      </c>
      <c r="BC228">
        <v>8</v>
      </c>
      <c r="BD22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-439.63</v>
      </c>
      <c r="BE228" t="str">
        <f>IF(GetCurrentMonthAging3[[#This Row],[InsGroupPrimary]]="","YES","NO")</f>
        <v>NO</v>
      </c>
      <c r="BF22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-439.63</v>
      </c>
    </row>
    <row r="229" spans="1:58" x14ac:dyDescent="0.25">
      <c r="A229" t="s">
        <v>100</v>
      </c>
      <c r="B229">
        <v>6</v>
      </c>
      <c r="C229" t="s">
        <v>331</v>
      </c>
      <c r="D229" s="142">
        <v>45199</v>
      </c>
      <c r="E229">
        <v>111708</v>
      </c>
      <c r="F229">
        <v>1623045</v>
      </c>
      <c r="G229">
        <v>8027696</v>
      </c>
      <c r="H229" t="b">
        <v>0</v>
      </c>
      <c r="I229">
        <v>2717</v>
      </c>
      <c r="J229" t="s">
        <v>412</v>
      </c>
      <c r="K229">
        <v>135</v>
      </c>
      <c r="L229">
        <v>45</v>
      </c>
      <c r="M229">
        <v>3</v>
      </c>
      <c r="N229">
        <v>0</v>
      </c>
      <c r="O229">
        <v>0</v>
      </c>
      <c r="P229">
        <v>0</v>
      </c>
      <c r="Q229">
        <v>0</v>
      </c>
      <c r="R229">
        <v>0</v>
      </c>
      <c r="T229">
        <v>135</v>
      </c>
      <c r="U229">
        <v>0</v>
      </c>
      <c r="V229">
        <v>2</v>
      </c>
      <c r="W229">
        <v>149.99</v>
      </c>
      <c r="X229">
        <v>60</v>
      </c>
      <c r="Y229">
        <v>0</v>
      </c>
      <c r="Z229">
        <v>0</v>
      </c>
      <c r="AA229">
        <v>0</v>
      </c>
      <c r="AB229">
        <v>0</v>
      </c>
      <c r="AC229">
        <v>0</v>
      </c>
      <c r="AD229">
        <v>0</v>
      </c>
      <c r="AE229">
        <v>0</v>
      </c>
      <c r="AF229">
        <v>0</v>
      </c>
      <c r="AG229">
        <v>0</v>
      </c>
      <c r="AH229">
        <v>0</v>
      </c>
      <c r="AI229">
        <v>0</v>
      </c>
      <c r="AJ229">
        <v>0</v>
      </c>
      <c r="AK229">
        <v>0</v>
      </c>
      <c r="AL229">
        <v>0</v>
      </c>
      <c r="AM229">
        <v>0</v>
      </c>
      <c r="AN229">
        <v>-74.989999999999995</v>
      </c>
      <c r="AP229" t="s">
        <v>263</v>
      </c>
      <c r="AS229" t="s">
        <v>431</v>
      </c>
      <c r="AV229" t="s">
        <v>263</v>
      </c>
      <c r="AW229" t="s">
        <v>431</v>
      </c>
      <c r="AX229">
        <v>0</v>
      </c>
      <c r="AY229">
        <v>0</v>
      </c>
      <c r="AZ229" t="s">
        <v>233</v>
      </c>
      <c r="BA229" t="s">
        <v>233</v>
      </c>
      <c r="BB229" t="s">
        <v>411</v>
      </c>
      <c r="BC229">
        <v>8</v>
      </c>
      <c r="BD22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-439.63</v>
      </c>
      <c r="BE229" t="str">
        <f>IF(GetCurrentMonthAging3[[#This Row],[InsGroupPrimary]]="","YES","NO")</f>
        <v>NO</v>
      </c>
      <c r="BF22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-439.63</v>
      </c>
    </row>
    <row r="230" spans="1:58" x14ac:dyDescent="0.25">
      <c r="A230" t="s">
        <v>100</v>
      </c>
      <c r="B230">
        <v>6</v>
      </c>
      <c r="C230" t="s">
        <v>331</v>
      </c>
      <c r="D230" s="142">
        <v>45199</v>
      </c>
      <c r="E230">
        <v>150117</v>
      </c>
      <c r="F230">
        <v>2036416</v>
      </c>
      <c r="G230">
        <v>9894406</v>
      </c>
      <c r="H230" t="b">
        <v>0</v>
      </c>
      <c r="I230">
        <v>2544</v>
      </c>
      <c r="J230" t="s">
        <v>412</v>
      </c>
      <c r="K230">
        <v>90</v>
      </c>
      <c r="L230">
        <v>45</v>
      </c>
      <c r="M230">
        <v>2</v>
      </c>
      <c r="N230">
        <v>0</v>
      </c>
      <c r="O230">
        <v>11.25</v>
      </c>
      <c r="P230">
        <v>11.25</v>
      </c>
      <c r="Q230">
        <v>0</v>
      </c>
      <c r="R230">
        <v>0</v>
      </c>
      <c r="T230">
        <v>90</v>
      </c>
      <c r="U230">
        <v>0</v>
      </c>
      <c r="V230">
        <v>1</v>
      </c>
      <c r="W230">
        <v>44.11</v>
      </c>
      <c r="X230">
        <v>34.64</v>
      </c>
      <c r="Y230">
        <v>0</v>
      </c>
      <c r="Z230">
        <v>0</v>
      </c>
      <c r="AA230">
        <v>0</v>
      </c>
      <c r="AB230">
        <v>0</v>
      </c>
      <c r="AC230">
        <v>0</v>
      </c>
      <c r="AD230">
        <v>0</v>
      </c>
      <c r="AE230">
        <v>0</v>
      </c>
      <c r="AF230">
        <v>0</v>
      </c>
      <c r="AG230">
        <v>0</v>
      </c>
      <c r="AH230">
        <v>0</v>
      </c>
      <c r="AI230">
        <v>0</v>
      </c>
      <c r="AJ230">
        <v>0</v>
      </c>
      <c r="AK230">
        <v>11.25</v>
      </c>
      <c r="AL230">
        <v>1</v>
      </c>
      <c r="AM230">
        <v>0</v>
      </c>
      <c r="AN230">
        <v>-11.25</v>
      </c>
      <c r="AP230" t="s">
        <v>261</v>
      </c>
      <c r="AS230" t="s">
        <v>413</v>
      </c>
      <c r="AV230" t="s">
        <v>261</v>
      </c>
      <c r="AW230" t="s">
        <v>413</v>
      </c>
      <c r="AX230">
        <v>0</v>
      </c>
      <c r="AY230">
        <v>0</v>
      </c>
      <c r="AZ230" t="s">
        <v>233</v>
      </c>
      <c r="BA230" t="s">
        <v>233</v>
      </c>
      <c r="BB230" t="s">
        <v>411</v>
      </c>
      <c r="BC230">
        <v>8</v>
      </c>
      <c r="BD23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-15.77</v>
      </c>
      <c r="BE230" t="str">
        <f>IF(GetCurrentMonthAging3[[#This Row],[InsGroupPrimary]]="","YES","NO")</f>
        <v>NO</v>
      </c>
      <c r="BF23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-15.77</v>
      </c>
    </row>
    <row r="231" spans="1:58" x14ac:dyDescent="0.25">
      <c r="A231" t="s">
        <v>100</v>
      </c>
      <c r="B231">
        <v>6</v>
      </c>
      <c r="C231" t="s">
        <v>331</v>
      </c>
      <c r="D231" s="142">
        <v>45199</v>
      </c>
      <c r="E231">
        <v>150117</v>
      </c>
      <c r="F231">
        <v>2036416</v>
      </c>
      <c r="G231">
        <v>9894407</v>
      </c>
      <c r="H231" t="b">
        <v>0</v>
      </c>
      <c r="I231">
        <v>2544</v>
      </c>
      <c r="J231" t="s">
        <v>419</v>
      </c>
      <c r="K231">
        <v>45</v>
      </c>
      <c r="L231">
        <v>45</v>
      </c>
      <c r="M231">
        <v>1</v>
      </c>
      <c r="N231">
        <v>0</v>
      </c>
      <c r="O231">
        <v>4.5199999999999996</v>
      </c>
      <c r="P231">
        <v>4.5199999999999996</v>
      </c>
      <c r="Q231">
        <v>0</v>
      </c>
      <c r="R231">
        <v>0</v>
      </c>
      <c r="T231">
        <v>45</v>
      </c>
      <c r="U231">
        <v>0</v>
      </c>
      <c r="V231">
        <v>1</v>
      </c>
      <c r="W231">
        <v>17.72</v>
      </c>
      <c r="X231">
        <v>22.76</v>
      </c>
      <c r="Y231">
        <v>0</v>
      </c>
      <c r="Z231">
        <v>0</v>
      </c>
      <c r="AA231">
        <v>0</v>
      </c>
      <c r="AB231">
        <v>0</v>
      </c>
      <c r="AC231">
        <v>0</v>
      </c>
      <c r="AD231">
        <v>0</v>
      </c>
      <c r="AE231">
        <v>0</v>
      </c>
      <c r="AF231">
        <v>0</v>
      </c>
      <c r="AG231">
        <v>0</v>
      </c>
      <c r="AH231">
        <v>0</v>
      </c>
      <c r="AI231">
        <v>0</v>
      </c>
      <c r="AJ231">
        <v>0</v>
      </c>
      <c r="AK231">
        <v>4.5199999999999996</v>
      </c>
      <c r="AL231">
        <v>1</v>
      </c>
      <c r="AM231">
        <v>0</v>
      </c>
      <c r="AN231">
        <v>-4.5199999999999996</v>
      </c>
      <c r="AP231" t="s">
        <v>261</v>
      </c>
      <c r="AS231" t="s">
        <v>413</v>
      </c>
      <c r="AV231" t="s">
        <v>261</v>
      </c>
      <c r="AW231" t="s">
        <v>413</v>
      </c>
      <c r="AX231">
        <v>0</v>
      </c>
      <c r="AY231">
        <v>0</v>
      </c>
      <c r="AZ231" t="s">
        <v>233</v>
      </c>
      <c r="BA231" t="s">
        <v>233</v>
      </c>
      <c r="BB231" t="s">
        <v>411</v>
      </c>
      <c r="BC231">
        <v>8</v>
      </c>
      <c r="BD23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-15.77</v>
      </c>
      <c r="BE231" t="str">
        <f>IF(GetCurrentMonthAging3[[#This Row],[InsGroupPrimary]]="","YES","NO")</f>
        <v>NO</v>
      </c>
      <c r="BF23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-15.77</v>
      </c>
    </row>
    <row r="232" spans="1:58" x14ac:dyDescent="0.25">
      <c r="A232" t="s">
        <v>103</v>
      </c>
      <c r="B232">
        <v>6</v>
      </c>
      <c r="C232" t="s">
        <v>331</v>
      </c>
      <c r="D232" s="142">
        <v>45199</v>
      </c>
      <c r="E232">
        <v>57665</v>
      </c>
      <c r="H232" t="b">
        <v>0</v>
      </c>
      <c r="I232">
        <v>1</v>
      </c>
      <c r="J232" t="s">
        <v>462</v>
      </c>
      <c r="AN232">
        <v>-351</v>
      </c>
      <c r="AV232" t="s">
        <v>334</v>
      </c>
      <c r="AW232" t="s">
        <v>334</v>
      </c>
      <c r="BA232" t="s">
        <v>233</v>
      </c>
      <c r="BB232" t="s">
        <v>463</v>
      </c>
      <c r="BC232">
        <v>1</v>
      </c>
      <c r="BD23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32" t="str">
        <f>IF(GetCurrentMonthAging3[[#This Row],[InsGroupPrimary]]="","YES","NO")</f>
        <v>YES</v>
      </c>
      <c r="BF23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-351</v>
      </c>
    </row>
    <row r="233" spans="1:58" x14ac:dyDescent="0.25">
      <c r="A233" t="s">
        <v>103</v>
      </c>
      <c r="B233">
        <v>6</v>
      </c>
      <c r="C233" t="s">
        <v>331</v>
      </c>
      <c r="D233" s="142">
        <v>45199</v>
      </c>
      <c r="E233">
        <v>189023</v>
      </c>
      <c r="H233" t="b">
        <v>0</v>
      </c>
      <c r="I233">
        <v>1</v>
      </c>
      <c r="J233" t="s">
        <v>462</v>
      </c>
      <c r="AN233">
        <v>-10</v>
      </c>
      <c r="AV233" t="s">
        <v>334</v>
      </c>
      <c r="AW233" t="s">
        <v>334</v>
      </c>
      <c r="BA233" t="s">
        <v>264</v>
      </c>
      <c r="BB233" t="s">
        <v>463</v>
      </c>
      <c r="BC233">
        <v>1</v>
      </c>
      <c r="BD23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33" t="str">
        <f>IF(GetCurrentMonthAging3[[#This Row],[InsGroupPrimary]]="","YES","NO")</f>
        <v>YES</v>
      </c>
      <c r="BF23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v>
      </c>
    </row>
    <row r="234" spans="1:58" x14ac:dyDescent="0.25">
      <c r="A234" t="s">
        <v>103</v>
      </c>
      <c r="B234">
        <v>6</v>
      </c>
      <c r="C234" t="s">
        <v>331</v>
      </c>
      <c r="D234" s="142">
        <v>45199</v>
      </c>
      <c r="E234">
        <v>256926</v>
      </c>
      <c r="H234" t="b">
        <v>0</v>
      </c>
      <c r="I234">
        <v>1</v>
      </c>
      <c r="J234" t="s">
        <v>462</v>
      </c>
      <c r="AN234">
        <v>-84</v>
      </c>
      <c r="AV234" t="s">
        <v>334</v>
      </c>
      <c r="AW234" t="s">
        <v>334</v>
      </c>
      <c r="BA234" t="s">
        <v>264</v>
      </c>
      <c r="BB234" t="s">
        <v>463</v>
      </c>
      <c r="BC234">
        <v>1</v>
      </c>
      <c r="BD23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34" t="str">
        <f>IF(GetCurrentMonthAging3[[#This Row],[InsGroupPrimary]]="","YES","NO")</f>
        <v>YES</v>
      </c>
      <c r="BF23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-84</v>
      </c>
    </row>
    <row r="235" spans="1:58" x14ac:dyDescent="0.25">
      <c r="A235" t="s">
        <v>103</v>
      </c>
      <c r="B235">
        <v>6</v>
      </c>
      <c r="C235" t="s">
        <v>331</v>
      </c>
      <c r="D235" s="142">
        <v>45199</v>
      </c>
      <c r="E235">
        <v>67592</v>
      </c>
      <c r="H235" t="b">
        <v>0</v>
      </c>
      <c r="I235">
        <v>1</v>
      </c>
      <c r="J235" t="s">
        <v>462</v>
      </c>
      <c r="AN235">
        <v>-30</v>
      </c>
      <c r="AV235" t="s">
        <v>334</v>
      </c>
      <c r="AW235" t="s">
        <v>334</v>
      </c>
      <c r="BA235" t="s">
        <v>233</v>
      </c>
      <c r="BB235" t="s">
        <v>463</v>
      </c>
      <c r="BC235">
        <v>1</v>
      </c>
      <c r="BD23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35" t="str">
        <f>IF(GetCurrentMonthAging3[[#This Row],[InsGroupPrimary]]="","YES","NO")</f>
        <v>YES</v>
      </c>
      <c r="BF23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-30</v>
      </c>
    </row>
    <row r="236" spans="1:58" x14ac:dyDescent="0.25">
      <c r="A236" t="s">
        <v>103</v>
      </c>
      <c r="B236">
        <v>6</v>
      </c>
      <c r="C236" t="s">
        <v>331</v>
      </c>
      <c r="D236" s="142">
        <v>45199</v>
      </c>
      <c r="E236">
        <v>92793</v>
      </c>
      <c r="H236" t="b">
        <v>0</v>
      </c>
      <c r="I236">
        <v>1</v>
      </c>
      <c r="J236" t="s">
        <v>462</v>
      </c>
      <c r="AN236">
        <v>-42</v>
      </c>
      <c r="AV236" t="s">
        <v>334</v>
      </c>
      <c r="AW236" t="s">
        <v>334</v>
      </c>
      <c r="BA236" t="s">
        <v>264</v>
      </c>
      <c r="BB236" t="s">
        <v>463</v>
      </c>
      <c r="BC236">
        <v>1</v>
      </c>
      <c r="BD23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36" t="str">
        <f>IF(GetCurrentMonthAging3[[#This Row],[InsGroupPrimary]]="","YES","NO")</f>
        <v>YES</v>
      </c>
      <c r="BF23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-42</v>
      </c>
    </row>
    <row r="237" spans="1:58" x14ac:dyDescent="0.25">
      <c r="A237" t="s">
        <v>103</v>
      </c>
      <c r="B237">
        <v>6</v>
      </c>
      <c r="C237" t="s">
        <v>331</v>
      </c>
      <c r="D237" s="142">
        <v>45199</v>
      </c>
      <c r="E237">
        <v>241830</v>
      </c>
      <c r="H237" t="b">
        <v>0</v>
      </c>
      <c r="I237">
        <v>1</v>
      </c>
      <c r="J237" t="s">
        <v>462</v>
      </c>
      <c r="AN237">
        <v>-60.72</v>
      </c>
      <c r="AV237" t="s">
        <v>334</v>
      </c>
      <c r="AW237" t="s">
        <v>334</v>
      </c>
      <c r="BA237" t="s">
        <v>264</v>
      </c>
      <c r="BB237" t="s">
        <v>463</v>
      </c>
      <c r="BC237">
        <v>1</v>
      </c>
      <c r="BD23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37" t="str">
        <f>IF(GetCurrentMonthAging3[[#This Row],[InsGroupPrimary]]="","YES","NO")</f>
        <v>YES</v>
      </c>
      <c r="BF23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-60.72</v>
      </c>
    </row>
    <row r="238" spans="1:58" x14ac:dyDescent="0.25">
      <c r="A238" t="s">
        <v>103</v>
      </c>
      <c r="B238">
        <v>6</v>
      </c>
      <c r="C238" t="s">
        <v>331</v>
      </c>
      <c r="D238" s="142">
        <v>45199</v>
      </c>
      <c r="E238">
        <v>209433</v>
      </c>
      <c r="H238" t="b">
        <v>0</v>
      </c>
      <c r="I238">
        <v>1</v>
      </c>
      <c r="J238" t="s">
        <v>462</v>
      </c>
      <c r="AN238">
        <v>-157.25</v>
      </c>
      <c r="AV238" t="s">
        <v>334</v>
      </c>
      <c r="AW238" t="s">
        <v>334</v>
      </c>
      <c r="BA238" t="s">
        <v>233</v>
      </c>
      <c r="BB238" t="s">
        <v>463</v>
      </c>
      <c r="BC238">
        <v>1</v>
      </c>
      <c r="BD23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38" t="str">
        <f>IF(GetCurrentMonthAging3[[#This Row],[InsGroupPrimary]]="","YES","NO")</f>
        <v>YES</v>
      </c>
      <c r="BF23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-157.25</v>
      </c>
    </row>
    <row r="239" spans="1:58" x14ac:dyDescent="0.25">
      <c r="A239" t="s">
        <v>103</v>
      </c>
      <c r="B239">
        <v>6</v>
      </c>
      <c r="C239" t="s">
        <v>331</v>
      </c>
      <c r="D239" s="142">
        <v>45199</v>
      </c>
      <c r="E239">
        <v>120345</v>
      </c>
      <c r="H239" t="b">
        <v>0</v>
      </c>
      <c r="I239">
        <v>1</v>
      </c>
      <c r="J239" t="s">
        <v>462</v>
      </c>
      <c r="AN239">
        <v>-20</v>
      </c>
      <c r="AV239" t="s">
        <v>334</v>
      </c>
      <c r="AW239" t="s">
        <v>334</v>
      </c>
      <c r="BA239" t="s">
        <v>264</v>
      </c>
      <c r="BB239" t="s">
        <v>463</v>
      </c>
      <c r="BC239">
        <v>1</v>
      </c>
      <c r="BD23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39" t="str">
        <f>IF(GetCurrentMonthAging3[[#This Row],[InsGroupPrimary]]="","YES","NO")</f>
        <v>YES</v>
      </c>
      <c r="BF23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240" spans="1:58" x14ac:dyDescent="0.25">
      <c r="A240" t="s">
        <v>103</v>
      </c>
      <c r="B240">
        <v>6</v>
      </c>
      <c r="C240" t="s">
        <v>331</v>
      </c>
      <c r="D240" s="142">
        <v>45199</v>
      </c>
      <c r="E240">
        <v>38968</v>
      </c>
      <c r="H240" t="b">
        <v>0</v>
      </c>
      <c r="I240">
        <v>1</v>
      </c>
      <c r="J240" t="s">
        <v>462</v>
      </c>
      <c r="AN240">
        <v>-180</v>
      </c>
      <c r="AV240" t="s">
        <v>334</v>
      </c>
      <c r="AW240" t="s">
        <v>334</v>
      </c>
      <c r="BA240" t="s">
        <v>233</v>
      </c>
      <c r="BB240" t="s">
        <v>463</v>
      </c>
      <c r="BC240">
        <v>1</v>
      </c>
      <c r="BD24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40" t="str">
        <f>IF(GetCurrentMonthAging3[[#This Row],[InsGroupPrimary]]="","YES","NO")</f>
        <v>YES</v>
      </c>
      <c r="BF24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-180</v>
      </c>
    </row>
    <row r="241" spans="1:58" x14ac:dyDescent="0.25">
      <c r="A241" t="s">
        <v>103</v>
      </c>
      <c r="B241">
        <v>6</v>
      </c>
      <c r="C241" t="s">
        <v>331</v>
      </c>
      <c r="D241" s="142">
        <v>45199</v>
      </c>
      <c r="E241">
        <v>258350</v>
      </c>
      <c r="H241" t="b">
        <v>0</v>
      </c>
      <c r="I241">
        <v>1</v>
      </c>
      <c r="J241" t="s">
        <v>462</v>
      </c>
      <c r="AN241">
        <v>-180</v>
      </c>
      <c r="AV241" t="s">
        <v>334</v>
      </c>
      <c r="AW241" t="s">
        <v>334</v>
      </c>
      <c r="BA241" t="s">
        <v>233</v>
      </c>
      <c r="BB241" t="s">
        <v>463</v>
      </c>
      <c r="BC241">
        <v>1</v>
      </c>
      <c r="BD24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41" t="str">
        <f>IF(GetCurrentMonthAging3[[#This Row],[InsGroupPrimary]]="","YES","NO")</f>
        <v>YES</v>
      </c>
      <c r="BF24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-180</v>
      </c>
    </row>
    <row r="242" spans="1:58" x14ac:dyDescent="0.25">
      <c r="A242" t="s">
        <v>103</v>
      </c>
      <c r="B242">
        <v>6</v>
      </c>
      <c r="C242" t="s">
        <v>331</v>
      </c>
      <c r="D242" s="142">
        <v>45199</v>
      </c>
      <c r="E242">
        <v>83045</v>
      </c>
      <c r="H242" t="b">
        <v>0</v>
      </c>
      <c r="I242">
        <v>1</v>
      </c>
      <c r="J242" t="s">
        <v>462</v>
      </c>
      <c r="AN242">
        <v>-44.81</v>
      </c>
      <c r="AV242" t="s">
        <v>334</v>
      </c>
      <c r="AW242" t="s">
        <v>334</v>
      </c>
      <c r="BA242" t="s">
        <v>233</v>
      </c>
      <c r="BB242" t="s">
        <v>463</v>
      </c>
      <c r="BC242">
        <v>1</v>
      </c>
      <c r="BD24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42" t="str">
        <f>IF(GetCurrentMonthAging3[[#This Row],[InsGroupPrimary]]="","YES","NO")</f>
        <v>YES</v>
      </c>
      <c r="BF24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-44.81</v>
      </c>
    </row>
    <row r="243" spans="1:58" x14ac:dyDescent="0.25">
      <c r="A243" t="s">
        <v>103</v>
      </c>
      <c r="B243">
        <v>6</v>
      </c>
      <c r="C243" t="s">
        <v>331</v>
      </c>
      <c r="D243" s="142">
        <v>45199</v>
      </c>
      <c r="E243">
        <v>52202</v>
      </c>
      <c r="H243" t="b">
        <v>0</v>
      </c>
      <c r="I243">
        <v>1</v>
      </c>
      <c r="J243" t="s">
        <v>462</v>
      </c>
      <c r="AN243">
        <v>-24</v>
      </c>
      <c r="AV243" t="s">
        <v>334</v>
      </c>
      <c r="AW243" t="s">
        <v>334</v>
      </c>
      <c r="BA243" t="s">
        <v>264</v>
      </c>
      <c r="BB243" t="s">
        <v>463</v>
      </c>
      <c r="BC243">
        <v>1</v>
      </c>
      <c r="BD24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43" t="str">
        <f>IF(GetCurrentMonthAging3[[#This Row],[InsGroupPrimary]]="","YES","NO")</f>
        <v>YES</v>
      </c>
      <c r="BF24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-24</v>
      </c>
    </row>
    <row r="244" spans="1:58" x14ac:dyDescent="0.25">
      <c r="A244" t="s">
        <v>103</v>
      </c>
      <c r="B244">
        <v>6</v>
      </c>
      <c r="C244" t="s">
        <v>331</v>
      </c>
      <c r="D244" s="142">
        <v>45199</v>
      </c>
      <c r="E244">
        <v>43171</v>
      </c>
      <c r="H244" t="b">
        <v>0</v>
      </c>
      <c r="I244">
        <v>1</v>
      </c>
      <c r="J244" t="s">
        <v>462</v>
      </c>
      <c r="AN244">
        <v>-60</v>
      </c>
      <c r="AV244" t="s">
        <v>334</v>
      </c>
      <c r="AW244" t="s">
        <v>334</v>
      </c>
      <c r="BA244" t="s">
        <v>233</v>
      </c>
      <c r="BB244" t="s">
        <v>463</v>
      </c>
      <c r="BC244">
        <v>1</v>
      </c>
      <c r="BD24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44" t="str">
        <f>IF(GetCurrentMonthAging3[[#This Row],[InsGroupPrimary]]="","YES","NO")</f>
        <v>YES</v>
      </c>
      <c r="BF24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245" spans="1:58" x14ac:dyDescent="0.25">
      <c r="A245" t="s">
        <v>103</v>
      </c>
      <c r="B245">
        <v>6</v>
      </c>
      <c r="C245" t="s">
        <v>331</v>
      </c>
      <c r="D245" s="142">
        <v>45199</v>
      </c>
      <c r="E245">
        <v>64004</v>
      </c>
      <c r="H245" t="b">
        <v>0</v>
      </c>
      <c r="I245">
        <v>1</v>
      </c>
      <c r="J245" t="s">
        <v>462</v>
      </c>
      <c r="AN245">
        <v>-195.63</v>
      </c>
      <c r="AV245" t="s">
        <v>334</v>
      </c>
      <c r="AW245" t="s">
        <v>334</v>
      </c>
      <c r="BA245" t="s">
        <v>264</v>
      </c>
      <c r="BB245" t="s">
        <v>463</v>
      </c>
      <c r="BC245">
        <v>1</v>
      </c>
      <c r="BD24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45" t="str">
        <f>IF(GetCurrentMonthAging3[[#This Row],[InsGroupPrimary]]="","YES","NO")</f>
        <v>YES</v>
      </c>
      <c r="BF24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-195.63</v>
      </c>
    </row>
    <row r="246" spans="1:58" x14ac:dyDescent="0.25">
      <c r="A246" t="s">
        <v>103</v>
      </c>
      <c r="B246">
        <v>6</v>
      </c>
      <c r="C246" t="s">
        <v>331</v>
      </c>
      <c r="D246" s="142">
        <v>45199</v>
      </c>
      <c r="E246">
        <v>82316</v>
      </c>
      <c r="H246" t="b">
        <v>0</v>
      </c>
      <c r="I246">
        <v>1</v>
      </c>
      <c r="J246" t="s">
        <v>462</v>
      </c>
      <c r="AN246">
        <v>-40</v>
      </c>
      <c r="AV246" t="s">
        <v>334</v>
      </c>
      <c r="AW246" t="s">
        <v>334</v>
      </c>
      <c r="BA246" t="s">
        <v>264</v>
      </c>
      <c r="BB246" t="s">
        <v>463</v>
      </c>
      <c r="BC246">
        <v>1</v>
      </c>
      <c r="BD24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46" t="str">
        <f>IF(GetCurrentMonthAging3[[#This Row],[InsGroupPrimary]]="","YES","NO")</f>
        <v>YES</v>
      </c>
      <c r="BF24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247" spans="1:58" x14ac:dyDescent="0.25">
      <c r="A247" t="s">
        <v>103</v>
      </c>
      <c r="B247">
        <v>6</v>
      </c>
      <c r="C247" t="s">
        <v>331</v>
      </c>
      <c r="D247" s="142">
        <v>45199</v>
      </c>
      <c r="E247">
        <v>51413</v>
      </c>
      <c r="H247" t="b">
        <v>0</v>
      </c>
      <c r="I247">
        <v>1</v>
      </c>
      <c r="J247" t="s">
        <v>462</v>
      </c>
      <c r="AN247">
        <v>-120</v>
      </c>
      <c r="AV247" t="s">
        <v>334</v>
      </c>
      <c r="AW247" t="s">
        <v>334</v>
      </c>
      <c r="BA247" t="s">
        <v>233</v>
      </c>
      <c r="BB247" t="s">
        <v>463</v>
      </c>
      <c r="BC247">
        <v>1</v>
      </c>
      <c r="BD24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47" t="str">
        <f>IF(GetCurrentMonthAging3[[#This Row],[InsGroupPrimary]]="","YES","NO")</f>
        <v>YES</v>
      </c>
      <c r="BF24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-120</v>
      </c>
    </row>
    <row r="248" spans="1:58" x14ac:dyDescent="0.25">
      <c r="A248" t="s">
        <v>103</v>
      </c>
      <c r="B248">
        <v>6</v>
      </c>
      <c r="C248" t="s">
        <v>331</v>
      </c>
      <c r="D248" s="142">
        <v>45199</v>
      </c>
      <c r="E248">
        <v>49793</v>
      </c>
      <c r="H248" t="b">
        <v>0</v>
      </c>
      <c r="I248">
        <v>1</v>
      </c>
      <c r="J248" t="s">
        <v>462</v>
      </c>
      <c r="AN248">
        <v>-30</v>
      </c>
      <c r="AV248" t="s">
        <v>334</v>
      </c>
      <c r="AW248" t="s">
        <v>334</v>
      </c>
      <c r="BA248" t="s">
        <v>233</v>
      </c>
      <c r="BB248" t="s">
        <v>463</v>
      </c>
      <c r="BC248">
        <v>1</v>
      </c>
      <c r="BD24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48" t="str">
        <f>IF(GetCurrentMonthAging3[[#This Row],[InsGroupPrimary]]="","YES","NO")</f>
        <v>YES</v>
      </c>
      <c r="BF24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-30</v>
      </c>
    </row>
    <row r="249" spans="1:58" x14ac:dyDescent="0.25">
      <c r="A249" t="s">
        <v>103</v>
      </c>
      <c r="B249">
        <v>6</v>
      </c>
      <c r="C249" t="s">
        <v>331</v>
      </c>
      <c r="D249" s="142">
        <v>45199</v>
      </c>
      <c r="E249">
        <v>199505</v>
      </c>
      <c r="H249" t="b">
        <v>0</v>
      </c>
      <c r="I249">
        <v>1</v>
      </c>
      <c r="J249" t="s">
        <v>462</v>
      </c>
      <c r="AN249">
        <v>-174.82</v>
      </c>
      <c r="AV249" t="s">
        <v>334</v>
      </c>
      <c r="AW249" t="s">
        <v>334</v>
      </c>
      <c r="BA249" t="s">
        <v>264</v>
      </c>
      <c r="BB249" t="s">
        <v>463</v>
      </c>
      <c r="BC249">
        <v>1</v>
      </c>
      <c r="BD24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49" t="str">
        <f>IF(GetCurrentMonthAging3[[#This Row],[InsGroupPrimary]]="","YES","NO")</f>
        <v>YES</v>
      </c>
      <c r="BF24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-174.82</v>
      </c>
    </row>
    <row r="250" spans="1:58" x14ac:dyDescent="0.25">
      <c r="A250" t="s">
        <v>103</v>
      </c>
      <c r="B250">
        <v>6</v>
      </c>
      <c r="C250" t="s">
        <v>331</v>
      </c>
      <c r="D250" s="142">
        <v>45199</v>
      </c>
      <c r="E250">
        <v>197464</v>
      </c>
      <c r="H250" t="b">
        <v>0</v>
      </c>
      <c r="I250">
        <v>1</v>
      </c>
      <c r="J250" t="s">
        <v>462</v>
      </c>
      <c r="AN250">
        <v>-143.22</v>
      </c>
      <c r="AV250" t="s">
        <v>334</v>
      </c>
      <c r="AW250" t="s">
        <v>334</v>
      </c>
      <c r="BA250" t="s">
        <v>264</v>
      </c>
      <c r="BB250" t="s">
        <v>463</v>
      </c>
      <c r="BC250">
        <v>1</v>
      </c>
      <c r="BD25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50" t="str">
        <f>IF(GetCurrentMonthAging3[[#This Row],[InsGroupPrimary]]="","YES","NO")</f>
        <v>YES</v>
      </c>
      <c r="BF25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-143.22</v>
      </c>
    </row>
    <row r="251" spans="1:58" x14ac:dyDescent="0.25">
      <c r="A251" t="s">
        <v>103</v>
      </c>
      <c r="B251">
        <v>6</v>
      </c>
      <c r="C251" t="s">
        <v>331</v>
      </c>
      <c r="D251" s="142">
        <v>45199</v>
      </c>
      <c r="E251">
        <v>215272</v>
      </c>
      <c r="H251" t="b">
        <v>0</v>
      </c>
      <c r="I251">
        <v>1</v>
      </c>
      <c r="J251" t="s">
        <v>462</v>
      </c>
      <c r="AN251">
        <v>-6.9</v>
      </c>
      <c r="AV251" t="s">
        <v>334</v>
      </c>
      <c r="AW251" t="s">
        <v>334</v>
      </c>
      <c r="BA251" t="s">
        <v>233</v>
      </c>
      <c r="BB251" t="s">
        <v>463</v>
      </c>
      <c r="BC251">
        <v>1</v>
      </c>
      <c r="BD25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51" t="str">
        <f>IF(GetCurrentMonthAging3[[#This Row],[InsGroupPrimary]]="","YES","NO")</f>
        <v>YES</v>
      </c>
      <c r="BF25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-6.9</v>
      </c>
    </row>
    <row r="252" spans="1:58" x14ac:dyDescent="0.25">
      <c r="A252" t="s">
        <v>103</v>
      </c>
      <c r="B252">
        <v>6</v>
      </c>
      <c r="C252" t="s">
        <v>331</v>
      </c>
      <c r="D252" s="142">
        <v>45199</v>
      </c>
      <c r="E252">
        <v>244944</v>
      </c>
      <c r="H252" t="b">
        <v>0</v>
      </c>
      <c r="I252">
        <v>1</v>
      </c>
      <c r="J252" t="s">
        <v>462</v>
      </c>
      <c r="AN252">
        <v>-25</v>
      </c>
      <c r="AV252" t="s">
        <v>334</v>
      </c>
      <c r="AW252" t="s">
        <v>334</v>
      </c>
      <c r="BA252" t="s">
        <v>233</v>
      </c>
      <c r="BB252" t="s">
        <v>463</v>
      </c>
      <c r="BC252">
        <v>1</v>
      </c>
      <c r="BD25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52" t="str">
        <f>IF(GetCurrentMonthAging3[[#This Row],[InsGroupPrimary]]="","YES","NO")</f>
        <v>YES</v>
      </c>
      <c r="BF25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v>
      </c>
    </row>
    <row r="253" spans="1:58" x14ac:dyDescent="0.25">
      <c r="A253" t="s">
        <v>103</v>
      </c>
      <c r="B253">
        <v>6</v>
      </c>
      <c r="C253" t="s">
        <v>331</v>
      </c>
      <c r="D253" s="142">
        <v>45199</v>
      </c>
      <c r="E253">
        <v>252897</v>
      </c>
      <c r="H253" t="b">
        <v>0</v>
      </c>
      <c r="I253">
        <v>1</v>
      </c>
      <c r="J253" t="s">
        <v>462</v>
      </c>
      <c r="AN253">
        <v>-180</v>
      </c>
      <c r="AV253" t="s">
        <v>334</v>
      </c>
      <c r="AW253" t="s">
        <v>334</v>
      </c>
      <c r="BA253" t="s">
        <v>233</v>
      </c>
      <c r="BB253" t="s">
        <v>463</v>
      </c>
      <c r="BC253">
        <v>1</v>
      </c>
      <c r="BD25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53" t="str">
        <f>IF(GetCurrentMonthAging3[[#This Row],[InsGroupPrimary]]="","YES","NO")</f>
        <v>YES</v>
      </c>
      <c r="BF25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-180</v>
      </c>
    </row>
    <row r="254" spans="1:58" x14ac:dyDescent="0.25">
      <c r="A254" t="s">
        <v>103</v>
      </c>
      <c r="B254">
        <v>6</v>
      </c>
      <c r="C254" t="s">
        <v>331</v>
      </c>
      <c r="D254" s="142">
        <v>45199</v>
      </c>
      <c r="E254">
        <v>221536</v>
      </c>
      <c r="H254" t="b">
        <v>0</v>
      </c>
      <c r="I254">
        <v>1</v>
      </c>
      <c r="J254" t="s">
        <v>462</v>
      </c>
      <c r="AN254">
        <v>-140</v>
      </c>
      <c r="AV254" t="s">
        <v>334</v>
      </c>
      <c r="AW254" t="s">
        <v>334</v>
      </c>
      <c r="BA254" t="s">
        <v>264</v>
      </c>
      <c r="BB254" t="s">
        <v>463</v>
      </c>
      <c r="BC254">
        <v>1</v>
      </c>
      <c r="BD25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54" t="str">
        <f>IF(GetCurrentMonthAging3[[#This Row],[InsGroupPrimary]]="","YES","NO")</f>
        <v>YES</v>
      </c>
      <c r="BF25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-140</v>
      </c>
    </row>
    <row r="255" spans="1:58" x14ac:dyDescent="0.25">
      <c r="A255" t="s">
        <v>103</v>
      </c>
      <c r="B255">
        <v>6</v>
      </c>
      <c r="C255" t="s">
        <v>331</v>
      </c>
      <c r="D255" s="142">
        <v>45199</v>
      </c>
      <c r="E255">
        <v>116135</v>
      </c>
      <c r="H255" t="b">
        <v>0</v>
      </c>
      <c r="I255">
        <v>1</v>
      </c>
      <c r="J255" t="s">
        <v>462</v>
      </c>
      <c r="AN255">
        <v>-180</v>
      </c>
      <c r="AV255" t="s">
        <v>334</v>
      </c>
      <c r="AW255" t="s">
        <v>334</v>
      </c>
      <c r="BA255" t="s">
        <v>233</v>
      </c>
      <c r="BB255" t="s">
        <v>463</v>
      </c>
      <c r="BC255">
        <v>1</v>
      </c>
      <c r="BD25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55" t="str">
        <f>IF(GetCurrentMonthAging3[[#This Row],[InsGroupPrimary]]="","YES","NO")</f>
        <v>YES</v>
      </c>
      <c r="BF25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-180</v>
      </c>
    </row>
    <row r="256" spans="1:58" x14ac:dyDescent="0.25">
      <c r="A256" t="s">
        <v>103</v>
      </c>
      <c r="B256">
        <v>6</v>
      </c>
      <c r="C256" t="s">
        <v>331</v>
      </c>
      <c r="D256" s="142">
        <v>45199</v>
      </c>
      <c r="E256">
        <v>58463</v>
      </c>
      <c r="H256" t="b">
        <v>0</v>
      </c>
      <c r="I256">
        <v>1</v>
      </c>
      <c r="J256" t="s">
        <v>462</v>
      </c>
      <c r="AN256">
        <v>-27</v>
      </c>
      <c r="AV256" t="s">
        <v>334</v>
      </c>
      <c r="AW256" t="s">
        <v>334</v>
      </c>
      <c r="BA256" t="s">
        <v>264</v>
      </c>
      <c r="BB256" t="s">
        <v>463</v>
      </c>
      <c r="BC256">
        <v>1</v>
      </c>
      <c r="BD25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56" t="str">
        <f>IF(GetCurrentMonthAging3[[#This Row],[InsGroupPrimary]]="","YES","NO")</f>
        <v>YES</v>
      </c>
      <c r="BF25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-27</v>
      </c>
    </row>
    <row r="257" spans="1:58" x14ac:dyDescent="0.25">
      <c r="A257" t="s">
        <v>103</v>
      </c>
      <c r="B257">
        <v>6</v>
      </c>
      <c r="C257" t="s">
        <v>331</v>
      </c>
      <c r="D257" s="142">
        <v>45199</v>
      </c>
      <c r="E257">
        <v>168676</v>
      </c>
      <c r="H257" t="b">
        <v>0</v>
      </c>
      <c r="I257">
        <v>1</v>
      </c>
      <c r="J257" t="s">
        <v>462</v>
      </c>
      <c r="AN257">
        <v>-16.02</v>
      </c>
      <c r="AV257" t="s">
        <v>334</v>
      </c>
      <c r="AW257" t="s">
        <v>334</v>
      </c>
      <c r="BA257" t="s">
        <v>233</v>
      </c>
      <c r="BB257" t="s">
        <v>463</v>
      </c>
      <c r="BC257">
        <v>1</v>
      </c>
      <c r="BD25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57" t="str">
        <f>IF(GetCurrentMonthAging3[[#This Row],[InsGroupPrimary]]="","YES","NO")</f>
        <v>YES</v>
      </c>
      <c r="BF25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-16.02</v>
      </c>
    </row>
    <row r="258" spans="1:58" x14ac:dyDescent="0.25">
      <c r="A258" t="s">
        <v>103</v>
      </c>
      <c r="B258">
        <v>6</v>
      </c>
      <c r="C258" t="s">
        <v>331</v>
      </c>
      <c r="D258" s="142">
        <v>45199</v>
      </c>
      <c r="E258">
        <v>159894</v>
      </c>
      <c r="H258" t="b">
        <v>0</v>
      </c>
      <c r="I258">
        <v>1</v>
      </c>
      <c r="J258" t="s">
        <v>462</v>
      </c>
      <c r="AN258">
        <v>-41.76</v>
      </c>
      <c r="AV258" t="s">
        <v>334</v>
      </c>
      <c r="AW258" t="s">
        <v>334</v>
      </c>
      <c r="BA258" t="s">
        <v>264</v>
      </c>
      <c r="BB258" t="s">
        <v>463</v>
      </c>
      <c r="BC258">
        <v>1</v>
      </c>
      <c r="BD25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58" t="str">
        <f>IF(GetCurrentMonthAging3[[#This Row],[InsGroupPrimary]]="","YES","NO")</f>
        <v>YES</v>
      </c>
      <c r="BF25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-41.76</v>
      </c>
    </row>
    <row r="259" spans="1:58" x14ac:dyDescent="0.25">
      <c r="A259" t="s">
        <v>103</v>
      </c>
      <c r="B259">
        <v>6</v>
      </c>
      <c r="C259" t="s">
        <v>331</v>
      </c>
      <c r="D259" s="142">
        <v>45199</v>
      </c>
      <c r="E259">
        <v>50151</v>
      </c>
      <c r="H259" t="b">
        <v>0</v>
      </c>
      <c r="I259">
        <v>1</v>
      </c>
      <c r="J259" t="s">
        <v>462</v>
      </c>
      <c r="AN259">
        <v>-280</v>
      </c>
      <c r="AV259" t="s">
        <v>334</v>
      </c>
      <c r="AW259" t="s">
        <v>334</v>
      </c>
      <c r="BA259" t="s">
        <v>233</v>
      </c>
      <c r="BB259" t="s">
        <v>463</v>
      </c>
      <c r="BC259">
        <v>1</v>
      </c>
      <c r="BD25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59" t="str">
        <f>IF(GetCurrentMonthAging3[[#This Row],[InsGroupPrimary]]="","YES","NO")</f>
        <v>YES</v>
      </c>
      <c r="BF25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-280</v>
      </c>
    </row>
    <row r="260" spans="1:58" x14ac:dyDescent="0.25">
      <c r="A260" t="s">
        <v>103</v>
      </c>
      <c r="B260">
        <v>6</v>
      </c>
      <c r="C260" t="s">
        <v>331</v>
      </c>
      <c r="D260" s="142">
        <v>45199</v>
      </c>
      <c r="E260">
        <v>146587</v>
      </c>
      <c r="H260" t="b">
        <v>0</v>
      </c>
      <c r="I260">
        <v>1</v>
      </c>
      <c r="J260" t="s">
        <v>462</v>
      </c>
      <c r="AN260">
        <v>-15</v>
      </c>
      <c r="AV260" t="s">
        <v>334</v>
      </c>
      <c r="AW260" t="s">
        <v>334</v>
      </c>
      <c r="BA260" t="s">
        <v>264</v>
      </c>
      <c r="BB260" t="s">
        <v>463</v>
      </c>
      <c r="BC260">
        <v>1</v>
      </c>
      <c r="BD26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60" t="str">
        <f>IF(GetCurrentMonthAging3[[#This Row],[InsGroupPrimary]]="","YES","NO")</f>
        <v>YES</v>
      </c>
      <c r="BF26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v>
      </c>
    </row>
    <row r="261" spans="1:58" x14ac:dyDescent="0.25">
      <c r="A261" t="s">
        <v>103</v>
      </c>
      <c r="B261">
        <v>6</v>
      </c>
      <c r="C261" t="s">
        <v>331</v>
      </c>
      <c r="D261" s="142">
        <v>45199</v>
      </c>
      <c r="E261">
        <v>53092</v>
      </c>
      <c r="H261" t="b">
        <v>0</v>
      </c>
      <c r="I261">
        <v>1</v>
      </c>
      <c r="J261" t="s">
        <v>462</v>
      </c>
      <c r="AN261">
        <v>-31.85</v>
      </c>
      <c r="AV261" t="s">
        <v>334</v>
      </c>
      <c r="AW261" t="s">
        <v>334</v>
      </c>
      <c r="BA261" t="s">
        <v>233</v>
      </c>
      <c r="BB261" t="s">
        <v>463</v>
      </c>
      <c r="BC261">
        <v>1</v>
      </c>
      <c r="BD26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61" t="str">
        <f>IF(GetCurrentMonthAging3[[#This Row],[InsGroupPrimary]]="","YES","NO")</f>
        <v>YES</v>
      </c>
      <c r="BF26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-31.85</v>
      </c>
    </row>
    <row r="262" spans="1:58" x14ac:dyDescent="0.25">
      <c r="A262" t="s">
        <v>103</v>
      </c>
      <c r="B262">
        <v>6</v>
      </c>
      <c r="C262" t="s">
        <v>331</v>
      </c>
      <c r="D262" s="142">
        <v>45199</v>
      </c>
      <c r="E262">
        <v>212499</v>
      </c>
      <c r="H262" t="b">
        <v>0</v>
      </c>
      <c r="I262">
        <v>1</v>
      </c>
      <c r="J262" t="s">
        <v>462</v>
      </c>
      <c r="AN262">
        <v>-60</v>
      </c>
      <c r="AV262" t="s">
        <v>334</v>
      </c>
      <c r="AW262" t="s">
        <v>334</v>
      </c>
      <c r="BA262" t="s">
        <v>264</v>
      </c>
      <c r="BB262" t="s">
        <v>463</v>
      </c>
      <c r="BC262">
        <v>1</v>
      </c>
      <c r="BD26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62" t="str">
        <f>IF(GetCurrentMonthAging3[[#This Row],[InsGroupPrimary]]="","YES","NO")</f>
        <v>YES</v>
      </c>
      <c r="BF26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263" spans="1:58" x14ac:dyDescent="0.25">
      <c r="A263" t="s">
        <v>103</v>
      </c>
      <c r="B263">
        <v>6</v>
      </c>
      <c r="C263" t="s">
        <v>331</v>
      </c>
      <c r="D263" s="142">
        <v>45199</v>
      </c>
      <c r="E263">
        <v>76939</v>
      </c>
      <c r="H263" t="b">
        <v>0</v>
      </c>
      <c r="I263">
        <v>1</v>
      </c>
      <c r="J263" t="s">
        <v>462</v>
      </c>
      <c r="AN263">
        <v>-120</v>
      </c>
      <c r="AV263" t="s">
        <v>334</v>
      </c>
      <c r="AW263" t="s">
        <v>334</v>
      </c>
      <c r="BA263" t="s">
        <v>233</v>
      </c>
      <c r="BB263" t="s">
        <v>463</v>
      </c>
      <c r="BC263">
        <v>1</v>
      </c>
      <c r="BD26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63" t="str">
        <f>IF(GetCurrentMonthAging3[[#This Row],[InsGroupPrimary]]="","YES","NO")</f>
        <v>YES</v>
      </c>
      <c r="BF26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-120</v>
      </c>
    </row>
    <row r="264" spans="1:58" x14ac:dyDescent="0.25">
      <c r="A264" t="s">
        <v>103</v>
      </c>
      <c r="B264">
        <v>6</v>
      </c>
      <c r="C264" t="s">
        <v>331</v>
      </c>
      <c r="D264" s="142">
        <v>45199</v>
      </c>
      <c r="E264">
        <v>36410</v>
      </c>
      <c r="H264" t="b">
        <v>0</v>
      </c>
      <c r="I264">
        <v>1</v>
      </c>
      <c r="J264" t="s">
        <v>462</v>
      </c>
      <c r="AN264">
        <v>-75</v>
      </c>
      <c r="AV264" t="s">
        <v>334</v>
      </c>
      <c r="AW264" t="s">
        <v>334</v>
      </c>
      <c r="BA264" t="s">
        <v>264</v>
      </c>
      <c r="BB264" t="s">
        <v>463</v>
      </c>
      <c r="BC264">
        <v>1</v>
      </c>
      <c r="BD26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64" t="str">
        <f>IF(GetCurrentMonthAging3[[#This Row],[InsGroupPrimary]]="","YES","NO")</f>
        <v>YES</v>
      </c>
      <c r="BF26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-75</v>
      </c>
    </row>
    <row r="265" spans="1:58" x14ac:dyDescent="0.25">
      <c r="A265" t="s">
        <v>103</v>
      </c>
      <c r="B265">
        <v>6</v>
      </c>
      <c r="C265" t="s">
        <v>331</v>
      </c>
      <c r="D265" s="142">
        <v>45199</v>
      </c>
      <c r="E265">
        <v>159083</v>
      </c>
      <c r="H265" t="b">
        <v>0</v>
      </c>
      <c r="I265">
        <v>1</v>
      </c>
      <c r="J265" t="s">
        <v>462</v>
      </c>
      <c r="AN265">
        <v>-33</v>
      </c>
      <c r="AV265" t="s">
        <v>334</v>
      </c>
      <c r="AW265" t="s">
        <v>334</v>
      </c>
      <c r="BA265" t="s">
        <v>233</v>
      </c>
      <c r="BB265" t="s">
        <v>463</v>
      </c>
      <c r="BC265">
        <v>1</v>
      </c>
      <c r="BD26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65" t="str">
        <f>IF(GetCurrentMonthAging3[[#This Row],[InsGroupPrimary]]="","YES","NO")</f>
        <v>YES</v>
      </c>
      <c r="BF26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-33</v>
      </c>
    </row>
    <row r="266" spans="1:58" x14ac:dyDescent="0.25">
      <c r="A266" t="s">
        <v>103</v>
      </c>
      <c r="B266">
        <v>6</v>
      </c>
      <c r="C266" t="s">
        <v>331</v>
      </c>
      <c r="D266" s="142">
        <v>45199</v>
      </c>
      <c r="E266">
        <v>50954</v>
      </c>
      <c r="H266" t="b">
        <v>0</v>
      </c>
      <c r="I266">
        <v>1</v>
      </c>
      <c r="J266" t="s">
        <v>462</v>
      </c>
      <c r="AN266">
        <v>-80</v>
      </c>
      <c r="AV266" t="s">
        <v>334</v>
      </c>
      <c r="AW266" t="s">
        <v>334</v>
      </c>
      <c r="BA266" t="s">
        <v>233</v>
      </c>
      <c r="BB266" t="s">
        <v>463</v>
      </c>
      <c r="BC266">
        <v>1</v>
      </c>
      <c r="BD26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66" t="str">
        <f>IF(GetCurrentMonthAging3[[#This Row],[InsGroupPrimary]]="","YES","NO")</f>
        <v>YES</v>
      </c>
      <c r="BF26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-80</v>
      </c>
    </row>
    <row r="267" spans="1:58" x14ac:dyDescent="0.25">
      <c r="A267" t="s">
        <v>103</v>
      </c>
      <c r="B267">
        <v>6</v>
      </c>
      <c r="C267" t="s">
        <v>331</v>
      </c>
      <c r="D267" s="142">
        <v>45199</v>
      </c>
      <c r="E267">
        <v>185057</v>
      </c>
      <c r="H267" t="b">
        <v>0</v>
      </c>
      <c r="I267">
        <v>1</v>
      </c>
      <c r="J267" t="s">
        <v>462</v>
      </c>
      <c r="AN267">
        <v>-5.32</v>
      </c>
      <c r="AV267" t="s">
        <v>334</v>
      </c>
      <c r="AW267" t="s">
        <v>334</v>
      </c>
      <c r="BA267" t="s">
        <v>233</v>
      </c>
      <c r="BB267" t="s">
        <v>463</v>
      </c>
      <c r="BC267">
        <v>1</v>
      </c>
      <c r="BD26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67" t="str">
        <f>IF(GetCurrentMonthAging3[[#This Row],[InsGroupPrimary]]="","YES","NO")</f>
        <v>YES</v>
      </c>
      <c r="BF26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-5.32</v>
      </c>
    </row>
    <row r="268" spans="1:58" x14ac:dyDescent="0.25">
      <c r="A268" t="s">
        <v>103</v>
      </c>
      <c r="B268">
        <v>6</v>
      </c>
      <c r="C268" t="s">
        <v>331</v>
      </c>
      <c r="D268" s="142">
        <v>45199</v>
      </c>
      <c r="E268">
        <v>42023</v>
      </c>
      <c r="H268" t="b">
        <v>0</v>
      </c>
      <c r="I268">
        <v>1</v>
      </c>
      <c r="J268" t="s">
        <v>462</v>
      </c>
      <c r="AN268">
        <v>-20</v>
      </c>
      <c r="AV268" t="s">
        <v>334</v>
      </c>
      <c r="AW268" t="s">
        <v>334</v>
      </c>
      <c r="BA268" t="s">
        <v>233</v>
      </c>
      <c r="BB268" t="s">
        <v>463</v>
      </c>
      <c r="BC268">
        <v>1</v>
      </c>
      <c r="BD26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68" t="str">
        <f>IF(GetCurrentMonthAging3[[#This Row],[InsGroupPrimary]]="","YES","NO")</f>
        <v>YES</v>
      </c>
      <c r="BF26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269" spans="1:58" x14ac:dyDescent="0.25">
      <c r="A269" t="s">
        <v>103</v>
      </c>
      <c r="B269">
        <v>6</v>
      </c>
      <c r="C269" t="s">
        <v>331</v>
      </c>
      <c r="D269" s="142">
        <v>45199</v>
      </c>
      <c r="E269">
        <v>193493</v>
      </c>
      <c r="H269" t="b">
        <v>0</v>
      </c>
      <c r="I269">
        <v>1</v>
      </c>
      <c r="J269" t="s">
        <v>462</v>
      </c>
      <c r="AN269">
        <v>-96.95</v>
      </c>
      <c r="AV269" t="s">
        <v>334</v>
      </c>
      <c r="AW269" t="s">
        <v>334</v>
      </c>
      <c r="BA269" t="s">
        <v>264</v>
      </c>
      <c r="BB269" t="s">
        <v>463</v>
      </c>
      <c r="BC269">
        <v>1</v>
      </c>
      <c r="BD26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69" t="str">
        <f>IF(GetCurrentMonthAging3[[#This Row],[InsGroupPrimary]]="","YES","NO")</f>
        <v>YES</v>
      </c>
      <c r="BF26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-96.95</v>
      </c>
    </row>
    <row r="270" spans="1:58" x14ac:dyDescent="0.25">
      <c r="A270" t="s">
        <v>103</v>
      </c>
      <c r="B270">
        <v>6</v>
      </c>
      <c r="C270" t="s">
        <v>331</v>
      </c>
      <c r="D270" s="142">
        <v>45199</v>
      </c>
      <c r="E270">
        <v>208186</v>
      </c>
      <c r="H270" t="b">
        <v>0</v>
      </c>
      <c r="I270">
        <v>1</v>
      </c>
      <c r="J270" t="s">
        <v>462</v>
      </c>
      <c r="AN270">
        <v>-0.01</v>
      </c>
      <c r="AV270" t="s">
        <v>334</v>
      </c>
      <c r="AW270" t="s">
        <v>334</v>
      </c>
      <c r="BA270" t="s">
        <v>233</v>
      </c>
      <c r="BB270" t="s">
        <v>463</v>
      </c>
      <c r="BC270">
        <v>1</v>
      </c>
      <c r="BD27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70" t="str">
        <f>IF(GetCurrentMonthAging3[[#This Row],[InsGroupPrimary]]="","YES","NO")</f>
        <v>YES</v>
      </c>
      <c r="BF27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-0.01</v>
      </c>
    </row>
    <row r="271" spans="1:58" x14ac:dyDescent="0.25">
      <c r="A271" t="s">
        <v>103</v>
      </c>
      <c r="B271">
        <v>6</v>
      </c>
      <c r="C271" t="s">
        <v>331</v>
      </c>
      <c r="D271" s="142">
        <v>45199</v>
      </c>
      <c r="E271">
        <v>118909</v>
      </c>
      <c r="H271" t="b">
        <v>0</v>
      </c>
      <c r="I271">
        <v>1</v>
      </c>
      <c r="J271" t="s">
        <v>462</v>
      </c>
      <c r="AN271">
        <v>-120</v>
      </c>
      <c r="AV271" t="s">
        <v>334</v>
      </c>
      <c r="AW271" t="s">
        <v>334</v>
      </c>
      <c r="BA271" t="s">
        <v>233</v>
      </c>
      <c r="BB271" t="s">
        <v>463</v>
      </c>
      <c r="BC271">
        <v>1</v>
      </c>
      <c r="BD27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71" t="str">
        <f>IF(GetCurrentMonthAging3[[#This Row],[InsGroupPrimary]]="","YES","NO")</f>
        <v>YES</v>
      </c>
      <c r="BF27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-120</v>
      </c>
    </row>
    <row r="272" spans="1:58" x14ac:dyDescent="0.25">
      <c r="A272" t="s">
        <v>103</v>
      </c>
      <c r="B272">
        <v>6</v>
      </c>
      <c r="C272" t="s">
        <v>331</v>
      </c>
      <c r="D272" s="142">
        <v>45199</v>
      </c>
      <c r="E272">
        <v>151166</v>
      </c>
      <c r="H272" t="b">
        <v>0</v>
      </c>
      <c r="I272">
        <v>1</v>
      </c>
      <c r="J272" t="s">
        <v>462</v>
      </c>
      <c r="AN272">
        <v>-45</v>
      </c>
      <c r="AV272" t="s">
        <v>334</v>
      </c>
      <c r="AW272" t="s">
        <v>334</v>
      </c>
      <c r="BA272" t="s">
        <v>233</v>
      </c>
      <c r="BB272" t="s">
        <v>463</v>
      </c>
      <c r="BC272">
        <v>1</v>
      </c>
      <c r="BD27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72" t="str">
        <f>IF(GetCurrentMonthAging3[[#This Row],[InsGroupPrimary]]="","YES","NO")</f>
        <v>YES</v>
      </c>
      <c r="BF27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-45</v>
      </c>
    </row>
    <row r="273" spans="1:58" x14ac:dyDescent="0.25">
      <c r="A273" t="s">
        <v>103</v>
      </c>
      <c r="B273">
        <v>6</v>
      </c>
      <c r="C273" t="s">
        <v>331</v>
      </c>
      <c r="D273" s="142">
        <v>45199</v>
      </c>
      <c r="E273">
        <v>162035</v>
      </c>
      <c r="H273" t="b">
        <v>0</v>
      </c>
      <c r="I273">
        <v>1</v>
      </c>
      <c r="J273" t="s">
        <v>462</v>
      </c>
      <c r="AN273">
        <v>-100</v>
      </c>
      <c r="AV273" t="s">
        <v>334</v>
      </c>
      <c r="AW273" t="s">
        <v>334</v>
      </c>
      <c r="BA273" t="s">
        <v>233</v>
      </c>
      <c r="BB273" t="s">
        <v>463</v>
      </c>
      <c r="BC273">
        <v>1</v>
      </c>
      <c r="BD27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73" t="str">
        <f>IF(GetCurrentMonthAging3[[#This Row],[InsGroupPrimary]]="","YES","NO")</f>
        <v>YES</v>
      </c>
      <c r="BF27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-100</v>
      </c>
    </row>
    <row r="274" spans="1:58" x14ac:dyDescent="0.25">
      <c r="A274" t="s">
        <v>103</v>
      </c>
      <c r="B274">
        <v>6</v>
      </c>
      <c r="C274" t="s">
        <v>331</v>
      </c>
      <c r="D274" s="142">
        <v>45199</v>
      </c>
      <c r="E274">
        <v>220910</v>
      </c>
      <c r="H274" t="b">
        <v>0</v>
      </c>
      <c r="I274">
        <v>1</v>
      </c>
      <c r="J274" t="s">
        <v>462</v>
      </c>
      <c r="AN274">
        <v>-6.5</v>
      </c>
      <c r="AV274" t="s">
        <v>334</v>
      </c>
      <c r="AW274" t="s">
        <v>334</v>
      </c>
      <c r="BA274" t="s">
        <v>264</v>
      </c>
      <c r="BB274" t="s">
        <v>463</v>
      </c>
      <c r="BC274">
        <v>1</v>
      </c>
      <c r="BD27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74" t="str">
        <f>IF(GetCurrentMonthAging3[[#This Row],[InsGroupPrimary]]="","YES","NO")</f>
        <v>YES</v>
      </c>
      <c r="BF27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-6.5</v>
      </c>
    </row>
    <row r="275" spans="1:58" x14ac:dyDescent="0.25">
      <c r="A275" t="s">
        <v>103</v>
      </c>
      <c r="B275">
        <v>6</v>
      </c>
      <c r="C275" t="s">
        <v>331</v>
      </c>
      <c r="D275" s="142">
        <v>45199</v>
      </c>
      <c r="E275">
        <v>49043</v>
      </c>
      <c r="H275" t="b">
        <v>0</v>
      </c>
      <c r="I275">
        <v>1</v>
      </c>
      <c r="J275" t="s">
        <v>462</v>
      </c>
      <c r="AN275">
        <v>-175</v>
      </c>
      <c r="AV275" t="s">
        <v>334</v>
      </c>
      <c r="AW275" t="s">
        <v>334</v>
      </c>
      <c r="BA275" t="s">
        <v>233</v>
      </c>
      <c r="BB275" t="s">
        <v>463</v>
      </c>
      <c r="BC275">
        <v>1</v>
      </c>
      <c r="BD27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75" t="str">
        <f>IF(GetCurrentMonthAging3[[#This Row],[InsGroupPrimary]]="","YES","NO")</f>
        <v>YES</v>
      </c>
      <c r="BF27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-175</v>
      </c>
    </row>
    <row r="276" spans="1:58" x14ac:dyDescent="0.25">
      <c r="A276" t="s">
        <v>103</v>
      </c>
      <c r="B276">
        <v>6</v>
      </c>
      <c r="C276" t="s">
        <v>331</v>
      </c>
      <c r="D276" s="142">
        <v>45199</v>
      </c>
      <c r="E276">
        <v>52696</v>
      </c>
      <c r="H276" t="b">
        <v>0</v>
      </c>
      <c r="I276">
        <v>1</v>
      </c>
      <c r="J276" t="s">
        <v>462</v>
      </c>
      <c r="AN276">
        <v>-15.5</v>
      </c>
      <c r="AV276" t="s">
        <v>334</v>
      </c>
      <c r="AW276" t="s">
        <v>334</v>
      </c>
      <c r="BA276" t="s">
        <v>264</v>
      </c>
      <c r="BB276" t="s">
        <v>463</v>
      </c>
      <c r="BC276">
        <v>1</v>
      </c>
      <c r="BD27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76" t="str">
        <f>IF(GetCurrentMonthAging3[[#This Row],[InsGroupPrimary]]="","YES","NO")</f>
        <v>YES</v>
      </c>
      <c r="BF27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-15.5</v>
      </c>
    </row>
    <row r="277" spans="1:58" x14ac:dyDescent="0.25">
      <c r="A277" t="s">
        <v>103</v>
      </c>
      <c r="B277">
        <v>6</v>
      </c>
      <c r="C277" t="s">
        <v>331</v>
      </c>
      <c r="D277" s="142">
        <v>45199</v>
      </c>
      <c r="E277">
        <v>171402</v>
      </c>
      <c r="H277" t="b">
        <v>0</v>
      </c>
      <c r="I277">
        <v>1</v>
      </c>
      <c r="J277" t="s">
        <v>462</v>
      </c>
      <c r="AN277">
        <v>-240</v>
      </c>
      <c r="AV277" t="s">
        <v>334</v>
      </c>
      <c r="AW277" t="s">
        <v>334</v>
      </c>
      <c r="BA277" t="s">
        <v>233</v>
      </c>
      <c r="BB277" t="s">
        <v>463</v>
      </c>
      <c r="BC277">
        <v>1</v>
      </c>
      <c r="BD27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77" t="str">
        <f>IF(GetCurrentMonthAging3[[#This Row],[InsGroupPrimary]]="","YES","NO")</f>
        <v>YES</v>
      </c>
      <c r="BF27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-240</v>
      </c>
    </row>
    <row r="278" spans="1:58" x14ac:dyDescent="0.25">
      <c r="A278" t="s">
        <v>103</v>
      </c>
      <c r="B278">
        <v>6</v>
      </c>
      <c r="C278" t="s">
        <v>331</v>
      </c>
      <c r="D278" s="142">
        <v>45199</v>
      </c>
      <c r="E278">
        <v>188216</v>
      </c>
      <c r="H278" t="b">
        <v>0</v>
      </c>
      <c r="I278">
        <v>1</v>
      </c>
      <c r="J278" t="s">
        <v>462</v>
      </c>
      <c r="AN278">
        <v>-3.15</v>
      </c>
      <c r="AV278" t="s">
        <v>334</v>
      </c>
      <c r="AW278" t="s">
        <v>334</v>
      </c>
      <c r="BA278" t="s">
        <v>264</v>
      </c>
      <c r="BB278" t="s">
        <v>463</v>
      </c>
      <c r="BC278">
        <v>1</v>
      </c>
      <c r="BD27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78" t="str">
        <f>IF(GetCurrentMonthAging3[[#This Row],[InsGroupPrimary]]="","YES","NO")</f>
        <v>YES</v>
      </c>
      <c r="BF27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-3.15</v>
      </c>
    </row>
    <row r="279" spans="1:58" x14ac:dyDescent="0.25">
      <c r="A279" t="s">
        <v>103</v>
      </c>
      <c r="B279">
        <v>6</v>
      </c>
      <c r="C279" t="s">
        <v>331</v>
      </c>
      <c r="D279" s="142">
        <v>45199</v>
      </c>
      <c r="E279">
        <v>133240</v>
      </c>
      <c r="H279" t="b">
        <v>0</v>
      </c>
      <c r="I279">
        <v>1</v>
      </c>
      <c r="J279" t="s">
        <v>462</v>
      </c>
      <c r="AN279">
        <v>-90</v>
      </c>
      <c r="AV279" t="s">
        <v>334</v>
      </c>
      <c r="AW279" t="s">
        <v>334</v>
      </c>
      <c r="BA279" t="s">
        <v>233</v>
      </c>
      <c r="BB279" t="s">
        <v>463</v>
      </c>
      <c r="BC279">
        <v>1</v>
      </c>
      <c r="BD27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79" t="str">
        <f>IF(GetCurrentMonthAging3[[#This Row],[InsGroupPrimary]]="","YES","NO")</f>
        <v>YES</v>
      </c>
      <c r="BF27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-90</v>
      </c>
    </row>
    <row r="280" spans="1:58" x14ac:dyDescent="0.25">
      <c r="A280" t="s">
        <v>103</v>
      </c>
      <c r="B280">
        <v>6</v>
      </c>
      <c r="C280" t="s">
        <v>331</v>
      </c>
      <c r="D280" s="142">
        <v>45199</v>
      </c>
      <c r="E280">
        <v>42784</v>
      </c>
      <c r="H280" t="b">
        <v>0</v>
      </c>
      <c r="I280">
        <v>1</v>
      </c>
      <c r="J280" t="s">
        <v>462</v>
      </c>
      <c r="AN280">
        <v>-60</v>
      </c>
      <c r="AV280" t="s">
        <v>334</v>
      </c>
      <c r="AW280" t="s">
        <v>334</v>
      </c>
      <c r="BA280" t="s">
        <v>233</v>
      </c>
      <c r="BB280" t="s">
        <v>463</v>
      </c>
      <c r="BC280">
        <v>1</v>
      </c>
      <c r="BD28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80" t="str">
        <f>IF(GetCurrentMonthAging3[[#This Row],[InsGroupPrimary]]="","YES","NO")</f>
        <v>YES</v>
      </c>
      <c r="BF28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281" spans="1:58" x14ac:dyDescent="0.25">
      <c r="A281" t="s">
        <v>103</v>
      </c>
      <c r="B281">
        <v>6</v>
      </c>
      <c r="C281" t="s">
        <v>331</v>
      </c>
      <c r="D281" s="142">
        <v>45199</v>
      </c>
      <c r="E281">
        <v>91538</v>
      </c>
      <c r="H281" t="b">
        <v>0</v>
      </c>
      <c r="I281">
        <v>1</v>
      </c>
      <c r="J281" t="s">
        <v>462</v>
      </c>
      <c r="AN281">
        <v>-55</v>
      </c>
      <c r="AV281" t="s">
        <v>334</v>
      </c>
      <c r="AW281" t="s">
        <v>334</v>
      </c>
      <c r="BA281" t="s">
        <v>233</v>
      </c>
      <c r="BB281" t="s">
        <v>463</v>
      </c>
      <c r="BC281">
        <v>1</v>
      </c>
      <c r="BD28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81" t="str">
        <f>IF(GetCurrentMonthAging3[[#This Row],[InsGroupPrimary]]="","YES","NO")</f>
        <v>YES</v>
      </c>
      <c r="BF28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-55</v>
      </c>
    </row>
    <row r="282" spans="1:58" x14ac:dyDescent="0.25">
      <c r="A282" t="s">
        <v>103</v>
      </c>
      <c r="B282">
        <v>6</v>
      </c>
      <c r="C282" t="s">
        <v>331</v>
      </c>
      <c r="D282" s="142">
        <v>45199</v>
      </c>
      <c r="E282">
        <v>180486</v>
      </c>
      <c r="H282" t="b">
        <v>0</v>
      </c>
      <c r="I282">
        <v>1</v>
      </c>
      <c r="J282" t="s">
        <v>462</v>
      </c>
      <c r="AN282">
        <v>-150</v>
      </c>
      <c r="AV282" t="s">
        <v>334</v>
      </c>
      <c r="AW282" t="s">
        <v>334</v>
      </c>
      <c r="BA282" t="s">
        <v>264</v>
      </c>
      <c r="BB282" t="s">
        <v>463</v>
      </c>
      <c r="BC282">
        <v>1</v>
      </c>
      <c r="BD28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82" t="str">
        <f>IF(GetCurrentMonthAging3[[#This Row],[InsGroupPrimary]]="","YES","NO")</f>
        <v>YES</v>
      </c>
      <c r="BF28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-150</v>
      </c>
    </row>
    <row r="283" spans="1:58" x14ac:dyDescent="0.25">
      <c r="A283" t="s">
        <v>103</v>
      </c>
      <c r="B283">
        <v>6</v>
      </c>
      <c r="C283" t="s">
        <v>331</v>
      </c>
      <c r="D283" s="142">
        <v>45199</v>
      </c>
      <c r="E283">
        <v>205335</v>
      </c>
      <c r="H283" t="b">
        <v>0</v>
      </c>
      <c r="I283">
        <v>1</v>
      </c>
      <c r="J283" t="s">
        <v>462</v>
      </c>
      <c r="AN283">
        <v>-5</v>
      </c>
      <c r="AV283" t="s">
        <v>334</v>
      </c>
      <c r="AW283" t="s">
        <v>334</v>
      </c>
      <c r="BA283" t="s">
        <v>264</v>
      </c>
      <c r="BB283" t="s">
        <v>463</v>
      </c>
      <c r="BC283">
        <v>1</v>
      </c>
      <c r="BD28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83" t="str">
        <f>IF(GetCurrentMonthAging3[[#This Row],[InsGroupPrimary]]="","YES","NO")</f>
        <v>YES</v>
      </c>
      <c r="BF28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v>
      </c>
    </row>
    <row r="284" spans="1:58" x14ac:dyDescent="0.25">
      <c r="A284" t="s">
        <v>103</v>
      </c>
      <c r="B284">
        <v>6</v>
      </c>
      <c r="C284" t="s">
        <v>331</v>
      </c>
      <c r="D284" s="142">
        <v>45199</v>
      </c>
      <c r="E284">
        <v>86764</v>
      </c>
      <c r="H284" t="b">
        <v>0</v>
      </c>
      <c r="I284">
        <v>1</v>
      </c>
      <c r="J284" t="s">
        <v>462</v>
      </c>
      <c r="AN284">
        <v>-12.45</v>
      </c>
      <c r="AV284" t="s">
        <v>334</v>
      </c>
      <c r="AW284" t="s">
        <v>334</v>
      </c>
      <c r="BA284" t="s">
        <v>233</v>
      </c>
      <c r="BB284" t="s">
        <v>463</v>
      </c>
      <c r="BC284">
        <v>1</v>
      </c>
      <c r="BD28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84" t="str">
        <f>IF(GetCurrentMonthAging3[[#This Row],[InsGroupPrimary]]="","YES","NO")</f>
        <v>YES</v>
      </c>
      <c r="BF28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-12.45</v>
      </c>
    </row>
    <row r="285" spans="1:58" x14ac:dyDescent="0.25">
      <c r="A285" t="s">
        <v>103</v>
      </c>
      <c r="B285">
        <v>6</v>
      </c>
      <c r="C285" t="s">
        <v>331</v>
      </c>
      <c r="D285" s="142">
        <v>45199</v>
      </c>
      <c r="E285">
        <v>42373</v>
      </c>
      <c r="H285" t="b">
        <v>0</v>
      </c>
      <c r="I285">
        <v>1</v>
      </c>
      <c r="J285" t="s">
        <v>462</v>
      </c>
      <c r="AN285">
        <v>-42.7</v>
      </c>
      <c r="AV285" t="s">
        <v>334</v>
      </c>
      <c r="AW285" t="s">
        <v>334</v>
      </c>
      <c r="BA285" t="s">
        <v>264</v>
      </c>
      <c r="BB285" t="s">
        <v>463</v>
      </c>
      <c r="BC285">
        <v>1</v>
      </c>
      <c r="BD28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85" t="str">
        <f>IF(GetCurrentMonthAging3[[#This Row],[InsGroupPrimary]]="","YES","NO")</f>
        <v>YES</v>
      </c>
      <c r="BF28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-42.7</v>
      </c>
    </row>
    <row r="286" spans="1:58" x14ac:dyDescent="0.25">
      <c r="A286" t="s">
        <v>103</v>
      </c>
      <c r="B286">
        <v>6</v>
      </c>
      <c r="C286" t="s">
        <v>331</v>
      </c>
      <c r="D286" s="142">
        <v>45199</v>
      </c>
      <c r="E286">
        <v>131633</v>
      </c>
      <c r="H286" t="b">
        <v>0</v>
      </c>
      <c r="I286">
        <v>1</v>
      </c>
      <c r="J286" t="s">
        <v>462</v>
      </c>
      <c r="AN286">
        <v>-28</v>
      </c>
      <c r="AV286" t="s">
        <v>334</v>
      </c>
      <c r="AW286" t="s">
        <v>334</v>
      </c>
      <c r="BA286" t="s">
        <v>264</v>
      </c>
      <c r="BB286" t="s">
        <v>463</v>
      </c>
      <c r="BC286">
        <v>1</v>
      </c>
      <c r="BD28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86" t="str">
        <f>IF(GetCurrentMonthAging3[[#This Row],[InsGroupPrimary]]="","YES","NO")</f>
        <v>YES</v>
      </c>
      <c r="BF28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-28</v>
      </c>
    </row>
    <row r="287" spans="1:58" x14ac:dyDescent="0.25">
      <c r="A287" t="s">
        <v>103</v>
      </c>
      <c r="B287">
        <v>6</v>
      </c>
      <c r="C287" t="s">
        <v>331</v>
      </c>
      <c r="D287" s="142">
        <v>45199</v>
      </c>
      <c r="E287">
        <v>44925</v>
      </c>
      <c r="H287" t="b">
        <v>0</v>
      </c>
      <c r="I287">
        <v>1</v>
      </c>
      <c r="J287" t="s">
        <v>462</v>
      </c>
      <c r="AN287">
        <v>-20</v>
      </c>
      <c r="AV287" t="s">
        <v>334</v>
      </c>
      <c r="AW287" t="s">
        <v>334</v>
      </c>
      <c r="BA287" t="s">
        <v>264</v>
      </c>
      <c r="BB287" t="s">
        <v>463</v>
      </c>
      <c r="BC287">
        <v>1</v>
      </c>
      <c r="BD28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87" t="str">
        <f>IF(GetCurrentMonthAging3[[#This Row],[InsGroupPrimary]]="","YES","NO")</f>
        <v>YES</v>
      </c>
      <c r="BF28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288" spans="1:58" x14ac:dyDescent="0.25">
      <c r="A288" t="s">
        <v>103</v>
      </c>
      <c r="B288">
        <v>6</v>
      </c>
      <c r="C288" t="s">
        <v>331</v>
      </c>
      <c r="D288" s="142">
        <v>45199</v>
      </c>
      <c r="E288">
        <v>45987</v>
      </c>
      <c r="H288" t="b">
        <v>0</v>
      </c>
      <c r="I288">
        <v>1</v>
      </c>
      <c r="J288" t="s">
        <v>462</v>
      </c>
      <c r="AN288">
        <v>-50</v>
      </c>
      <c r="AV288" t="s">
        <v>334</v>
      </c>
      <c r="AW288" t="s">
        <v>334</v>
      </c>
      <c r="BA288" t="s">
        <v>264</v>
      </c>
      <c r="BB288" t="s">
        <v>463</v>
      </c>
      <c r="BC288">
        <v>1</v>
      </c>
      <c r="BD28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88" t="str">
        <f>IF(GetCurrentMonthAging3[[#This Row],[InsGroupPrimary]]="","YES","NO")</f>
        <v>YES</v>
      </c>
      <c r="BF28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-50</v>
      </c>
    </row>
    <row r="289" spans="1:58" x14ac:dyDescent="0.25">
      <c r="A289" t="s">
        <v>103</v>
      </c>
      <c r="B289">
        <v>6</v>
      </c>
      <c r="C289" t="s">
        <v>331</v>
      </c>
      <c r="D289" s="142">
        <v>45199</v>
      </c>
      <c r="E289">
        <v>72561</v>
      </c>
      <c r="H289" t="b">
        <v>0</v>
      </c>
      <c r="I289">
        <v>1</v>
      </c>
      <c r="J289" t="s">
        <v>462</v>
      </c>
      <c r="AN289">
        <v>-180</v>
      </c>
      <c r="AV289" t="s">
        <v>334</v>
      </c>
      <c r="AW289" t="s">
        <v>334</v>
      </c>
      <c r="BA289" t="s">
        <v>233</v>
      </c>
      <c r="BB289" t="s">
        <v>463</v>
      </c>
      <c r="BC289">
        <v>1</v>
      </c>
      <c r="BD28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89" t="str">
        <f>IF(GetCurrentMonthAging3[[#This Row],[InsGroupPrimary]]="","YES","NO")</f>
        <v>YES</v>
      </c>
      <c r="BF28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-180</v>
      </c>
    </row>
    <row r="290" spans="1:58" x14ac:dyDescent="0.25">
      <c r="A290" t="s">
        <v>103</v>
      </c>
      <c r="B290">
        <v>6</v>
      </c>
      <c r="C290" t="s">
        <v>331</v>
      </c>
      <c r="D290" s="142">
        <v>45199</v>
      </c>
      <c r="E290">
        <v>122293</v>
      </c>
      <c r="H290" t="b">
        <v>0</v>
      </c>
      <c r="I290">
        <v>1</v>
      </c>
      <c r="J290" t="s">
        <v>462</v>
      </c>
      <c r="AN290">
        <v>-40</v>
      </c>
      <c r="AV290" t="s">
        <v>334</v>
      </c>
      <c r="AW290" t="s">
        <v>334</v>
      </c>
      <c r="BA290" t="s">
        <v>233</v>
      </c>
      <c r="BB290" t="s">
        <v>463</v>
      </c>
      <c r="BC290">
        <v>1</v>
      </c>
      <c r="BD29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90" t="str">
        <f>IF(GetCurrentMonthAging3[[#This Row],[InsGroupPrimary]]="","YES","NO")</f>
        <v>YES</v>
      </c>
      <c r="BF29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291" spans="1:58" x14ac:dyDescent="0.25">
      <c r="A291" t="s">
        <v>103</v>
      </c>
      <c r="B291">
        <v>6</v>
      </c>
      <c r="C291" t="s">
        <v>331</v>
      </c>
      <c r="D291" s="142">
        <v>45199</v>
      </c>
      <c r="E291">
        <v>42976</v>
      </c>
      <c r="H291" t="b">
        <v>0</v>
      </c>
      <c r="I291">
        <v>1</v>
      </c>
      <c r="J291" t="s">
        <v>462</v>
      </c>
      <c r="AN291">
        <v>-36</v>
      </c>
      <c r="AV291" t="s">
        <v>334</v>
      </c>
      <c r="AW291" t="s">
        <v>334</v>
      </c>
      <c r="BA291" t="s">
        <v>264</v>
      </c>
      <c r="BB291" t="s">
        <v>463</v>
      </c>
      <c r="BC291">
        <v>1</v>
      </c>
      <c r="BD29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91" t="str">
        <f>IF(GetCurrentMonthAging3[[#This Row],[InsGroupPrimary]]="","YES","NO")</f>
        <v>YES</v>
      </c>
      <c r="BF29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-36</v>
      </c>
    </row>
    <row r="292" spans="1:58" x14ac:dyDescent="0.25">
      <c r="A292" t="s">
        <v>103</v>
      </c>
      <c r="B292">
        <v>6</v>
      </c>
      <c r="C292" t="s">
        <v>331</v>
      </c>
      <c r="D292" s="142">
        <v>45199</v>
      </c>
      <c r="E292">
        <v>66531</v>
      </c>
      <c r="H292" t="b">
        <v>0</v>
      </c>
      <c r="I292">
        <v>1</v>
      </c>
      <c r="J292" t="s">
        <v>462</v>
      </c>
      <c r="AN292">
        <v>-80</v>
      </c>
      <c r="AV292" t="s">
        <v>334</v>
      </c>
      <c r="AW292" t="s">
        <v>334</v>
      </c>
      <c r="BA292" t="s">
        <v>233</v>
      </c>
      <c r="BB292" t="s">
        <v>463</v>
      </c>
      <c r="BC292">
        <v>1</v>
      </c>
      <c r="BD29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92" t="str">
        <f>IF(GetCurrentMonthAging3[[#This Row],[InsGroupPrimary]]="","YES","NO")</f>
        <v>YES</v>
      </c>
      <c r="BF29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-80</v>
      </c>
    </row>
    <row r="293" spans="1:58" x14ac:dyDescent="0.25">
      <c r="A293" t="s">
        <v>103</v>
      </c>
      <c r="B293">
        <v>6</v>
      </c>
      <c r="C293" t="s">
        <v>331</v>
      </c>
      <c r="D293" s="142">
        <v>45199</v>
      </c>
      <c r="E293">
        <v>30153</v>
      </c>
      <c r="H293" t="b">
        <v>0</v>
      </c>
      <c r="I293">
        <v>1</v>
      </c>
      <c r="J293" t="s">
        <v>462</v>
      </c>
      <c r="AN293">
        <v>-6</v>
      </c>
      <c r="AV293" t="s">
        <v>334</v>
      </c>
      <c r="AW293" t="s">
        <v>334</v>
      </c>
      <c r="BA293" t="s">
        <v>264</v>
      </c>
      <c r="BB293" t="s">
        <v>463</v>
      </c>
      <c r="BC293">
        <v>1</v>
      </c>
      <c r="BD29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93" t="str">
        <f>IF(GetCurrentMonthAging3[[#This Row],[InsGroupPrimary]]="","YES","NO")</f>
        <v>YES</v>
      </c>
      <c r="BF29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v>
      </c>
    </row>
    <row r="294" spans="1:58" x14ac:dyDescent="0.25">
      <c r="A294" t="s">
        <v>103</v>
      </c>
      <c r="B294">
        <v>6</v>
      </c>
      <c r="C294" t="s">
        <v>331</v>
      </c>
      <c r="D294" s="142">
        <v>45199</v>
      </c>
      <c r="E294">
        <v>90290</v>
      </c>
      <c r="H294" t="b">
        <v>0</v>
      </c>
      <c r="I294">
        <v>1</v>
      </c>
      <c r="J294" t="s">
        <v>462</v>
      </c>
      <c r="AN294">
        <v>-25</v>
      </c>
      <c r="AV294" t="s">
        <v>334</v>
      </c>
      <c r="AW294" t="s">
        <v>334</v>
      </c>
      <c r="BA294" t="s">
        <v>264</v>
      </c>
      <c r="BB294" t="s">
        <v>463</v>
      </c>
      <c r="BC294">
        <v>1</v>
      </c>
      <c r="BD29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94" t="str">
        <f>IF(GetCurrentMonthAging3[[#This Row],[InsGroupPrimary]]="","YES","NO")</f>
        <v>YES</v>
      </c>
      <c r="BF29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v>
      </c>
    </row>
    <row r="295" spans="1:58" x14ac:dyDescent="0.25">
      <c r="A295" t="s">
        <v>103</v>
      </c>
      <c r="B295">
        <v>6</v>
      </c>
      <c r="C295" t="s">
        <v>331</v>
      </c>
      <c r="D295" s="142">
        <v>45199</v>
      </c>
      <c r="E295">
        <v>158408</v>
      </c>
      <c r="H295" t="b">
        <v>0</v>
      </c>
      <c r="I295">
        <v>1</v>
      </c>
      <c r="J295" t="s">
        <v>462</v>
      </c>
      <c r="AN295">
        <v>-125</v>
      </c>
      <c r="AV295" t="s">
        <v>334</v>
      </c>
      <c r="AW295" t="s">
        <v>334</v>
      </c>
      <c r="BA295" t="s">
        <v>264</v>
      </c>
      <c r="BB295" t="s">
        <v>463</v>
      </c>
      <c r="BC295">
        <v>1</v>
      </c>
      <c r="BD29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95" t="str">
        <f>IF(GetCurrentMonthAging3[[#This Row],[InsGroupPrimary]]="","YES","NO")</f>
        <v>YES</v>
      </c>
      <c r="BF29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-125</v>
      </c>
    </row>
    <row r="296" spans="1:58" x14ac:dyDescent="0.25">
      <c r="A296" t="s">
        <v>100</v>
      </c>
      <c r="B296">
        <v>6</v>
      </c>
      <c r="C296" t="s">
        <v>331</v>
      </c>
      <c r="D296" s="142">
        <v>45199</v>
      </c>
      <c r="E296">
        <v>6711</v>
      </c>
      <c r="F296">
        <v>89668</v>
      </c>
      <c r="G296">
        <v>290815</v>
      </c>
      <c r="H296" t="b">
        <v>0</v>
      </c>
      <c r="I296">
        <v>4230</v>
      </c>
      <c r="J296" t="s">
        <v>412</v>
      </c>
      <c r="K296">
        <v>90</v>
      </c>
      <c r="L296">
        <v>45</v>
      </c>
      <c r="M296">
        <v>2</v>
      </c>
      <c r="N296">
        <v>0</v>
      </c>
      <c r="O296">
        <v>15.6</v>
      </c>
      <c r="P296">
        <v>0</v>
      </c>
      <c r="Q296">
        <v>113.2</v>
      </c>
      <c r="R296">
        <v>0</v>
      </c>
      <c r="T296">
        <v>90</v>
      </c>
      <c r="U296">
        <v>0</v>
      </c>
      <c r="V296">
        <v>1</v>
      </c>
      <c r="W296">
        <v>36.4</v>
      </c>
      <c r="X296">
        <v>38</v>
      </c>
      <c r="Y296">
        <v>0</v>
      </c>
      <c r="Z296">
        <v>0</v>
      </c>
      <c r="AA296">
        <v>0</v>
      </c>
      <c r="AB296">
        <v>0</v>
      </c>
      <c r="AC296">
        <v>0</v>
      </c>
      <c r="AD296">
        <v>0</v>
      </c>
      <c r="AE296">
        <v>0</v>
      </c>
      <c r="AF296">
        <v>0</v>
      </c>
      <c r="AG296">
        <v>0</v>
      </c>
      <c r="AH296">
        <v>0</v>
      </c>
      <c r="AI296">
        <v>0</v>
      </c>
      <c r="AJ296">
        <v>0</v>
      </c>
      <c r="AK296">
        <v>0</v>
      </c>
      <c r="AL296">
        <v>0</v>
      </c>
      <c r="AM296">
        <v>0</v>
      </c>
      <c r="AN296">
        <v>-97.6</v>
      </c>
      <c r="AP296" t="s">
        <v>260</v>
      </c>
      <c r="AS296" t="s">
        <v>458</v>
      </c>
      <c r="AV296" t="s">
        <v>334</v>
      </c>
      <c r="AW296" t="s">
        <v>334</v>
      </c>
      <c r="AX296">
        <v>0</v>
      </c>
      <c r="AY296">
        <v>0</v>
      </c>
      <c r="AZ296" t="s">
        <v>264</v>
      </c>
      <c r="BA296" t="s">
        <v>264</v>
      </c>
      <c r="BB296" t="s">
        <v>411</v>
      </c>
      <c r="BC296">
        <v>8</v>
      </c>
      <c r="BD29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-97.6</v>
      </c>
      <c r="BE296" t="str">
        <f>IF(GetCurrentMonthAging3[[#This Row],[InsGroupPrimary]]="","YES","NO")</f>
        <v>NO</v>
      </c>
      <c r="BF29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-97.6</v>
      </c>
    </row>
    <row r="297" spans="1:58" x14ac:dyDescent="0.25">
      <c r="A297" t="s">
        <v>103</v>
      </c>
      <c r="B297">
        <v>6</v>
      </c>
      <c r="C297" t="s">
        <v>331</v>
      </c>
      <c r="D297" s="142">
        <v>45199</v>
      </c>
      <c r="E297">
        <v>193236</v>
      </c>
      <c r="H297" t="b">
        <v>0</v>
      </c>
      <c r="I297">
        <v>1</v>
      </c>
      <c r="J297" t="s">
        <v>462</v>
      </c>
      <c r="AN297">
        <v>-24</v>
      </c>
      <c r="AV297" t="s">
        <v>334</v>
      </c>
      <c r="AW297" t="s">
        <v>334</v>
      </c>
      <c r="BA297" t="s">
        <v>264</v>
      </c>
      <c r="BB297" t="s">
        <v>463</v>
      </c>
      <c r="BC297">
        <v>1</v>
      </c>
      <c r="BD29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97" t="str">
        <f>IF(GetCurrentMonthAging3[[#This Row],[InsGroupPrimary]]="","YES","NO")</f>
        <v>YES</v>
      </c>
      <c r="BF29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-24</v>
      </c>
    </row>
    <row r="298" spans="1:58" x14ac:dyDescent="0.25">
      <c r="A298" t="s">
        <v>103</v>
      </c>
      <c r="B298">
        <v>6</v>
      </c>
      <c r="C298" t="s">
        <v>331</v>
      </c>
      <c r="D298" s="142">
        <v>45199</v>
      </c>
      <c r="E298">
        <v>105061</v>
      </c>
      <c r="H298" t="b">
        <v>0</v>
      </c>
      <c r="I298">
        <v>1</v>
      </c>
      <c r="J298" t="s">
        <v>462</v>
      </c>
      <c r="AN298">
        <v>-30</v>
      </c>
      <c r="AV298" t="s">
        <v>334</v>
      </c>
      <c r="AW298" t="s">
        <v>334</v>
      </c>
      <c r="BA298" t="s">
        <v>233</v>
      </c>
      <c r="BB298" t="s">
        <v>463</v>
      </c>
      <c r="BC298">
        <v>1</v>
      </c>
      <c r="BD29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98" t="str">
        <f>IF(GetCurrentMonthAging3[[#This Row],[InsGroupPrimary]]="","YES","NO")</f>
        <v>YES</v>
      </c>
      <c r="BF29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-30</v>
      </c>
    </row>
    <row r="299" spans="1:58" x14ac:dyDescent="0.25">
      <c r="A299" t="s">
        <v>103</v>
      </c>
      <c r="B299">
        <v>6</v>
      </c>
      <c r="C299" t="s">
        <v>331</v>
      </c>
      <c r="D299" s="142">
        <v>45199</v>
      </c>
      <c r="E299">
        <v>236817</v>
      </c>
      <c r="H299" t="b">
        <v>0</v>
      </c>
      <c r="I299">
        <v>1</v>
      </c>
      <c r="J299" t="s">
        <v>462</v>
      </c>
      <c r="AN299">
        <v>-204.27</v>
      </c>
      <c r="AV299" t="s">
        <v>334</v>
      </c>
      <c r="AW299" t="s">
        <v>334</v>
      </c>
      <c r="BA299" t="s">
        <v>233</v>
      </c>
      <c r="BB299" t="s">
        <v>463</v>
      </c>
      <c r="BC299">
        <v>1</v>
      </c>
      <c r="BD29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299" t="str">
        <f>IF(GetCurrentMonthAging3[[#This Row],[InsGroupPrimary]]="","YES","NO")</f>
        <v>YES</v>
      </c>
      <c r="BF29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-204.27</v>
      </c>
    </row>
    <row r="300" spans="1:58" x14ac:dyDescent="0.25">
      <c r="A300" t="s">
        <v>103</v>
      </c>
      <c r="B300">
        <v>6</v>
      </c>
      <c r="C300" t="s">
        <v>331</v>
      </c>
      <c r="D300" s="142">
        <v>45199</v>
      </c>
      <c r="E300">
        <v>62505</v>
      </c>
      <c r="H300" t="b">
        <v>0</v>
      </c>
      <c r="I300">
        <v>1</v>
      </c>
      <c r="J300" t="s">
        <v>462</v>
      </c>
      <c r="AN300">
        <v>-61</v>
      </c>
      <c r="AV300" t="s">
        <v>334</v>
      </c>
      <c r="AW300" t="s">
        <v>334</v>
      </c>
      <c r="BA300" t="s">
        <v>264</v>
      </c>
      <c r="BB300" t="s">
        <v>463</v>
      </c>
      <c r="BC300">
        <v>1</v>
      </c>
      <c r="BD30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00" t="str">
        <f>IF(GetCurrentMonthAging3[[#This Row],[InsGroupPrimary]]="","YES","NO")</f>
        <v>YES</v>
      </c>
      <c r="BF30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-61</v>
      </c>
    </row>
    <row r="301" spans="1:58" x14ac:dyDescent="0.25">
      <c r="A301" t="s">
        <v>103</v>
      </c>
      <c r="B301">
        <v>6</v>
      </c>
      <c r="C301" t="s">
        <v>331</v>
      </c>
      <c r="D301" s="142">
        <v>45199</v>
      </c>
      <c r="E301">
        <v>60012</v>
      </c>
      <c r="H301" t="b">
        <v>0</v>
      </c>
      <c r="I301">
        <v>1</v>
      </c>
      <c r="J301" t="s">
        <v>462</v>
      </c>
      <c r="AN301">
        <v>-10</v>
      </c>
      <c r="AV301" t="s">
        <v>334</v>
      </c>
      <c r="AW301" t="s">
        <v>334</v>
      </c>
      <c r="BA301" t="s">
        <v>233</v>
      </c>
      <c r="BB301" t="s">
        <v>463</v>
      </c>
      <c r="BC301">
        <v>1</v>
      </c>
      <c r="BD30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01" t="str">
        <f>IF(GetCurrentMonthAging3[[#This Row],[InsGroupPrimary]]="","YES","NO")</f>
        <v>YES</v>
      </c>
      <c r="BF30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v>
      </c>
    </row>
    <row r="302" spans="1:58" x14ac:dyDescent="0.25">
      <c r="A302" t="s">
        <v>103</v>
      </c>
      <c r="B302">
        <v>6</v>
      </c>
      <c r="C302" t="s">
        <v>331</v>
      </c>
      <c r="D302" s="142">
        <v>45199</v>
      </c>
      <c r="E302">
        <v>41046</v>
      </c>
      <c r="H302" t="b">
        <v>0</v>
      </c>
      <c r="I302">
        <v>1</v>
      </c>
      <c r="J302" t="s">
        <v>462</v>
      </c>
      <c r="AN302">
        <v>-45.56</v>
      </c>
      <c r="AV302" t="s">
        <v>334</v>
      </c>
      <c r="AW302" t="s">
        <v>334</v>
      </c>
      <c r="BA302" t="s">
        <v>264</v>
      </c>
      <c r="BB302" t="s">
        <v>463</v>
      </c>
      <c r="BC302">
        <v>1</v>
      </c>
      <c r="BD30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02" t="str">
        <f>IF(GetCurrentMonthAging3[[#This Row],[InsGroupPrimary]]="","YES","NO")</f>
        <v>YES</v>
      </c>
      <c r="BF30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-45.56</v>
      </c>
    </row>
    <row r="303" spans="1:58" x14ac:dyDescent="0.25">
      <c r="A303" t="s">
        <v>103</v>
      </c>
      <c r="B303">
        <v>6</v>
      </c>
      <c r="C303" t="s">
        <v>331</v>
      </c>
      <c r="D303" s="142">
        <v>45199</v>
      </c>
      <c r="E303">
        <v>212978</v>
      </c>
      <c r="H303" t="b">
        <v>0</v>
      </c>
      <c r="I303">
        <v>1</v>
      </c>
      <c r="J303" t="s">
        <v>462</v>
      </c>
      <c r="AN303">
        <v>-35</v>
      </c>
      <c r="AV303" t="s">
        <v>334</v>
      </c>
      <c r="AW303" t="s">
        <v>334</v>
      </c>
      <c r="BA303" t="s">
        <v>264</v>
      </c>
      <c r="BB303" t="s">
        <v>463</v>
      </c>
      <c r="BC303">
        <v>1</v>
      </c>
      <c r="BD30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03" t="str">
        <f>IF(GetCurrentMonthAging3[[#This Row],[InsGroupPrimary]]="","YES","NO")</f>
        <v>YES</v>
      </c>
      <c r="BF30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-35</v>
      </c>
    </row>
    <row r="304" spans="1:58" x14ac:dyDescent="0.25">
      <c r="A304" t="s">
        <v>103</v>
      </c>
      <c r="B304">
        <v>6</v>
      </c>
      <c r="C304" t="s">
        <v>331</v>
      </c>
      <c r="D304" s="142">
        <v>45199</v>
      </c>
      <c r="E304">
        <v>90988</v>
      </c>
      <c r="H304" t="b">
        <v>0</v>
      </c>
      <c r="I304">
        <v>1</v>
      </c>
      <c r="J304" t="s">
        <v>462</v>
      </c>
      <c r="AN304">
        <v>-42.81</v>
      </c>
      <c r="AV304" t="s">
        <v>334</v>
      </c>
      <c r="AW304" t="s">
        <v>334</v>
      </c>
      <c r="BA304" t="s">
        <v>264</v>
      </c>
      <c r="BB304" t="s">
        <v>463</v>
      </c>
      <c r="BC304">
        <v>1</v>
      </c>
      <c r="BD30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04" t="str">
        <f>IF(GetCurrentMonthAging3[[#This Row],[InsGroupPrimary]]="","YES","NO")</f>
        <v>YES</v>
      </c>
      <c r="BF30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-42.81</v>
      </c>
    </row>
    <row r="305" spans="1:58" x14ac:dyDescent="0.25">
      <c r="A305" t="s">
        <v>103</v>
      </c>
      <c r="B305">
        <v>6</v>
      </c>
      <c r="C305" t="s">
        <v>331</v>
      </c>
      <c r="D305" s="142">
        <v>45199</v>
      </c>
      <c r="E305">
        <v>178116</v>
      </c>
      <c r="H305" t="b">
        <v>0</v>
      </c>
      <c r="I305">
        <v>1</v>
      </c>
      <c r="J305" t="s">
        <v>462</v>
      </c>
      <c r="AN305">
        <v>-40</v>
      </c>
      <c r="AV305" t="s">
        <v>334</v>
      </c>
      <c r="AW305" t="s">
        <v>334</v>
      </c>
      <c r="BA305" t="s">
        <v>233</v>
      </c>
      <c r="BB305" t="s">
        <v>463</v>
      </c>
      <c r="BC305">
        <v>1</v>
      </c>
      <c r="BD30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05" t="str">
        <f>IF(GetCurrentMonthAging3[[#This Row],[InsGroupPrimary]]="","YES","NO")</f>
        <v>YES</v>
      </c>
      <c r="BF30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306" spans="1:58" x14ac:dyDescent="0.25">
      <c r="A306" t="s">
        <v>103</v>
      </c>
      <c r="B306">
        <v>6</v>
      </c>
      <c r="C306" t="s">
        <v>331</v>
      </c>
      <c r="D306" s="142">
        <v>45199</v>
      </c>
      <c r="E306">
        <v>40538</v>
      </c>
      <c r="H306" t="b">
        <v>0</v>
      </c>
      <c r="I306">
        <v>1</v>
      </c>
      <c r="J306" t="s">
        <v>462</v>
      </c>
      <c r="AN306">
        <v>-15</v>
      </c>
      <c r="AV306" t="s">
        <v>334</v>
      </c>
      <c r="AW306" t="s">
        <v>334</v>
      </c>
      <c r="BA306" t="s">
        <v>233</v>
      </c>
      <c r="BB306" t="s">
        <v>463</v>
      </c>
      <c r="BC306">
        <v>1</v>
      </c>
      <c r="BD30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06" t="str">
        <f>IF(GetCurrentMonthAging3[[#This Row],[InsGroupPrimary]]="","YES","NO")</f>
        <v>YES</v>
      </c>
      <c r="BF30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v>
      </c>
    </row>
    <row r="307" spans="1:58" x14ac:dyDescent="0.25">
      <c r="A307" t="s">
        <v>103</v>
      </c>
      <c r="B307">
        <v>6</v>
      </c>
      <c r="C307" t="s">
        <v>331</v>
      </c>
      <c r="D307" s="142">
        <v>45199</v>
      </c>
      <c r="E307">
        <v>163249</v>
      </c>
      <c r="H307" t="b">
        <v>0</v>
      </c>
      <c r="I307">
        <v>1</v>
      </c>
      <c r="J307" t="s">
        <v>462</v>
      </c>
      <c r="AN307">
        <v>-20</v>
      </c>
      <c r="AV307" t="s">
        <v>334</v>
      </c>
      <c r="AW307" t="s">
        <v>334</v>
      </c>
      <c r="BA307" t="s">
        <v>233</v>
      </c>
      <c r="BB307" t="s">
        <v>463</v>
      </c>
      <c r="BC307">
        <v>1</v>
      </c>
      <c r="BD30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07" t="str">
        <f>IF(GetCurrentMonthAging3[[#This Row],[InsGroupPrimary]]="","YES","NO")</f>
        <v>YES</v>
      </c>
      <c r="BF30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308" spans="1:58" x14ac:dyDescent="0.25">
      <c r="A308" t="s">
        <v>103</v>
      </c>
      <c r="B308">
        <v>6</v>
      </c>
      <c r="C308" t="s">
        <v>331</v>
      </c>
      <c r="D308" s="142">
        <v>45199</v>
      </c>
      <c r="E308">
        <v>42076</v>
      </c>
      <c r="H308" t="b">
        <v>0</v>
      </c>
      <c r="I308">
        <v>1</v>
      </c>
      <c r="J308" t="s">
        <v>462</v>
      </c>
      <c r="AN308">
        <v>-50</v>
      </c>
      <c r="AV308" t="s">
        <v>334</v>
      </c>
      <c r="AW308" t="s">
        <v>334</v>
      </c>
      <c r="BA308" t="s">
        <v>233</v>
      </c>
      <c r="BB308" t="s">
        <v>463</v>
      </c>
      <c r="BC308">
        <v>1</v>
      </c>
      <c r="BD30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08" t="str">
        <f>IF(GetCurrentMonthAging3[[#This Row],[InsGroupPrimary]]="","YES","NO")</f>
        <v>YES</v>
      </c>
      <c r="BF30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-50</v>
      </c>
    </row>
    <row r="309" spans="1:58" x14ac:dyDescent="0.25">
      <c r="A309" t="s">
        <v>103</v>
      </c>
      <c r="B309">
        <v>6</v>
      </c>
      <c r="C309" t="s">
        <v>331</v>
      </c>
      <c r="D309" s="142">
        <v>45199</v>
      </c>
      <c r="E309">
        <v>138993</v>
      </c>
      <c r="H309" t="b">
        <v>0</v>
      </c>
      <c r="I309">
        <v>1</v>
      </c>
      <c r="J309" t="s">
        <v>462</v>
      </c>
      <c r="AN309">
        <v>-30</v>
      </c>
      <c r="AV309" t="s">
        <v>334</v>
      </c>
      <c r="AW309" t="s">
        <v>334</v>
      </c>
      <c r="BA309" t="s">
        <v>264</v>
      </c>
      <c r="BB309" t="s">
        <v>463</v>
      </c>
      <c r="BC309">
        <v>1</v>
      </c>
      <c r="BD30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09" t="str">
        <f>IF(GetCurrentMonthAging3[[#This Row],[InsGroupPrimary]]="","YES","NO")</f>
        <v>YES</v>
      </c>
      <c r="BF30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-30</v>
      </c>
    </row>
    <row r="310" spans="1:58" x14ac:dyDescent="0.25">
      <c r="A310" t="s">
        <v>103</v>
      </c>
      <c r="B310">
        <v>6</v>
      </c>
      <c r="C310" t="s">
        <v>331</v>
      </c>
      <c r="D310" s="142">
        <v>45199</v>
      </c>
      <c r="E310">
        <v>84813</v>
      </c>
      <c r="H310" t="b">
        <v>0</v>
      </c>
      <c r="I310">
        <v>1</v>
      </c>
      <c r="J310" t="s">
        <v>462</v>
      </c>
      <c r="AN310">
        <v>-40.36</v>
      </c>
      <c r="AV310" t="s">
        <v>334</v>
      </c>
      <c r="AW310" t="s">
        <v>334</v>
      </c>
      <c r="BA310" t="s">
        <v>233</v>
      </c>
      <c r="BB310" t="s">
        <v>463</v>
      </c>
      <c r="BC310">
        <v>1</v>
      </c>
      <c r="BD31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10" t="str">
        <f>IF(GetCurrentMonthAging3[[#This Row],[InsGroupPrimary]]="","YES","NO")</f>
        <v>YES</v>
      </c>
      <c r="BF31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-40.36</v>
      </c>
    </row>
    <row r="311" spans="1:58" x14ac:dyDescent="0.25">
      <c r="A311" t="s">
        <v>103</v>
      </c>
      <c r="B311">
        <v>6</v>
      </c>
      <c r="C311" t="s">
        <v>331</v>
      </c>
      <c r="D311" s="142">
        <v>45199</v>
      </c>
      <c r="E311">
        <v>225033</v>
      </c>
      <c r="H311" t="b">
        <v>0</v>
      </c>
      <c r="I311">
        <v>1</v>
      </c>
      <c r="J311" t="s">
        <v>462</v>
      </c>
      <c r="AN311">
        <v>-61.8</v>
      </c>
      <c r="AV311" t="s">
        <v>334</v>
      </c>
      <c r="AW311" t="s">
        <v>334</v>
      </c>
      <c r="BA311" t="s">
        <v>264</v>
      </c>
      <c r="BB311" t="s">
        <v>463</v>
      </c>
      <c r="BC311">
        <v>1</v>
      </c>
      <c r="BD31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11" t="str">
        <f>IF(GetCurrentMonthAging3[[#This Row],[InsGroupPrimary]]="","YES","NO")</f>
        <v>YES</v>
      </c>
      <c r="BF31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-61.8</v>
      </c>
    </row>
    <row r="312" spans="1:58" x14ac:dyDescent="0.25">
      <c r="A312" t="s">
        <v>103</v>
      </c>
      <c r="B312">
        <v>6</v>
      </c>
      <c r="C312" t="s">
        <v>331</v>
      </c>
      <c r="D312" s="142">
        <v>45199</v>
      </c>
      <c r="E312">
        <v>250317</v>
      </c>
      <c r="H312" t="b">
        <v>0</v>
      </c>
      <c r="I312">
        <v>1</v>
      </c>
      <c r="J312" t="s">
        <v>462</v>
      </c>
      <c r="AN312">
        <v>-13</v>
      </c>
      <c r="AV312" t="s">
        <v>334</v>
      </c>
      <c r="AW312" t="s">
        <v>334</v>
      </c>
      <c r="BA312" t="s">
        <v>264</v>
      </c>
      <c r="BB312" t="s">
        <v>463</v>
      </c>
      <c r="BC312">
        <v>1</v>
      </c>
      <c r="BD31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12" t="str">
        <f>IF(GetCurrentMonthAging3[[#This Row],[InsGroupPrimary]]="","YES","NO")</f>
        <v>YES</v>
      </c>
      <c r="BF31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-13</v>
      </c>
    </row>
    <row r="313" spans="1:58" x14ac:dyDescent="0.25">
      <c r="A313" t="s">
        <v>103</v>
      </c>
      <c r="B313">
        <v>6</v>
      </c>
      <c r="C313" t="s">
        <v>331</v>
      </c>
      <c r="D313" s="142">
        <v>45199</v>
      </c>
      <c r="E313">
        <v>245029</v>
      </c>
      <c r="H313" t="b">
        <v>0</v>
      </c>
      <c r="I313">
        <v>1</v>
      </c>
      <c r="J313" t="s">
        <v>462</v>
      </c>
      <c r="AN313">
        <v>-50</v>
      </c>
      <c r="AV313" t="s">
        <v>334</v>
      </c>
      <c r="AW313" t="s">
        <v>334</v>
      </c>
      <c r="BA313" t="s">
        <v>264</v>
      </c>
      <c r="BB313" t="s">
        <v>463</v>
      </c>
      <c r="BC313">
        <v>1</v>
      </c>
      <c r="BD31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13" t="str">
        <f>IF(GetCurrentMonthAging3[[#This Row],[InsGroupPrimary]]="","YES","NO")</f>
        <v>YES</v>
      </c>
      <c r="BF31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-50</v>
      </c>
    </row>
    <row r="314" spans="1:58" x14ac:dyDescent="0.25">
      <c r="A314" t="s">
        <v>103</v>
      </c>
      <c r="B314">
        <v>6</v>
      </c>
      <c r="C314" t="s">
        <v>331</v>
      </c>
      <c r="D314" s="142">
        <v>45199</v>
      </c>
      <c r="E314">
        <v>98815</v>
      </c>
      <c r="H314" t="b">
        <v>0</v>
      </c>
      <c r="I314">
        <v>1</v>
      </c>
      <c r="J314" t="s">
        <v>462</v>
      </c>
      <c r="AN314">
        <v>-60</v>
      </c>
      <c r="AV314" t="s">
        <v>334</v>
      </c>
      <c r="AW314" t="s">
        <v>334</v>
      </c>
      <c r="BA314" t="s">
        <v>233</v>
      </c>
      <c r="BB314" t="s">
        <v>463</v>
      </c>
      <c r="BC314">
        <v>1</v>
      </c>
      <c r="BD31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14" t="str">
        <f>IF(GetCurrentMonthAging3[[#This Row],[InsGroupPrimary]]="","YES","NO")</f>
        <v>YES</v>
      </c>
      <c r="BF31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315" spans="1:58" x14ac:dyDescent="0.25">
      <c r="A315" t="s">
        <v>103</v>
      </c>
      <c r="B315">
        <v>6</v>
      </c>
      <c r="C315" t="s">
        <v>331</v>
      </c>
      <c r="D315" s="142">
        <v>45199</v>
      </c>
      <c r="E315">
        <v>184391</v>
      </c>
      <c r="H315" t="b">
        <v>0</v>
      </c>
      <c r="I315">
        <v>1</v>
      </c>
      <c r="J315" t="s">
        <v>462</v>
      </c>
      <c r="AN315">
        <v>-79.680000000000007</v>
      </c>
      <c r="AV315" t="s">
        <v>334</v>
      </c>
      <c r="AW315" t="s">
        <v>334</v>
      </c>
      <c r="BA315" t="s">
        <v>264</v>
      </c>
      <c r="BB315" t="s">
        <v>463</v>
      </c>
      <c r="BC315">
        <v>1</v>
      </c>
      <c r="BD31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15" t="str">
        <f>IF(GetCurrentMonthAging3[[#This Row],[InsGroupPrimary]]="","YES","NO")</f>
        <v>YES</v>
      </c>
      <c r="BF31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-79.680000000000007</v>
      </c>
    </row>
    <row r="316" spans="1:58" x14ac:dyDescent="0.25">
      <c r="A316" t="s">
        <v>103</v>
      </c>
      <c r="B316">
        <v>6</v>
      </c>
      <c r="C316" t="s">
        <v>331</v>
      </c>
      <c r="D316" s="142">
        <v>45199</v>
      </c>
      <c r="E316">
        <v>41453</v>
      </c>
      <c r="H316" t="b">
        <v>0</v>
      </c>
      <c r="I316">
        <v>1</v>
      </c>
      <c r="J316" t="s">
        <v>462</v>
      </c>
      <c r="AN316">
        <v>-60</v>
      </c>
      <c r="AV316" t="s">
        <v>334</v>
      </c>
      <c r="AW316" t="s">
        <v>334</v>
      </c>
      <c r="BA316" t="s">
        <v>233</v>
      </c>
      <c r="BB316" t="s">
        <v>463</v>
      </c>
      <c r="BC316">
        <v>1</v>
      </c>
      <c r="BD31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16" t="str">
        <f>IF(GetCurrentMonthAging3[[#This Row],[InsGroupPrimary]]="","YES","NO")</f>
        <v>YES</v>
      </c>
      <c r="BF31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317" spans="1:58" x14ac:dyDescent="0.25">
      <c r="A317" t="s">
        <v>103</v>
      </c>
      <c r="B317">
        <v>6</v>
      </c>
      <c r="C317" t="s">
        <v>331</v>
      </c>
      <c r="D317" s="142">
        <v>45199</v>
      </c>
      <c r="E317">
        <v>23827</v>
      </c>
      <c r="H317" t="b">
        <v>0</v>
      </c>
      <c r="I317">
        <v>1</v>
      </c>
      <c r="J317" t="s">
        <v>462</v>
      </c>
      <c r="AN317">
        <v>-35.950000000000003</v>
      </c>
      <c r="AV317" t="s">
        <v>334</v>
      </c>
      <c r="AW317" t="s">
        <v>334</v>
      </c>
      <c r="BA317" t="s">
        <v>233</v>
      </c>
      <c r="BB317" t="s">
        <v>463</v>
      </c>
      <c r="BC317">
        <v>1</v>
      </c>
      <c r="BD31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17" t="str">
        <f>IF(GetCurrentMonthAging3[[#This Row],[InsGroupPrimary]]="","YES","NO")</f>
        <v>YES</v>
      </c>
      <c r="BF31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-35.950000000000003</v>
      </c>
    </row>
    <row r="318" spans="1:58" x14ac:dyDescent="0.25">
      <c r="A318" t="s">
        <v>100</v>
      </c>
      <c r="B318">
        <v>6</v>
      </c>
      <c r="C318" t="s">
        <v>331</v>
      </c>
      <c r="D318" s="142">
        <v>45199</v>
      </c>
      <c r="E318">
        <v>209285</v>
      </c>
      <c r="F318">
        <v>3088176</v>
      </c>
      <c r="G318">
        <v>14113665</v>
      </c>
      <c r="H318" t="b">
        <v>0</v>
      </c>
      <c r="I318">
        <v>2150</v>
      </c>
      <c r="J318" t="s">
        <v>412</v>
      </c>
      <c r="K318">
        <v>90</v>
      </c>
      <c r="L318">
        <v>45</v>
      </c>
      <c r="M318">
        <v>2</v>
      </c>
      <c r="N318">
        <v>0</v>
      </c>
      <c r="O318">
        <v>6.82</v>
      </c>
      <c r="P318">
        <v>13.64</v>
      </c>
      <c r="Q318">
        <v>0</v>
      </c>
      <c r="R318">
        <v>0</v>
      </c>
      <c r="T318">
        <v>90</v>
      </c>
      <c r="U318">
        <v>0</v>
      </c>
      <c r="V318">
        <v>1</v>
      </c>
      <c r="W318">
        <v>38.64</v>
      </c>
      <c r="X318">
        <v>44.54</v>
      </c>
      <c r="Y318">
        <v>0</v>
      </c>
      <c r="Z318">
        <v>0</v>
      </c>
      <c r="AA318">
        <v>0</v>
      </c>
      <c r="AB318">
        <v>0</v>
      </c>
      <c r="AC318">
        <v>0</v>
      </c>
      <c r="AD318">
        <v>0</v>
      </c>
      <c r="AE318">
        <v>0</v>
      </c>
      <c r="AF318">
        <v>0</v>
      </c>
      <c r="AG318">
        <v>0</v>
      </c>
      <c r="AH318">
        <v>0</v>
      </c>
      <c r="AI318">
        <v>0</v>
      </c>
      <c r="AJ318">
        <v>0</v>
      </c>
      <c r="AK318">
        <v>0</v>
      </c>
      <c r="AL318">
        <v>0</v>
      </c>
      <c r="AM318">
        <v>0</v>
      </c>
      <c r="AN318">
        <v>-6.82</v>
      </c>
      <c r="AP318" t="s">
        <v>260</v>
      </c>
      <c r="AS318" t="s">
        <v>469</v>
      </c>
      <c r="AV318" t="s">
        <v>334</v>
      </c>
      <c r="AW318" t="s">
        <v>334</v>
      </c>
      <c r="AX318">
        <v>0</v>
      </c>
      <c r="AY318">
        <v>0</v>
      </c>
      <c r="AZ318" t="s">
        <v>264</v>
      </c>
      <c r="BA318" t="s">
        <v>264</v>
      </c>
      <c r="BB318" t="s">
        <v>411</v>
      </c>
      <c r="BC318">
        <v>8</v>
      </c>
      <c r="BD31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-13.95</v>
      </c>
      <c r="BE318" t="str">
        <f>IF(GetCurrentMonthAging3[[#This Row],[InsGroupPrimary]]="","YES","NO")</f>
        <v>NO</v>
      </c>
      <c r="BF31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-13.95</v>
      </c>
    </row>
    <row r="319" spans="1:58" x14ac:dyDescent="0.25">
      <c r="A319" t="s">
        <v>100</v>
      </c>
      <c r="B319">
        <v>6</v>
      </c>
      <c r="C319" t="s">
        <v>331</v>
      </c>
      <c r="D319" s="142">
        <v>45199</v>
      </c>
      <c r="E319">
        <v>249373</v>
      </c>
      <c r="F319">
        <v>3723877</v>
      </c>
      <c r="G319">
        <v>16807777</v>
      </c>
      <c r="H319" t="b">
        <v>0</v>
      </c>
      <c r="I319">
        <v>1908</v>
      </c>
      <c r="J319" t="s">
        <v>412</v>
      </c>
      <c r="K319">
        <v>45</v>
      </c>
      <c r="L319">
        <v>45</v>
      </c>
      <c r="M319">
        <v>1</v>
      </c>
      <c r="N319">
        <v>0</v>
      </c>
      <c r="O319">
        <v>50</v>
      </c>
      <c r="P319">
        <v>100</v>
      </c>
      <c r="Q319">
        <v>0</v>
      </c>
      <c r="R319">
        <v>0</v>
      </c>
      <c r="T319">
        <v>45</v>
      </c>
      <c r="U319">
        <v>0</v>
      </c>
      <c r="V319">
        <v>0</v>
      </c>
      <c r="W319">
        <v>0</v>
      </c>
      <c r="X319">
        <v>-5</v>
      </c>
      <c r="Y319">
        <v>0</v>
      </c>
      <c r="Z319">
        <v>0</v>
      </c>
      <c r="AA319">
        <v>0</v>
      </c>
      <c r="AB319">
        <v>0</v>
      </c>
      <c r="AC319">
        <v>0</v>
      </c>
      <c r="AD319">
        <v>0</v>
      </c>
      <c r="AE319">
        <v>0</v>
      </c>
      <c r="AF319">
        <v>0</v>
      </c>
      <c r="AG319">
        <v>0</v>
      </c>
      <c r="AH319">
        <v>0</v>
      </c>
      <c r="AI319">
        <v>0</v>
      </c>
      <c r="AJ319">
        <v>0</v>
      </c>
      <c r="AK319">
        <v>0</v>
      </c>
      <c r="AL319">
        <v>0</v>
      </c>
      <c r="AM319">
        <v>0</v>
      </c>
      <c r="AN319">
        <v>-50</v>
      </c>
      <c r="AP319" t="s">
        <v>260</v>
      </c>
      <c r="AS319" t="s">
        <v>461</v>
      </c>
      <c r="AV319" t="s">
        <v>334</v>
      </c>
      <c r="AW319" t="s">
        <v>334</v>
      </c>
      <c r="AX319">
        <v>0</v>
      </c>
      <c r="AY319">
        <v>0</v>
      </c>
      <c r="AZ319" t="s">
        <v>233</v>
      </c>
      <c r="BA319" t="s">
        <v>233</v>
      </c>
      <c r="BB319" t="s">
        <v>411</v>
      </c>
      <c r="BC319">
        <v>8</v>
      </c>
      <c r="BD31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-50</v>
      </c>
      <c r="BE319" t="str">
        <f>IF(GetCurrentMonthAging3[[#This Row],[InsGroupPrimary]]="","YES","NO")</f>
        <v>NO</v>
      </c>
      <c r="BF31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-50</v>
      </c>
    </row>
    <row r="320" spans="1:58" x14ac:dyDescent="0.25">
      <c r="A320" t="s">
        <v>100</v>
      </c>
      <c r="B320">
        <v>6</v>
      </c>
      <c r="C320" t="s">
        <v>331</v>
      </c>
      <c r="D320" s="142">
        <v>45199</v>
      </c>
      <c r="E320">
        <v>21994</v>
      </c>
      <c r="F320">
        <v>265460</v>
      </c>
      <c r="G320">
        <v>1565141</v>
      </c>
      <c r="H320" t="b">
        <v>0</v>
      </c>
      <c r="I320">
        <v>3882</v>
      </c>
      <c r="J320" t="s">
        <v>412</v>
      </c>
      <c r="K320">
        <v>90</v>
      </c>
      <c r="L320">
        <v>45</v>
      </c>
      <c r="M320">
        <v>2</v>
      </c>
      <c r="N320">
        <v>0</v>
      </c>
      <c r="O320">
        <v>0</v>
      </c>
      <c r="P320">
        <v>0</v>
      </c>
      <c r="Q320">
        <v>23.5</v>
      </c>
      <c r="R320">
        <v>0</v>
      </c>
      <c r="T320">
        <v>90</v>
      </c>
      <c r="U320">
        <v>0</v>
      </c>
      <c r="V320">
        <v>1</v>
      </c>
      <c r="W320">
        <v>31.5</v>
      </c>
      <c r="X320">
        <v>35</v>
      </c>
      <c r="Y320">
        <v>0</v>
      </c>
      <c r="Z320">
        <v>0</v>
      </c>
      <c r="AA320">
        <v>1</v>
      </c>
      <c r="AB320">
        <v>23.5</v>
      </c>
      <c r="AC320">
        <v>0</v>
      </c>
      <c r="AD320">
        <v>0</v>
      </c>
      <c r="AE320">
        <v>0</v>
      </c>
      <c r="AF320">
        <v>0</v>
      </c>
      <c r="AG320">
        <v>0</v>
      </c>
      <c r="AH320">
        <v>0</v>
      </c>
      <c r="AI320">
        <v>0</v>
      </c>
      <c r="AJ320">
        <v>0</v>
      </c>
      <c r="AK320">
        <v>0</v>
      </c>
      <c r="AL320">
        <v>0</v>
      </c>
      <c r="AM320">
        <v>0</v>
      </c>
      <c r="AN320">
        <v>-23.5</v>
      </c>
      <c r="AP320" t="s">
        <v>260</v>
      </c>
      <c r="AQ320" t="s">
        <v>260</v>
      </c>
      <c r="AS320" t="s">
        <v>465</v>
      </c>
      <c r="AT320" t="s">
        <v>465</v>
      </c>
      <c r="AV320" t="s">
        <v>334</v>
      </c>
      <c r="AW320" t="s">
        <v>334</v>
      </c>
      <c r="AX320">
        <v>0</v>
      </c>
      <c r="AY320">
        <v>0</v>
      </c>
      <c r="AZ320" t="s">
        <v>264</v>
      </c>
      <c r="BA320" t="s">
        <v>264</v>
      </c>
      <c r="BB320" t="s">
        <v>411</v>
      </c>
      <c r="BC320">
        <v>8</v>
      </c>
      <c r="BD32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-23.5</v>
      </c>
      <c r="BE320" t="str">
        <f>IF(GetCurrentMonthAging3[[#This Row],[InsGroupPrimary]]="","YES","NO")</f>
        <v>NO</v>
      </c>
      <c r="BF32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-23.5</v>
      </c>
    </row>
    <row r="321" spans="1:58" x14ac:dyDescent="0.25">
      <c r="A321" t="s">
        <v>100</v>
      </c>
      <c r="B321">
        <v>6</v>
      </c>
      <c r="C321" t="s">
        <v>331</v>
      </c>
      <c r="D321" s="142">
        <v>45199</v>
      </c>
      <c r="E321">
        <v>22516</v>
      </c>
      <c r="F321">
        <v>271656</v>
      </c>
      <c r="G321">
        <v>1581639</v>
      </c>
      <c r="H321" t="b">
        <v>0</v>
      </c>
      <c r="I321">
        <v>3872</v>
      </c>
      <c r="J321" t="s">
        <v>460</v>
      </c>
      <c r="K321">
        <v>45</v>
      </c>
      <c r="L321">
        <v>45</v>
      </c>
      <c r="M321">
        <v>1</v>
      </c>
      <c r="N321">
        <v>0</v>
      </c>
      <c r="O321">
        <v>10</v>
      </c>
      <c r="P321">
        <v>0</v>
      </c>
      <c r="Q321">
        <v>0</v>
      </c>
      <c r="R321">
        <v>0</v>
      </c>
      <c r="T321">
        <v>45</v>
      </c>
      <c r="U321">
        <v>0</v>
      </c>
      <c r="V321">
        <v>2</v>
      </c>
      <c r="W321">
        <v>35</v>
      </c>
      <c r="X321">
        <v>0</v>
      </c>
      <c r="Y321">
        <v>0</v>
      </c>
      <c r="Z321">
        <v>0</v>
      </c>
      <c r="AA321">
        <v>0</v>
      </c>
      <c r="AB321">
        <v>0</v>
      </c>
      <c r="AC321">
        <v>0</v>
      </c>
      <c r="AD321">
        <v>0</v>
      </c>
      <c r="AE321">
        <v>0</v>
      </c>
      <c r="AF321">
        <v>0</v>
      </c>
      <c r="AG321">
        <v>0</v>
      </c>
      <c r="AH321">
        <v>0</v>
      </c>
      <c r="AI321">
        <v>0</v>
      </c>
      <c r="AJ321">
        <v>0</v>
      </c>
      <c r="AK321">
        <v>0</v>
      </c>
      <c r="AL321">
        <v>0</v>
      </c>
      <c r="AM321">
        <v>0</v>
      </c>
      <c r="AN321">
        <v>10</v>
      </c>
      <c r="AP321" t="s">
        <v>262</v>
      </c>
      <c r="AS321" t="s">
        <v>424</v>
      </c>
      <c r="AV321" t="s">
        <v>334</v>
      </c>
      <c r="AW321" t="s">
        <v>334</v>
      </c>
      <c r="AX321">
        <v>0</v>
      </c>
      <c r="AY321">
        <v>0</v>
      </c>
      <c r="AZ321" t="s">
        <v>264</v>
      </c>
      <c r="BA321" t="s">
        <v>264</v>
      </c>
      <c r="BB321" t="s">
        <v>411</v>
      </c>
      <c r="BC321">
        <v>8</v>
      </c>
      <c r="BD32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21" t="str">
        <f>IF(GetCurrentMonthAging3[[#This Row],[InsGroupPrimary]]="","YES","NO")</f>
        <v>NO</v>
      </c>
      <c r="BF32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322" spans="1:58" x14ac:dyDescent="0.25">
      <c r="A322" t="s">
        <v>100</v>
      </c>
      <c r="B322">
        <v>6</v>
      </c>
      <c r="C322" t="s">
        <v>331</v>
      </c>
      <c r="D322" s="142">
        <v>45199</v>
      </c>
      <c r="E322">
        <v>21417</v>
      </c>
      <c r="F322">
        <v>269337</v>
      </c>
      <c r="G322">
        <v>1614175</v>
      </c>
      <c r="H322" t="b">
        <v>0</v>
      </c>
      <c r="I322">
        <v>3865</v>
      </c>
      <c r="J322" t="s">
        <v>460</v>
      </c>
      <c r="K322">
        <v>45</v>
      </c>
      <c r="L322">
        <v>45</v>
      </c>
      <c r="M322">
        <v>1</v>
      </c>
      <c r="N322">
        <v>0</v>
      </c>
      <c r="O322">
        <v>0</v>
      </c>
      <c r="P322">
        <v>0</v>
      </c>
      <c r="Q322">
        <v>29</v>
      </c>
      <c r="R322">
        <v>0</v>
      </c>
      <c r="T322">
        <v>45</v>
      </c>
      <c r="U322">
        <v>0</v>
      </c>
      <c r="V322">
        <v>1</v>
      </c>
      <c r="W322">
        <v>0</v>
      </c>
      <c r="X322">
        <v>45</v>
      </c>
      <c r="Y322">
        <v>0</v>
      </c>
      <c r="Z322">
        <v>0</v>
      </c>
      <c r="AA322">
        <v>0</v>
      </c>
      <c r="AB322">
        <v>0</v>
      </c>
      <c r="AC322">
        <v>0</v>
      </c>
      <c r="AD322">
        <v>0</v>
      </c>
      <c r="AE322">
        <v>0</v>
      </c>
      <c r="AF322">
        <v>0</v>
      </c>
      <c r="AG322">
        <v>0</v>
      </c>
      <c r="AH322">
        <v>0</v>
      </c>
      <c r="AI322">
        <v>0</v>
      </c>
      <c r="AJ322">
        <v>0</v>
      </c>
      <c r="AK322">
        <v>0</v>
      </c>
      <c r="AL322">
        <v>0</v>
      </c>
      <c r="AM322">
        <v>0</v>
      </c>
      <c r="AN322">
        <v>-29</v>
      </c>
      <c r="AP322" t="s">
        <v>265</v>
      </c>
      <c r="AS322" t="s">
        <v>425</v>
      </c>
      <c r="AV322" t="s">
        <v>334</v>
      </c>
      <c r="AW322" t="s">
        <v>334</v>
      </c>
      <c r="AX322">
        <v>0</v>
      </c>
      <c r="AY322">
        <v>0</v>
      </c>
      <c r="AZ322" t="s">
        <v>264</v>
      </c>
      <c r="BA322" t="s">
        <v>264</v>
      </c>
      <c r="BB322" t="s">
        <v>411</v>
      </c>
      <c r="BC322">
        <v>8</v>
      </c>
      <c r="BD32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-29</v>
      </c>
      <c r="BE322" t="str">
        <f>IF(GetCurrentMonthAging3[[#This Row],[InsGroupPrimary]]="","YES","NO")</f>
        <v>NO</v>
      </c>
      <c r="BF32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-29</v>
      </c>
    </row>
    <row r="323" spans="1:58" x14ac:dyDescent="0.25">
      <c r="A323" t="s">
        <v>103</v>
      </c>
      <c r="B323">
        <v>6</v>
      </c>
      <c r="C323" t="s">
        <v>331</v>
      </c>
      <c r="D323" s="142">
        <v>45199</v>
      </c>
      <c r="E323">
        <v>159193</v>
      </c>
      <c r="H323" t="b">
        <v>0</v>
      </c>
      <c r="I323">
        <v>1</v>
      </c>
      <c r="J323" t="s">
        <v>462</v>
      </c>
      <c r="AN323">
        <v>-150</v>
      </c>
      <c r="AV323" t="s">
        <v>334</v>
      </c>
      <c r="AW323" t="s">
        <v>334</v>
      </c>
      <c r="BA323" t="s">
        <v>264</v>
      </c>
      <c r="BB323" t="s">
        <v>463</v>
      </c>
      <c r="BC323">
        <v>1</v>
      </c>
      <c r="BD32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23" t="str">
        <f>IF(GetCurrentMonthAging3[[#This Row],[InsGroupPrimary]]="","YES","NO")</f>
        <v>YES</v>
      </c>
      <c r="BF32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-150</v>
      </c>
    </row>
    <row r="324" spans="1:58" x14ac:dyDescent="0.25">
      <c r="A324" t="s">
        <v>103</v>
      </c>
      <c r="B324">
        <v>6</v>
      </c>
      <c r="C324" t="s">
        <v>331</v>
      </c>
      <c r="D324" s="142">
        <v>45199</v>
      </c>
      <c r="E324">
        <v>166561</v>
      </c>
      <c r="H324" t="b">
        <v>0</v>
      </c>
      <c r="I324">
        <v>1</v>
      </c>
      <c r="J324" t="s">
        <v>462</v>
      </c>
      <c r="AN324">
        <v>-140</v>
      </c>
      <c r="AV324" t="s">
        <v>334</v>
      </c>
      <c r="AW324" t="s">
        <v>334</v>
      </c>
      <c r="BA324" t="s">
        <v>264</v>
      </c>
      <c r="BB324" t="s">
        <v>463</v>
      </c>
      <c r="BC324">
        <v>1</v>
      </c>
      <c r="BD32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24" t="str">
        <f>IF(GetCurrentMonthAging3[[#This Row],[InsGroupPrimary]]="","YES","NO")</f>
        <v>YES</v>
      </c>
      <c r="BF32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-140</v>
      </c>
    </row>
    <row r="325" spans="1:58" x14ac:dyDescent="0.25">
      <c r="A325" t="s">
        <v>103</v>
      </c>
      <c r="B325">
        <v>6</v>
      </c>
      <c r="C325" t="s">
        <v>331</v>
      </c>
      <c r="D325" s="142">
        <v>45199</v>
      </c>
      <c r="E325">
        <v>260570</v>
      </c>
      <c r="H325" t="b">
        <v>0</v>
      </c>
      <c r="I325">
        <v>1</v>
      </c>
      <c r="J325" t="s">
        <v>462</v>
      </c>
      <c r="AN325">
        <v>-10</v>
      </c>
      <c r="AV325" t="s">
        <v>334</v>
      </c>
      <c r="AW325" t="s">
        <v>334</v>
      </c>
      <c r="BA325" t="s">
        <v>264</v>
      </c>
      <c r="BB325" t="s">
        <v>463</v>
      </c>
      <c r="BC325">
        <v>1</v>
      </c>
      <c r="BD32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25" t="str">
        <f>IF(GetCurrentMonthAging3[[#This Row],[InsGroupPrimary]]="","YES","NO")</f>
        <v>YES</v>
      </c>
      <c r="BF32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v>
      </c>
    </row>
    <row r="326" spans="1:58" x14ac:dyDescent="0.25">
      <c r="A326" t="s">
        <v>103</v>
      </c>
      <c r="B326">
        <v>6</v>
      </c>
      <c r="C326" t="s">
        <v>331</v>
      </c>
      <c r="D326" s="142">
        <v>45199</v>
      </c>
      <c r="E326">
        <v>44497</v>
      </c>
      <c r="H326" t="b">
        <v>0</v>
      </c>
      <c r="I326">
        <v>1</v>
      </c>
      <c r="J326" t="s">
        <v>462</v>
      </c>
      <c r="AN326">
        <v>-150</v>
      </c>
      <c r="AV326" t="s">
        <v>334</v>
      </c>
      <c r="AW326" t="s">
        <v>334</v>
      </c>
      <c r="BA326" t="s">
        <v>264</v>
      </c>
      <c r="BB326" t="s">
        <v>463</v>
      </c>
      <c r="BC326">
        <v>1</v>
      </c>
      <c r="BD32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26" t="str">
        <f>IF(GetCurrentMonthAging3[[#This Row],[InsGroupPrimary]]="","YES","NO")</f>
        <v>YES</v>
      </c>
      <c r="BF32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-150</v>
      </c>
    </row>
    <row r="327" spans="1:58" x14ac:dyDescent="0.25">
      <c r="A327" t="s">
        <v>103</v>
      </c>
      <c r="B327">
        <v>6</v>
      </c>
      <c r="C327" t="s">
        <v>331</v>
      </c>
      <c r="D327" s="142">
        <v>45199</v>
      </c>
      <c r="E327">
        <v>242754</v>
      </c>
      <c r="H327" t="b">
        <v>0</v>
      </c>
      <c r="I327">
        <v>1</v>
      </c>
      <c r="J327" t="s">
        <v>462</v>
      </c>
      <c r="AN327">
        <v>-25</v>
      </c>
      <c r="AV327" t="s">
        <v>334</v>
      </c>
      <c r="AW327" t="s">
        <v>334</v>
      </c>
      <c r="BA327" t="s">
        <v>264</v>
      </c>
      <c r="BB327" t="s">
        <v>463</v>
      </c>
      <c r="BC327">
        <v>1</v>
      </c>
      <c r="BD32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27" t="str">
        <f>IF(GetCurrentMonthAging3[[#This Row],[InsGroupPrimary]]="","YES","NO")</f>
        <v>YES</v>
      </c>
      <c r="BF32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v>
      </c>
    </row>
    <row r="328" spans="1:58" x14ac:dyDescent="0.25">
      <c r="A328" t="s">
        <v>103</v>
      </c>
      <c r="B328">
        <v>6</v>
      </c>
      <c r="C328" t="s">
        <v>331</v>
      </c>
      <c r="D328" s="142">
        <v>45199</v>
      </c>
      <c r="E328">
        <v>45371</v>
      </c>
      <c r="H328" t="b">
        <v>0</v>
      </c>
      <c r="I328">
        <v>1</v>
      </c>
      <c r="J328" t="s">
        <v>462</v>
      </c>
      <c r="AN328">
        <v>-40</v>
      </c>
      <c r="AV328" t="s">
        <v>334</v>
      </c>
      <c r="AW328" t="s">
        <v>334</v>
      </c>
      <c r="BA328" t="s">
        <v>233</v>
      </c>
      <c r="BB328" t="s">
        <v>463</v>
      </c>
      <c r="BC328">
        <v>1</v>
      </c>
      <c r="BD32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28" t="str">
        <f>IF(GetCurrentMonthAging3[[#This Row],[InsGroupPrimary]]="","YES","NO")</f>
        <v>YES</v>
      </c>
      <c r="BF32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329" spans="1:58" x14ac:dyDescent="0.25">
      <c r="A329" t="s">
        <v>103</v>
      </c>
      <c r="B329">
        <v>6</v>
      </c>
      <c r="C329" t="s">
        <v>331</v>
      </c>
      <c r="D329" s="142">
        <v>45199</v>
      </c>
      <c r="E329">
        <v>21086</v>
      </c>
      <c r="H329" t="b">
        <v>0</v>
      </c>
      <c r="I329">
        <v>1</v>
      </c>
      <c r="J329" t="s">
        <v>462</v>
      </c>
      <c r="AN329">
        <v>-3.15</v>
      </c>
      <c r="AV329" t="s">
        <v>334</v>
      </c>
      <c r="AW329" t="s">
        <v>334</v>
      </c>
      <c r="BA329" t="s">
        <v>233</v>
      </c>
      <c r="BB329" t="s">
        <v>463</v>
      </c>
      <c r="BC329">
        <v>1</v>
      </c>
      <c r="BD32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29" t="str">
        <f>IF(GetCurrentMonthAging3[[#This Row],[InsGroupPrimary]]="","YES","NO")</f>
        <v>YES</v>
      </c>
      <c r="BF32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-3.15</v>
      </c>
    </row>
    <row r="330" spans="1:58" x14ac:dyDescent="0.25">
      <c r="A330" t="s">
        <v>103</v>
      </c>
      <c r="B330">
        <v>6</v>
      </c>
      <c r="C330" t="s">
        <v>331</v>
      </c>
      <c r="D330" s="142">
        <v>45199</v>
      </c>
      <c r="E330">
        <v>70595</v>
      </c>
      <c r="H330" t="b">
        <v>0</v>
      </c>
      <c r="I330">
        <v>1</v>
      </c>
      <c r="J330" t="s">
        <v>462</v>
      </c>
      <c r="AN330">
        <v>-8.4700000000000006</v>
      </c>
      <c r="AV330" t="s">
        <v>334</v>
      </c>
      <c r="AW330" t="s">
        <v>334</v>
      </c>
      <c r="BA330" t="s">
        <v>233</v>
      </c>
      <c r="BB330" t="s">
        <v>463</v>
      </c>
      <c r="BC330">
        <v>1</v>
      </c>
      <c r="BD33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30" t="str">
        <f>IF(GetCurrentMonthAging3[[#This Row],[InsGroupPrimary]]="","YES","NO")</f>
        <v>YES</v>
      </c>
      <c r="BF33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-8.4700000000000006</v>
      </c>
    </row>
    <row r="331" spans="1:58" x14ac:dyDescent="0.25">
      <c r="A331" t="s">
        <v>103</v>
      </c>
      <c r="B331">
        <v>6</v>
      </c>
      <c r="C331" t="s">
        <v>331</v>
      </c>
      <c r="D331" s="142">
        <v>45199</v>
      </c>
      <c r="E331">
        <v>47541</v>
      </c>
      <c r="H331" t="b">
        <v>0</v>
      </c>
      <c r="I331">
        <v>1</v>
      </c>
      <c r="J331" t="s">
        <v>462</v>
      </c>
      <c r="AN331">
        <v>-229</v>
      </c>
      <c r="AV331" t="s">
        <v>334</v>
      </c>
      <c r="AW331" t="s">
        <v>334</v>
      </c>
      <c r="BA331" t="s">
        <v>264</v>
      </c>
      <c r="BB331" t="s">
        <v>463</v>
      </c>
      <c r="BC331">
        <v>1</v>
      </c>
      <c r="BD33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31" t="str">
        <f>IF(GetCurrentMonthAging3[[#This Row],[InsGroupPrimary]]="","YES","NO")</f>
        <v>YES</v>
      </c>
      <c r="BF33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-229</v>
      </c>
    </row>
    <row r="332" spans="1:58" x14ac:dyDescent="0.25">
      <c r="A332" t="s">
        <v>103</v>
      </c>
      <c r="B332">
        <v>6</v>
      </c>
      <c r="C332" t="s">
        <v>331</v>
      </c>
      <c r="D332" s="142">
        <v>45199</v>
      </c>
      <c r="E332">
        <v>198441</v>
      </c>
      <c r="H332" t="b">
        <v>0</v>
      </c>
      <c r="I332">
        <v>1</v>
      </c>
      <c r="J332" t="s">
        <v>462</v>
      </c>
      <c r="AN332">
        <v>-1.58</v>
      </c>
      <c r="AV332" t="s">
        <v>334</v>
      </c>
      <c r="AW332" t="s">
        <v>334</v>
      </c>
      <c r="BA332" t="s">
        <v>233</v>
      </c>
      <c r="BB332" t="s">
        <v>463</v>
      </c>
      <c r="BC332">
        <v>1</v>
      </c>
      <c r="BD33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32" t="str">
        <f>IF(GetCurrentMonthAging3[[#This Row],[InsGroupPrimary]]="","YES","NO")</f>
        <v>YES</v>
      </c>
      <c r="BF33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-1.58</v>
      </c>
    </row>
    <row r="333" spans="1:58" x14ac:dyDescent="0.25">
      <c r="A333" t="s">
        <v>103</v>
      </c>
      <c r="B333">
        <v>6</v>
      </c>
      <c r="C333" t="s">
        <v>331</v>
      </c>
      <c r="D333" s="142">
        <v>45199</v>
      </c>
      <c r="E333">
        <v>123585</v>
      </c>
      <c r="H333" t="b">
        <v>0</v>
      </c>
      <c r="I333">
        <v>1</v>
      </c>
      <c r="J333" t="s">
        <v>462</v>
      </c>
      <c r="AN333">
        <v>-36.299999999999997</v>
      </c>
      <c r="AV333" t="s">
        <v>334</v>
      </c>
      <c r="AW333" t="s">
        <v>334</v>
      </c>
      <c r="BA333" t="s">
        <v>264</v>
      </c>
      <c r="BB333" t="s">
        <v>463</v>
      </c>
      <c r="BC333">
        <v>1</v>
      </c>
      <c r="BD33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33" t="str">
        <f>IF(GetCurrentMonthAging3[[#This Row],[InsGroupPrimary]]="","YES","NO")</f>
        <v>YES</v>
      </c>
      <c r="BF33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-36.299999999999997</v>
      </c>
    </row>
    <row r="334" spans="1:58" x14ac:dyDescent="0.25">
      <c r="A334" t="s">
        <v>103</v>
      </c>
      <c r="B334">
        <v>6</v>
      </c>
      <c r="C334" t="s">
        <v>331</v>
      </c>
      <c r="D334" s="142">
        <v>45199</v>
      </c>
      <c r="E334">
        <v>66379</v>
      </c>
      <c r="H334" t="b">
        <v>0</v>
      </c>
      <c r="I334">
        <v>1</v>
      </c>
      <c r="J334" t="s">
        <v>462</v>
      </c>
      <c r="AN334">
        <v>-240</v>
      </c>
      <c r="AV334" t="s">
        <v>334</v>
      </c>
      <c r="AW334" t="s">
        <v>334</v>
      </c>
      <c r="BA334" t="s">
        <v>233</v>
      </c>
      <c r="BB334" t="s">
        <v>463</v>
      </c>
      <c r="BC334">
        <v>1</v>
      </c>
      <c r="BD33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34" t="str">
        <f>IF(GetCurrentMonthAging3[[#This Row],[InsGroupPrimary]]="","YES","NO")</f>
        <v>YES</v>
      </c>
      <c r="BF33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-240</v>
      </c>
    </row>
    <row r="335" spans="1:58" x14ac:dyDescent="0.25">
      <c r="A335" t="s">
        <v>103</v>
      </c>
      <c r="B335">
        <v>6</v>
      </c>
      <c r="C335" t="s">
        <v>331</v>
      </c>
      <c r="D335" s="142">
        <v>45199</v>
      </c>
      <c r="E335">
        <v>55291</v>
      </c>
      <c r="H335" t="b">
        <v>0</v>
      </c>
      <c r="I335">
        <v>1</v>
      </c>
      <c r="J335" t="s">
        <v>462</v>
      </c>
      <c r="AN335">
        <v>-60</v>
      </c>
      <c r="AV335" t="s">
        <v>334</v>
      </c>
      <c r="AW335" t="s">
        <v>334</v>
      </c>
      <c r="BA335" t="s">
        <v>233</v>
      </c>
      <c r="BB335" t="s">
        <v>463</v>
      </c>
      <c r="BC335">
        <v>1</v>
      </c>
      <c r="BD33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35" t="str">
        <f>IF(GetCurrentMonthAging3[[#This Row],[InsGroupPrimary]]="","YES","NO")</f>
        <v>YES</v>
      </c>
      <c r="BF33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336" spans="1:58" x14ac:dyDescent="0.25">
      <c r="A336" t="s">
        <v>103</v>
      </c>
      <c r="B336">
        <v>6</v>
      </c>
      <c r="C336" t="s">
        <v>331</v>
      </c>
      <c r="D336" s="142">
        <v>45199</v>
      </c>
      <c r="E336">
        <v>57581</v>
      </c>
      <c r="H336" t="b">
        <v>0</v>
      </c>
      <c r="I336">
        <v>1</v>
      </c>
      <c r="J336" t="s">
        <v>462</v>
      </c>
      <c r="AN336">
        <v>-36</v>
      </c>
      <c r="AV336" t="s">
        <v>334</v>
      </c>
      <c r="AW336" t="s">
        <v>334</v>
      </c>
      <c r="BA336" t="s">
        <v>264</v>
      </c>
      <c r="BB336" t="s">
        <v>463</v>
      </c>
      <c r="BC336">
        <v>1</v>
      </c>
      <c r="BD33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36" t="str">
        <f>IF(GetCurrentMonthAging3[[#This Row],[InsGroupPrimary]]="","YES","NO")</f>
        <v>YES</v>
      </c>
      <c r="BF33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-36</v>
      </c>
    </row>
    <row r="337" spans="1:58" x14ac:dyDescent="0.25">
      <c r="A337" t="s">
        <v>103</v>
      </c>
      <c r="B337">
        <v>6</v>
      </c>
      <c r="C337" t="s">
        <v>331</v>
      </c>
      <c r="D337" s="142">
        <v>45199</v>
      </c>
      <c r="E337">
        <v>209285</v>
      </c>
      <c r="H337" t="b">
        <v>0</v>
      </c>
      <c r="I337">
        <v>1</v>
      </c>
      <c r="J337" t="s">
        <v>462</v>
      </c>
      <c r="AN337">
        <v>-16.079999999999998</v>
      </c>
      <c r="AV337" t="s">
        <v>334</v>
      </c>
      <c r="AW337" t="s">
        <v>334</v>
      </c>
      <c r="BA337" t="s">
        <v>264</v>
      </c>
      <c r="BB337" t="s">
        <v>463</v>
      </c>
      <c r="BC337">
        <v>1</v>
      </c>
      <c r="BD33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37" t="str">
        <f>IF(GetCurrentMonthAging3[[#This Row],[InsGroupPrimary]]="","YES","NO")</f>
        <v>YES</v>
      </c>
      <c r="BF33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-16.079999999999998</v>
      </c>
    </row>
    <row r="338" spans="1:58" x14ac:dyDescent="0.25">
      <c r="A338" t="s">
        <v>100</v>
      </c>
      <c r="B338">
        <v>6</v>
      </c>
      <c r="C338" t="s">
        <v>331</v>
      </c>
      <c r="D338" s="142">
        <v>45199</v>
      </c>
      <c r="E338">
        <v>30471</v>
      </c>
      <c r="F338">
        <v>343585</v>
      </c>
      <c r="G338">
        <v>2181368</v>
      </c>
      <c r="H338" t="b">
        <v>0</v>
      </c>
      <c r="I338">
        <v>3712</v>
      </c>
      <c r="J338" t="s">
        <v>422</v>
      </c>
      <c r="K338">
        <v>90</v>
      </c>
      <c r="L338">
        <v>90</v>
      </c>
      <c r="M338">
        <v>1</v>
      </c>
      <c r="N338">
        <v>0</v>
      </c>
      <c r="O338">
        <v>6</v>
      </c>
      <c r="P338">
        <v>18</v>
      </c>
      <c r="Q338">
        <v>0</v>
      </c>
      <c r="R338">
        <v>0</v>
      </c>
      <c r="T338">
        <v>90</v>
      </c>
      <c r="U338">
        <v>0</v>
      </c>
      <c r="V338">
        <v>1</v>
      </c>
      <c r="W338">
        <v>54</v>
      </c>
      <c r="X338">
        <v>30</v>
      </c>
      <c r="Y338">
        <v>0</v>
      </c>
      <c r="Z338">
        <v>0</v>
      </c>
      <c r="AA338">
        <v>0</v>
      </c>
      <c r="AB338">
        <v>0</v>
      </c>
      <c r="AC338">
        <v>0</v>
      </c>
      <c r="AD338">
        <v>0</v>
      </c>
      <c r="AE338">
        <v>0</v>
      </c>
      <c r="AF338">
        <v>0</v>
      </c>
      <c r="AG338">
        <v>0</v>
      </c>
      <c r="AH338">
        <v>0</v>
      </c>
      <c r="AI338">
        <v>0</v>
      </c>
      <c r="AJ338">
        <v>0</v>
      </c>
      <c r="AK338">
        <v>0</v>
      </c>
      <c r="AL338">
        <v>0</v>
      </c>
      <c r="AM338">
        <v>0</v>
      </c>
      <c r="AN338">
        <v>-12</v>
      </c>
      <c r="AP338" t="s">
        <v>262</v>
      </c>
      <c r="AS338" t="s">
        <v>424</v>
      </c>
      <c r="AV338" t="s">
        <v>334</v>
      </c>
      <c r="AW338" t="s">
        <v>334</v>
      </c>
      <c r="AX338">
        <v>0</v>
      </c>
      <c r="AY338">
        <v>0</v>
      </c>
      <c r="AZ338" t="s">
        <v>233</v>
      </c>
      <c r="BA338" t="s">
        <v>233</v>
      </c>
      <c r="BB338" t="s">
        <v>411</v>
      </c>
      <c r="BC338">
        <v>8</v>
      </c>
      <c r="BD33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-12</v>
      </c>
      <c r="BE338" t="str">
        <f>IF(GetCurrentMonthAging3[[#This Row],[InsGroupPrimary]]="","YES","NO")</f>
        <v>NO</v>
      </c>
      <c r="BF33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-12</v>
      </c>
    </row>
    <row r="339" spans="1:58" x14ac:dyDescent="0.25">
      <c r="A339" t="s">
        <v>103</v>
      </c>
      <c r="B339">
        <v>6</v>
      </c>
      <c r="C339" t="s">
        <v>331</v>
      </c>
      <c r="D339" s="142">
        <v>45199</v>
      </c>
      <c r="E339">
        <v>44931</v>
      </c>
      <c r="H339" t="b">
        <v>0</v>
      </c>
      <c r="I339">
        <v>1</v>
      </c>
      <c r="J339" t="s">
        <v>462</v>
      </c>
      <c r="AN339">
        <v>-10</v>
      </c>
      <c r="AV339" t="s">
        <v>334</v>
      </c>
      <c r="AW339" t="s">
        <v>334</v>
      </c>
      <c r="BA339" t="s">
        <v>264</v>
      </c>
      <c r="BB339" t="s">
        <v>463</v>
      </c>
      <c r="BC339">
        <v>1</v>
      </c>
      <c r="BD33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39" t="str">
        <f>IF(GetCurrentMonthAging3[[#This Row],[InsGroupPrimary]]="","YES","NO")</f>
        <v>YES</v>
      </c>
      <c r="BF33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v>
      </c>
    </row>
    <row r="340" spans="1:58" x14ac:dyDescent="0.25">
      <c r="A340" t="s">
        <v>103</v>
      </c>
      <c r="B340">
        <v>6</v>
      </c>
      <c r="C340" t="s">
        <v>331</v>
      </c>
      <c r="D340" s="142">
        <v>45199</v>
      </c>
      <c r="E340">
        <v>190911</v>
      </c>
      <c r="H340" t="b">
        <v>0</v>
      </c>
      <c r="I340">
        <v>1</v>
      </c>
      <c r="J340" t="s">
        <v>462</v>
      </c>
      <c r="AN340">
        <v>-89.51</v>
      </c>
      <c r="AV340" t="s">
        <v>334</v>
      </c>
      <c r="AW340" t="s">
        <v>334</v>
      </c>
      <c r="BA340" t="s">
        <v>264</v>
      </c>
      <c r="BB340" t="s">
        <v>463</v>
      </c>
      <c r="BC340">
        <v>1</v>
      </c>
      <c r="BD34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40" t="str">
        <f>IF(GetCurrentMonthAging3[[#This Row],[InsGroupPrimary]]="","YES","NO")</f>
        <v>YES</v>
      </c>
      <c r="BF34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-89.51</v>
      </c>
    </row>
    <row r="341" spans="1:58" x14ac:dyDescent="0.25">
      <c r="A341" t="s">
        <v>103</v>
      </c>
      <c r="B341">
        <v>6</v>
      </c>
      <c r="C341" t="s">
        <v>331</v>
      </c>
      <c r="D341" s="142">
        <v>45199</v>
      </c>
      <c r="E341">
        <v>224273</v>
      </c>
      <c r="H341" t="b">
        <v>0</v>
      </c>
      <c r="I341">
        <v>1</v>
      </c>
      <c r="J341" t="s">
        <v>462</v>
      </c>
      <c r="AN341">
        <v>-50</v>
      </c>
      <c r="AV341" t="s">
        <v>334</v>
      </c>
      <c r="AW341" t="s">
        <v>334</v>
      </c>
      <c r="BA341" t="s">
        <v>233</v>
      </c>
      <c r="BB341" t="s">
        <v>463</v>
      </c>
      <c r="BC341">
        <v>1</v>
      </c>
      <c r="BD34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41" t="str">
        <f>IF(GetCurrentMonthAging3[[#This Row],[InsGroupPrimary]]="","YES","NO")</f>
        <v>YES</v>
      </c>
      <c r="BF34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-50</v>
      </c>
    </row>
    <row r="342" spans="1:58" x14ac:dyDescent="0.25">
      <c r="A342" t="s">
        <v>100</v>
      </c>
      <c r="B342">
        <v>6</v>
      </c>
      <c r="C342" t="s">
        <v>331</v>
      </c>
      <c r="D342" s="142">
        <v>45199</v>
      </c>
      <c r="E342">
        <v>18142</v>
      </c>
      <c r="F342">
        <v>203442</v>
      </c>
      <c r="G342">
        <v>1004747</v>
      </c>
      <c r="H342" t="b">
        <v>0</v>
      </c>
      <c r="I342">
        <v>4028</v>
      </c>
      <c r="J342" t="s">
        <v>464</v>
      </c>
      <c r="K342">
        <v>30</v>
      </c>
      <c r="L342">
        <v>30</v>
      </c>
      <c r="M342">
        <v>1</v>
      </c>
      <c r="N342">
        <v>30</v>
      </c>
      <c r="O342">
        <v>0</v>
      </c>
      <c r="P342">
        <v>20</v>
      </c>
      <c r="Q342">
        <v>30</v>
      </c>
      <c r="R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-20</v>
      </c>
      <c r="AV342" t="s">
        <v>334</v>
      </c>
      <c r="AW342" t="s">
        <v>334</v>
      </c>
      <c r="AX342">
        <v>0</v>
      </c>
      <c r="AY342">
        <v>0</v>
      </c>
      <c r="AZ342" t="s">
        <v>264</v>
      </c>
      <c r="BA342" t="s">
        <v>264</v>
      </c>
      <c r="BB342" t="s">
        <v>411</v>
      </c>
      <c r="BC342">
        <v>8</v>
      </c>
      <c r="BD34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42" t="str">
        <f>IF(GetCurrentMonthAging3[[#This Row],[InsGroupPrimary]]="","YES","NO")</f>
        <v>YES</v>
      </c>
      <c r="BF34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343" spans="1:58" x14ac:dyDescent="0.25">
      <c r="A343" t="s">
        <v>103</v>
      </c>
      <c r="B343">
        <v>6</v>
      </c>
      <c r="C343" t="s">
        <v>331</v>
      </c>
      <c r="D343" s="142">
        <v>45199</v>
      </c>
      <c r="E343">
        <v>60719</v>
      </c>
      <c r="H343" t="b">
        <v>0</v>
      </c>
      <c r="I343">
        <v>1</v>
      </c>
      <c r="J343" t="s">
        <v>462</v>
      </c>
      <c r="AN343">
        <v>-40</v>
      </c>
      <c r="AV343" t="s">
        <v>334</v>
      </c>
      <c r="AW343" t="s">
        <v>334</v>
      </c>
      <c r="BA343" t="s">
        <v>233</v>
      </c>
      <c r="BB343" t="s">
        <v>463</v>
      </c>
      <c r="BC343">
        <v>1</v>
      </c>
      <c r="BD34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43" t="str">
        <f>IF(GetCurrentMonthAging3[[#This Row],[InsGroupPrimary]]="","YES","NO")</f>
        <v>YES</v>
      </c>
      <c r="BF34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344" spans="1:58" x14ac:dyDescent="0.25">
      <c r="A344" t="s">
        <v>103</v>
      </c>
      <c r="B344">
        <v>6</v>
      </c>
      <c r="C344" t="s">
        <v>331</v>
      </c>
      <c r="D344" s="142">
        <v>45199</v>
      </c>
      <c r="E344">
        <v>93265</v>
      </c>
      <c r="H344" t="b">
        <v>0</v>
      </c>
      <c r="I344">
        <v>1</v>
      </c>
      <c r="J344" t="s">
        <v>462</v>
      </c>
      <c r="AN344">
        <v>-298</v>
      </c>
      <c r="AV344" t="s">
        <v>334</v>
      </c>
      <c r="AW344" t="s">
        <v>334</v>
      </c>
      <c r="BA344" t="s">
        <v>233</v>
      </c>
      <c r="BB344" t="s">
        <v>463</v>
      </c>
      <c r="BC344">
        <v>1</v>
      </c>
      <c r="BD34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44" t="str">
        <f>IF(GetCurrentMonthAging3[[#This Row],[InsGroupPrimary]]="","YES","NO")</f>
        <v>YES</v>
      </c>
      <c r="BF34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-298</v>
      </c>
    </row>
    <row r="345" spans="1:58" x14ac:dyDescent="0.25">
      <c r="A345" t="s">
        <v>103</v>
      </c>
      <c r="B345">
        <v>6</v>
      </c>
      <c r="C345" t="s">
        <v>331</v>
      </c>
      <c r="D345" s="142">
        <v>45199</v>
      </c>
      <c r="E345">
        <v>228448</v>
      </c>
      <c r="H345" t="b">
        <v>0</v>
      </c>
      <c r="I345">
        <v>1</v>
      </c>
      <c r="J345" t="s">
        <v>462</v>
      </c>
      <c r="AN345">
        <v>-183</v>
      </c>
      <c r="AV345" t="s">
        <v>334</v>
      </c>
      <c r="AW345" t="s">
        <v>334</v>
      </c>
      <c r="BA345" t="s">
        <v>264</v>
      </c>
      <c r="BB345" t="s">
        <v>463</v>
      </c>
      <c r="BC345">
        <v>1</v>
      </c>
      <c r="BD34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45" t="str">
        <f>IF(GetCurrentMonthAging3[[#This Row],[InsGroupPrimary]]="","YES","NO")</f>
        <v>YES</v>
      </c>
      <c r="BF34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-183</v>
      </c>
    </row>
    <row r="346" spans="1:58" x14ac:dyDescent="0.25">
      <c r="A346" t="s">
        <v>103</v>
      </c>
      <c r="B346">
        <v>6</v>
      </c>
      <c r="C346" t="s">
        <v>331</v>
      </c>
      <c r="D346" s="142">
        <v>45199</v>
      </c>
      <c r="E346">
        <v>144641</v>
      </c>
      <c r="H346" t="b">
        <v>0</v>
      </c>
      <c r="I346">
        <v>1</v>
      </c>
      <c r="J346" t="s">
        <v>462</v>
      </c>
      <c r="AN346">
        <v>-19</v>
      </c>
      <c r="AV346" t="s">
        <v>334</v>
      </c>
      <c r="AW346" t="s">
        <v>334</v>
      </c>
      <c r="BA346" t="s">
        <v>264</v>
      </c>
      <c r="BB346" t="s">
        <v>463</v>
      </c>
      <c r="BC346">
        <v>1</v>
      </c>
      <c r="BD34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46" t="str">
        <f>IF(GetCurrentMonthAging3[[#This Row],[InsGroupPrimary]]="","YES","NO")</f>
        <v>YES</v>
      </c>
      <c r="BF34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v>
      </c>
    </row>
    <row r="347" spans="1:58" x14ac:dyDescent="0.25">
      <c r="A347" t="s">
        <v>103</v>
      </c>
      <c r="B347">
        <v>6</v>
      </c>
      <c r="C347" t="s">
        <v>331</v>
      </c>
      <c r="D347" s="142">
        <v>45199</v>
      </c>
      <c r="E347">
        <v>235109</v>
      </c>
      <c r="H347" t="b">
        <v>0</v>
      </c>
      <c r="I347">
        <v>1</v>
      </c>
      <c r="J347" t="s">
        <v>462</v>
      </c>
      <c r="AN347">
        <v>-116.04</v>
      </c>
      <c r="AV347" t="s">
        <v>334</v>
      </c>
      <c r="AW347" t="s">
        <v>334</v>
      </c>
      <c r="BA347" t="s">
        <v>264</v>
      </c>
      <c r="BB347" t="s">
        <v>463</v>
      </c>
      <c r="BC347">
        <v>1</v>
      </c>
      <c r="BD34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47" t="str">
        <f>IF(GetCurrentMonthAging3[[#This Row],[InsGroupPrimary]]="","YES","NO")</f>
        <v>YES</v>
      </c>
      <c r="BF34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-116.04</v>
      </c>
    </row>
    <row r="348" spans="1:58" x14ac:dyDescent="0.25">
      <c r="A348" t="s">
        <v>103</v>
      </c>
      <c r="B348">
        <v>6</v>
      </c>
      <c r="C348" t="s">
        <v>331</v>
      </c>
      <c r="D348" s="142">
        <v>45199</v>
      </c>
      <c r="E348">
        <v>255688</v>
      </c>
      <c r="H348" t="b">
        <v>0</v>
      </c>
      <c r="I348">
        <v>1</v>
      </c>
      <c r="J348" t="s">
        <v>462</v>
      </c>
      <c r="AN348">
        <v>-5</v>
      </c>
      <c r="AV348" t="s">
        <v>334</v>
      </c>
      <c r="AW348" t="s">
        <v>334</v>
      </c>
      <c r="BA348" t="s">
        <v>264</v>
      </c>
      <c r="BB348" t="s">
        <v>463</v>
      </c>
      <c r="BC348">
        <v>1</v>
      </c>
      <c r="BD34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48" t="str">
        <f>IF(GetCurrentMonthAging3[[#This Row],[InsGroupPrimary]]="","YES","NO")</f>
        <v>YES</v>
      </c>
      <c r="BF34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v>
      </c>
    </row>
    <row r="349" spans="1:58" x14ac:dyDescent="0.25">
      <c r="A349" t="s">
        <v>103</v>
      </c>
      <c r="B349">
        <v>6</v>
      </c>
      <c r="C349" t="s">
        <v>331</v>
      </c>
      <c r="D349" s="142">
        <v>45199</v>
      </c>
      <c r="E349">
        <v>44920</v>
      </c>
      <c r="H349" t="b">
        <v>0</v>
      </c>
      <c r="I349">
        <v>1</v>
      </c>
      <c r="J349" t="s">
        <v>462</v>
      </c>
      <c r="AN349">
        <v>-42.2</v>
      </c>
      <c r="AV349" t="s">
        <v>334</v>
      </c>
      <c r="AW349" t="s">
        <v>334</v>
      </c>
      <c r="BA349" t="s">
        <v>264</v>
      </c>
      <c r="BB349" t="s">
        <v>463</v>
      </c>
      <c r="BC349">
        <v>1</v>
      </c>
      <c r="BD34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49" t="str">
        <f>IF(GetCurrentMonthAging3[[#This Row],[InsGroupPrimary]]="","YES","NO")</f>
        <v>YES</v>
      </c>
      <c r="BF34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-42.2</v>
      </c>
    </row>
    <row r="350" spans="1:58" x14ac:dyDescent="0.25">
      <c r="A350" t="s">
        <v>103</v>
      </c>
      <c r="B350">
        <v>6</v>
      </c>
      <c r="C350" t="s">
        <v>331</v>
      </c>
      <c r="D350" s="142">
        <v>45199</v>
      </c>
      <c r="E350">
        <v>95986</v>
      </c>
      <c r="H350" t="b">
        <v>0</v>
      </c>
      <c r="I350">
        <v>1</v>
      </c>
      <c r="J350" t="s">
        <v>462</v>
      </c>
      <c r="AN350">
        <v>-50</v>
      </c>
      <c r="AV350" t="s">
        <v>334</v>
      </c>
      <c r="AW350" t="s">
        <v>334</v>
      </c>
      <c r="BA350" t="s">
        <v>264</v>
      </c>
      <c r="BB350" t="s">
        <v>463</v>
      </c>
      <c r="BC350">
        <v>1</v>
      </c>
      <c r="BD35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50" t="str">
        <f>IF(GetCurrentMonthAging3[[#This Row],[InsGroupPrimary]]="","YES","NO")</f>
        <v>YES</v>
      </c>
      <c r="BF35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-50</v>
      </c>
    </row>
    <row r="351" spans="1:58" x14ac:dyDescent="0.25">
      <c r="A351" t="s">
        <v>103</v>
      </c>
      <c r="B351">
        <v>6</v>
      </c>
      <c r="C351" t="s">
        <v>331</v>
      </c>
      <c r="D351" s="142">
        <v>45199</v>
      </c>
      <c r="E351">
        <v>74287</v>
      </c>
      <c r="H351" t="b">
        <v>0</v>
      </c>
      <c r="I351">
        <v>1</v>
      </c>
      <c r="J351" t="s">
        <v>462</v>
      </c>
      <c r="AN351">
        <v>-23.45</v>
      </c>
      <c r="AV351" t="s">
        <v>334</v>
      </c>
      <c r="AW351" t="s">
        <v>334</v>
      </c>
      <c r="BA351" t="s">
        <v>264</v>
      </c>
      <c r="BB351" t="s">
        <v>463</v>
      </c>
      <c r="BC351">
        <v>1</v>
      </c>
      <c r="BD35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51" t="str">
        <f>IF(GetCurrentMonthAging3[[#This Row],[InsGroupPrimary]]="","YES","NO")</f>
        <v>YES</v>
      </c>
      <c r="BF35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-23.45</v>
      </c>
    </row>
    <row r="352" spans="1:58" x14ac:dyDescent="0.25">
      <c r="A352" t="s">
        <v>103</v>
      </c>
      <c r="B352">
        <v>6</v>
      </c>
      <c r="C352" t="s">
        <v>331</v>
      </c>
      <c r="D352" s="142">
        <v>45199</v>
      </c>
      <c r="E352">
        <v>45502</v>
      </c>
      <c r="H352" t="b">
        <v>0</v>
      </c>
      <c r="I352">
        <v>1</v>
      </c>
      <c r="J352" t="s">
        <v>462</v>
      </c>
      <c r="AN352">
        <v>-60</v>
      </c>
      <c r="AV352" t="s">
        <v>334</v>
      </c>
      <c r="AW352" t="s">
        <v>334</v>
      </c>
      <c r="BA352" t="s">
        <v>233</v>
      </c>
      <c r="BB352" t="s">
        <v>463</v>
      </c>
      <c r="BC352">
        <v>1</v>
      </c>
      <c r="BD35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52" t="str">
        <f>IF(GetCurrentMonthAging3[[#This Row],[InsGroupPrimary]]="","YES","NO")</f>
        <v>YES</v>
      </c>
      <c r="BF35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353" spans="1:58" x14ac:dyDescent="0.25">
      <c r="A353" t="s">
        <v>103</v>
      </c>
      <c r="B353">
        <v>6</v>
      </c>
      <c r="C353" t="s">
        <v>331</v>
      </c>
      <c r="D353" s="142">
        <v>45199</v>
      </c>
      <c r="E353">
        <v>158160</v>
      </c>
      <c r="H353" t="b">
        <v>0</v>
      </c>
      <c r="I353">
        <v>1</v>
      </c>
      <c r="J353" t="s">
        <v>462</v>
      </c>
      <c r="AN353">
        <v>-30</v>
      </c>
      <c r="AV353" t="s">
        <v>334</v>
      </c>
      <c r="AW353" t="s">
        <v>334</v>
      </c>
      <c r="BA353" t="s">
        <v>264</v>
      </c>
      <c r="BB353" t="s">
        <v>463</v>
      </c>
      <c r="BC353">
        <v>1</v>
      </c>
      <c r="BD35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53" t="str">
        <f>IF(GetCurrentMonthAging3[[#This Row],[InsGroupPrimary]]="","YES","NO")</f>
        <v>YES</v>
      </c>
      <c r="BF35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-30</v>
      </c>
    </row>
    <row r="354" spans="1:58" x14ac:dyDescent="0.25">
      <c r="A354" t="s">
        <v>103</v>
      </c>
      <c r="B354">
        <v>6</v>
      </c>
      <c r="C354" t="s">
        <v>331</v>
      </c>
      <c r="D354" s="142">
        <v>45199</v>
      </c>
      <c r="E354">
        <v>267023</v>
      </c>
      <c r="H354" t="b">
        <v>0</v>
      </c>
      <c r="I354">
        <v>1</v>
      </c>
      <c r="J354" t="s">
        <v>462</v>
      </c>
      <c r="AN354">
        <v>-60</v>
      </c>
      <c r="AV354" t="s">
        <v>334</v>
      </c>
      <c r="AW354" t="s">
        <v>334</v>
      </c>
      <c r="BA354" t="s">
        <v>233</v>
      </c>
      <c r="BB354" t="s">
        <v>463</v>
      </c>
      <c r="BC354">
        <v>1</v>
      </c>
      <c r="BD35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54" t="str">
        <f>IF(GetCurrentMonthAging3[[#This Row],[InsGroupPrimary]]="","YES","NO")</f>
        <v>YES</v>
      </c>
      <c r="BF35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355" spans="1:58" x14ac:dyDescent="0.25">
      <c r="A355" t="s">
        <v>103</v>
      </c>
      <c r="B355">
        <v>6</v>
      </c>
      <c r="C355" t="s">
        <v>331</v>
      </c>
      <c r="D355" s="142">
        <v>45199</v>
      </c>
      <c r="E355">
        <v>82678</v>
      </c>
      <c r="H355" t="b">
        <v>0</v>
      </c>
      <c r="I355">
        <v>1</v>
      </c>
      <c r="J355" t="s">
        <v>462</v>
      </c>
      <c r="AN355">
        <v>-25</v>
      </c>
      <c r="AV355" t="s">
        <v>334</v>
      </c>
      <c r="AW355" t="s">
        <v>334</v>
      </c>
      <c r="BA355" t="s">
        <v>233</v>
      </c>
      <c r="BB355" t="s">
        <v>463</v>
      </c>
      <c r="BC355">
        <v>1</v>
      </c>
      <c r="BD35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55" t="str">
        <f>IF(GetCurrentMonthAging3[[#This Row],[InsGroupPrimary]]="","YES","NO")</f>
        <v>YES</v>
      </c>
      <c r="BF35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v>
      </c>
    </row>
    <row r="356" spans="1:58" x14ac:dyDescent="0.25">
      <c r="A356" t="s">
        <v>100</v>
      </c>
      <c r="B356">
        <v>6</v>
      </c>
      <c r="C356" t="s">
        <v>331</v>
      </c>
      <c r="D356" s="142">
        <v>45199</v>
      </c>
      <c r="E356">
        <v>29537</v>
      </c>
      <c r="F356">
        <v>332980</v>
      </c>
      <c r="G356">
        <v>2101478</v>
      </c>
      <c r="H356" t="b">
        <v>0</v>
      </c>
      <c r="I356">
        <v>3733</v>
      </c>
      <c r="J356" t="s">
        <v>409</v>
      </c>
      <c r="K356">
        <v>30</v>
      </c>
      <c r="L356">
        <v>30</v>
      </c>
      <c r="M356">
        <v>1</v>
      </c>
      <c r="N356">
        <v>0</v>
      </c>
      <c r="O356">
        <v>0</v>
      </c>
      <c r="P356">
        <v>30</v>
      </c>
      <c r="Q356">
        <v>0</v>
      </c>
      <c r="R356">
        <v>0</v>
      </c>
      <c r="T356">
        <v>30</v>
      </c>
      <c r="U356">
        <v>0</v>
      </c>
      <c r="V356">
        <v>1</v>
      </c>
      <c r="W356">
        <v>0</v>
      </c>
      <c r="X356">
        <v>30</v>
      </c>
      <c r="Y356">
        <v>0</v>
      </c>
      <c r="Z356">
        <v>0</v>
      </c>
      <c r="AA356">
        <v>0</v>
      </c>
      <c r="AB356">
        <v>0</v>
      </c>
      <c r="AC356">
        <v>0</v>
      </c>
      <c r="AD356">
        <v>0</v>
      </c>
      <c r="AE356">
        <v>0</v>
      </c>
      <c r="AF356">
        <v>0</v>
      </c>
      <c r="AG356">
        <v>0</v>
      </c>
      <c r="AH356">
        <v>0</v>
      </c>
      <c r="AI356">
        <v>0</v>
      </c>
      <c r="AJ356">
        <v>0</v>
      </c>
      <c r="AK356">
        <v>0</v>
      </c>
      <c r="AL356">
        <v>0</v>
      </c>
      <c r="AM356">
        <v>0</v>
      </c>
      <c r="AN356">
        <v>-30</v>
      </c>
      <c r="AP356" t="s">
        <v>260</v>
      </c>
      <c r="AS356" t="s">
        <v>414</v>
      </c>
      <c r="AV356" t="s">
        <v>334</v>
      </c>
      <c r="AW356" t="s">
        <v>334</v>
      </c>
      <c r="AX356">
        <v>0</v>
      </c>
      <c r="AY356">
        <v>0</v>
      </c>
      <c r="AZ356" t="s">
        <v>264</v>
      </c>
      <c r="BA356" t="s">
        <v>264</v>
      </c>
      <c r="BB356" t="s">
        <v>411</v>
      </c>
      <c r="BC356">
        <v>8</v>
      </c>
      <c r="BD35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56" t="str">
        <f>IF(GetCurrentMonthAging3[[#This Row],[InsGroupPrimary]]="","YES","NO")</f>
        <v>NO</v>
      </c>
      <c r="BF35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357" spans="1:58" x14ac:dyDescent="0.25">
      <c r="A357" t="s">
        <v>100</v>
      </c>
      <c r="B357">
        <v>6</v>
      </c>
      <c r="C357" t="s">
        <v>331</v>
      </c>
      <c r="D357" s="142">
        <v>45199</v>
      </c>
      <c r="E357">
        <v>29537</v>
      </c>
      <c r="F357">
        <v>332980</v>
      </c>
      <c r="G357">
        <v>2101479</v>
      </c>
      <c r="H357" t="b">
        <v>0</v>
      </c>
      <c r="I357">
        <v>3733</v>
      </c>
      <c r="J357" t="s">
        <v>422</v>
      </c>
      <c r="K357">
        <v>90</v>
      </c>
      <c r="L357">
        <v>90</v>
      </c>
      <c r="M357">
        <v>1</v>
      </c>
      <c r="N357">
        <v>0</v>
      </c>
      <c r="O357">
        <v>30</v>
      </c>
      <c r="P357">
        <v>-30</v>
      </c>
      <c r="Q357">
        <v>30</v>
      </c>
      <c r="R357">
        <v>0</v>
      </c>
      <c r="T357">
        <v>90</v>
      </c>
      <c r="U357">
        <v>0</v>
      </c>
      <c r="V357">
        <v>1</v>
      </c>
      <c r="W357">
        <v>30</v>
      </c>
      <c r="X357">
        <v>30</v>
      </c>
      <c r="Y357">
        <v>0</v>
      </c>
      <c r="Z357">
        <v>0</v>
      </c>
      <c r="AA357">
        <v>0</v>
      </c>
      <c r="AB357">
        <v>0</v>
      </c>
      <c r="AC357">
        <v>0</v>
      </c>
      <c r="AD357">
        <v>0</v>
      </c>
      <c r="AE357">
        <v>0</v>
      </c>
      <c r="AF357">
        <v>0</v>
      </c>
      <c r="AG357">
        <v>0</v>
      </c>
      <c r="AH357">
        <v>0</v>
      </c>
      <c r="AI357">
        <v>0</v>
      </c>
      <c r="AJ357">
        <v>0</v>
      </c>
      <c r="AK357">
        <v>0</v>
      </c>
      <c r="AL357">
        <v>0</v>
      </c>
      <c r="AM357">
        <v>0</v>
      </c>
      <c r="AN357">
        <v>30</v>
      </c>
      <c r="AP357" t="s">
        <v>260</v>
      </c>
      <c r="AS357" t="s">
        <v>414</v>
      </c>
      <c r="AV357" t="s">
        <v>334</v>
      </c>
      <c r="AW357" t="s">
        <v>334</v>
      </c>
      <c r="AX357">
        <v>0</v>
      </c>
      <c r="AY357">
        <v>0</v>
      </c>
      <c r="AZ357" t="s">
        <v>264</v>
      </c>
      <c r="BA357" t="s">
        <v>264</v>
      </c>
      <c r="BB357" t="s">
        <v>411</v>
      </c>
      <c r="BC357">
        <v>8</v>
      </c>
      <c r="BD35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57" t="str">
        <f>IF(GetCurrentMonthAging3[[#This Row],[InsGroupPrimary]]="","YES","NO")</f>
        <v>NO</v>
      </c>
      <c r="BF35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358" spans="1:58" x14ac:dyDescent="0.25">
      <c r="A358" t="s">
        <v>103</v>
      </c>
      <c r="B358">
        <v>6</v>
      </c>
      <c r="C358" t="s">
        <v>331</v>
      </c>
      <c r="D358" s="142">
        <v>45199</v>
      </c>
      <c r="E358">
        <v>52847</v>
      </c>
      <c r="H358" t="b">
        <v>0</v>
      </c>
      <c r="I358">
        <v>1</v>
      </c>
      <c r="J358" t="s">
        <v>462</v>
      </c>
      <c r="AN358">
        <v>-320.08999999999997</v>
      </c>
      <c r="AV358" t="s">
        <v>334</v>
      </c>
      <c r="AW358" t="s">
        <v>334</v>
      </c>
      <c r="BA358" t="s">
        <v>233</v>
      </c>
      <c r="BB358" t="s">
        <v>463</v>
      </c>
      <c r="BC358">
        <v>1</v>
      </c>
      <c r="BD35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58" t="str">
        <f>IF(GetCurrentMonthAging3[[#This Row],[InsGroupPrimary]]="","YES","NO")</f>
        <v>YES</v>
      </c>
      <c r="BF35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-320.08999999999997</v>
      </c>
    </row>
    <row r="359" spans="1:58" x14ac:dyDescent="0.25">
      <c r="A359" t="s">
        <v>103</v>
      </c>
      <c r="B359">
        <v>6</v>
      </c>
      <c r="C359" t="s">
        <v>331</v>
      </c>
      <c r="D359" s="142">
        <v>45199</v>
      </c>
      <c r="E359">
        <v>225416</v>
      </c>
      <c r="H359" t="b">
        <v>0</v>
      </c>
      <c r="I359">
        <v>1</v>
      </c>
      <c r="J359" t="s">
        <v>462</v>
      </c>
      <c r="AN359">
        <v>-30</v>
      </c>
      <c r="AV359" t="s">
        <v>334</v>
      </c>
      <c r="AW359" t="s">
        <v>334</v>
      </c>
      <c r="BA359" t="s">
        <v>233</v>
      </c>
      <c r="BB359" t="s">
        <v>463</v>
      </c>
      <c r="BC359">
        <v>1</v>
      </c>
      <c r="BD35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59" t="str">
        <f>IF(GetCurrentMonthAging3[[#This Row],[InsGroupPrimary]]="","YES","NO")</f>
        <v>YES</v>
      </c>
      <c r="BF35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-30</v>
      </c>
    </row>
    <row r="360" spans="1:58" x14ac:dyDescent="0.25">
      <c r="A360" t="s">
        <v>103</v>
      </c>
      <c r="B360">
        <v>6</v>
      </c>
      <c r="C360" t="s">
        <v>331</v>
      </c>
      <c r="D360" s="142">
        <v>45199</v>
      </c>
      <c r="E360">
        <v>264855</v>
      </c>
      <c r="H360" t="b">
        <v>0</v>
      </c>
      <c r="I360">
        <v>1</v>
      </c>
      <c r="J360" t="s">
        <v>462</v>
      </c>
      <c r="AN360">
        <v>-50.09</v>
      </c>
      <c r="AV360" t="s">
        <v>334</v>
      </c>
      <c r="AW360" t="s">
        <v>334</v>
      </c>
      <c r="BA360" t="s">
        <v>264</v>
      </c>
      <c r="BB360" t="s">
        <v>463</v>
      </c>
      <c r="BC360">
        <v>1</v>
      </c>
      <c r="BD36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60" t="str">
        <f>IF(GetCurrentMonthAging3[[#This Row],[InsGroupPrimary]]="","YES","NO")</f>
        <v>YES</v>
      </c>
      <c r="BF36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-50.09</v>
      </c>
    </row>
    <row r="361" spans="1:58" x14ac:dyDescent="0.25">
      <c r="A361" t="s">
        <v>103</v>
      </c>
      <c r="B361">
        <v>6</v>
      </c>
      <c r="C361" t="s">
        <v>331</v>
      </c>
      <c r="D361" s="142">
        <v>45199</v>
      </c>
      <c r="E361">
        <v>160691</v>
      </c>
      <c r="H361" t="b">
        <v>0</v>
      </c>
      <c r="I361">
        <v>1</v>
      </c>
      <c r="J361" t="s">
        <v>462</v>
      </c>
      <c r="AN361">
        <v>-175</v>
      </c>
      <c r="AV361" t="s">
        <v>334</v>
      </c>
      <c r="AW361" t="s">
        <v>334</v>
      </c>
      <c r="BA361" t="s">
        <v>233</v>
      </c>
      <c r="BB361" t="s">
        <v>463</v>
      </c>
      <c r="BC361">
        <v>1</v>
      </c>
      <c r="BD36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61" t="str">
        <f>IF(GetCurrentMonthAging3[[#This Row],[InsGroupPrimary]]="","YES","NO")</f>
        <v>YES</v>
      </c>
      <c r="BF36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-175</v>
      </c>
    </row>
    <row r="362" spans="1:58" x14ac:dyDescent="0.25">
      <c r="A362" t="s">
        <v>103</v>
      </c>
      <c r="B362">
        <v>6</v>
      </c>
      <c r="C362" t="s">
        <v>331</v>
      </c>
      <c r="D362" s="142">
        <v>45199</v>
      </c>
      <c r="E362">
        <v>38025</v>
      </c>
      <c r="H362" t="b">
        <v>0</v>
      </c>
      <c r="I362">
        <v>1</v>
      </c>
      <c r="J362" t="s">
        <v>462</v>
      </c>
      <c r="AN362">
        <v>-40</v>
      </c>
      <c r="AV362" t="s">
        <v>334</v>
      </c>
      <c r="AW362" t="s">
        <v>334</v>
      </c>
      <c r="BA362" t="s">
        <v>264</v>
      </c>
      <c r="BB362" t="s">
        <v>463</v>
      </c>
      <c r="BC362">
        <v>1</v>
      </c>
      <c r="BD36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62" t="str">
        <f>IF(GetCurrentMonthAging3[[#This Row],[InsGroupPrimary]]="","YES","NO")</f>
        <v>YES</v>
      </c>
      <c r="BF36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363" spans="1:58" x14ac:dyDescent="0.25">
      <c r="A363" t="s">
        <v>103</v>
      </c>
      <c r="B363">
        <v>6</v>
      </c>
      <c r="C363" t="s">
        <v>331</v>
      </c>
      <c r="D363" s="142">
        <v>45199</v>
      </c>
      <c r="E363">
        <v>1996</v>
      </c>
      <c r="H363" t="b">
        <v>0</v>
      </c>
      <c r="I363">
        <v>1</v>
      </c>
      <c r="J363" t="s">
        <v>462</v>
      </c>
      <c r="AN363">
        <v>-30</v>
      </c>
      <c r="AV363" t="s">
        <v>334</v>
      </c>
      <c r="AW363" t="s">
        <v>334</v>
      </c>
      <c r="BA363" t="s">
        <v>233</v>
      </c>
      <c r="BB363" t="s">
        <v>463</v>
      </c>
      <c r="BC363">
        <v>1</v>
      </c>
      <c r="BD36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63" t="str">
        <f>IF(GetCurrentMonthAging3[[#This Row],[InsGroupPrimary]]="","YES","NO")</f>
        <v>YES</v>
      </c>
      <c r="BF36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-30</v>
      </c>
    </row>
    <row r="364" spans="1:58" x14ac:dyDescent="0.25">
      <c r="A364" t="s">
        <v>103</v>
      </c>
      <c r="B364">
        <v>6</v>
      </c>
      <c r="C364" t="s">
        <v>331</v>
      </c>
      <c r="D364" s="142">
        <v>45199</v>
      </c>
      <c r="E364">
        <v>105027</v>
      </c>
      <c r="H364" t="b">
        <v>0</v>
      </c>
      <c r="I364">
        <v>1</v>
      </c>
      <c r="J364" t="s">
        <v>462</v>
      </c>
      <c r="AN364">
        <v>-50.88</v>
      </c>
      <c r="AV364" t="s">
        <v>334</v>
      </c>
      <c r="AW364" t="s">
        <v>334</v>
      </c>
      <c r="BA364" t="s">
        <v>233</v>
      </c>
      <c r="BB364" t="s">
        <v>463</v>
      </c>
      <c r="BC364">
        <v>1</v>
      </c>
      <c r="BD36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64" t="str">
        <f>IF(GetCurrentMonthAging3[[#This Row],[InsGroupPrimary]]="","YES","NO")</f>
        <v>YES</v>
      </c>
      <c r="BF36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-50.88</v>
      </c>
    </row>
    <row r="365" spans="1:58" x14ac:dyDescent="0.25">
      <c r="A365" t="s">
        <v>103</v>
      </c>
      <c r="B365">
        <v>6</v>
      </c>
      <c r="C365" t="s">
        <v>331</v>
      </c>
      <c r="D365" s="142">
        <v>45199</v>
      </c>
      <c r="E365">
        <v>202783</v>
      </c>
      <c r="H365" t="b">
        <v>0</v>
      </c>
      <c r="I365">
        <v>1</v>
      </c>
      <c r="J365" t="s">
        <v>462</v>
      </c>
      <c r="AN365">
        <v>-3.5</v>
      </c>
      <c r="AV365" t="s">
        <v>334</v>
      </c>
      <c r="AW365" t="s">
        <v>334</v>
      </c>
      <c r="BA365" t="s">
        <v>264</v>
      </c>
      <c r="BB365" t="s">
        <v>463</v>
      </c>
      <c r="BC365">
        <v>1</v>
      </c>
      <c r="BD36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65" t="str">
        <f>IF(GetCurrentMonthAging3[[#This Row],[InsGroupPrimary]]="","YES","NO")</f>
        <v>YES</v>
      </c>
      <c r="BF36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-3.5</v>
      </c>
    </row>
    <row r="366" spans="1:58" x14ac:dyDescent="0.25">
      <c r="A366" t="s">
        <v>103</v>
      </c>
      <c r="B366">
        <v>6</v>
      </c>
      <c r="C366" t="s">
        <v>331</v>
      </c>
      <c r="D366" s="142">
        <v>45199</v>
      </c>
      <c r="E366">
        <v>51660</v>
      </c>
      <c r="H366" t="b">
        <v>0</v>
      </c>
      <c r="I366">
        <v>1</v>
      </c>
      <c r="J366" t="s">
        <v>462</v>
      </c>
      <c r="AN366">
        <v>-15.05</v>
      </c>
      <c r="AV366" t="s">
        <v>334</v>
      </c>
      <c r="AW366" t="s">
        <v>334</v>
      </c>
      <c r="BA366" t="s">
        <v>264</v>
      </c>
      <c r="BB366" t="s">
        <v>463</v>
      </c>
      <c r="BC366">
        <v>1</v>
      </c>
      <c r="BD36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66" t="str">
        <f>IF(GetCurrentMonthAging3[[#This Row],[InsGroupPrimary]]="","YES","NO")</f>
        <v>YES</v>
      </c>
      <c r="BF36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-15.05</v>
      </c>
    </row>
    <row r="367" spans="1:58" x14ac:dyDescent="0.25">
      <c r="A367" t="s">
        <v>103</v>
      </c>
      <c r="B367">
        <v>6</v>
      </c>
      <c r="C367" t="s">
        <v>331</v>
      </c>
      <c r="D367" s="142">
        <v>45199</v>
      </c>
      <c r="E367">
        <v>55482</v>
      </c>
      <c r="H367" t="b">
        <v>0</v>
      </c>
      <c r="I367">
        <v>1</v>
      </c>
      <c r="J367" t="s">
        <v>462</v>
      </c>
      <c r="AN367">
        <v>-90</v>
      </c>
      <c r="AV367" t="s">
        <v>334</v>
      </c>
      <c r="AW367" t="s">
        <v>334</v>
      </c>
      <c r="BA367" t="s">
        <v>264</v>
      </c>
      <c r="BB367" t="s">
        <v>463</v>
      </c>
      <c r="BC367">
        <v>1</v>
      </c>
      <c r="BD36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67" t="str">
        <f>IF(GetCurrentMonthAging3[[#This Row],[InsGroupPrimary]]="","YES","NO")</f>
        <v>YES</v>
      </c>
      <c r="BF36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-90</v>
      </c>
    </row>
    <row r="368" spans="1:58" x14ac:dyDescent="0.25">
      <c r="A368" t="s">
        <v>103</v>
      </c>
      <c r="B368">
        <v>6</v>
      </c>
      <c r="C368" t="s">
        <v>331</v>
      </c>
      <c r="D368" s="142">
        <v>45199</v>
      </c>
      <c r="E368">
        <v>53473</v>
      </c>
      <c r="H368" t="b">
        <v>0</v>
      </c>
      <c r="I368">
        <v>1</v>
      </c>
      <c r="J368" t="s">
        <v>462</v>
      </c>
      <c r="AN368">
        <v>-20</v>
      </c>
      <c r="AV368" t="s">
        <v>334</v>
      </c>
      <c r="AW368" t="s">
        <v>334</v>
      </c>
      <c r="BA368" t="s">
        <v>264</v>
      </c>
      <c r="BB368" t="s">
        <v>463</v>
      </c>
      <c r="BC368">
        <v>1</v>
      </c>
      <c r="BD36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68" t="str">
        <f>IF(GetCurrentMonthAging3[[#This Row],[InsGroupPrimary]]="","YES","NO")</f>
        <v>YES</v>
      </c>
      <c r="BF36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369" spans="1:58" x14ac:dyDescent="0.25">
      <c r="A369" t="s">
        <v>103</v>
      </c>
      <c r="B369">
        <v>6</v>
      </c>
      <c r="C369" t="s">
        <v>331</v>
      </c>
      <c r="D369" s="142">
        <v>45199</v>
      </c>
      <c r="E369">
        <v>64336</v>
      </c>
      <c r="H369" t="b">
        <v>0</v>
      </c>
      <c r="I369">
        <v>1</v>
      </c>
      <c r="J369" t="s">
        <v>462</v>
      </c>
      <c r="AN369">
        <v>-90</v>
      </c>
      <c r="AV369" t="s">
        <v>334</v>
      </c>
      <c r="AW369" t="s">
        <v>334</v>
      </c>
      <c r="BA369" t="s">
        <v>264</v>
      </c>
      <c r="BB369" t="s">
        <v>463</v>
      </c>
      <c r="BC369">
        <v>1</v>
      </c>
      <c r="BD36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69" t="str">
        <f>IF(GetCurrentMonthAging3[[#This Row],[InsGroupPrimary]]="","YES","NO")</f>
        <v>YES</v>
      </c>
      <c r="BF36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-90</v>
      </c>
    </row>
    <row r="370" spans="1:58" x14ac:dyDescent="0.25">
      <c r="A370" t="s">
        <v>103</v>
      </c>
      <c r="B370">
        <v>6</v>
      </c>
      <c r="C370" t="s">
        <v>331</v>
      </c>
      <c r="D370" s="142">
        <v>45199</v>
      </c>
      <c r="E370">
        <v>178399</v>
      </c>
      <c r="H370" t="b">
        <v>0</v>
      </c>
      <c r="I370">
        <v>1</v>
      </c>
      <c r="J370" t="s">
        <v>462</v>
      </c>
      <c r="AN370">
        <v>-480</v>
      </c>
      <c r="AV370" t="s">
        <v>334</v>
      </c>
      <c r="AW370" t="s">
        <v>334</v>
      </c>
      <c r="BA370" t="s">
        <v>233</v>
      </c>
      <c r="BB370" t="s">
        <v>463</v>
      </c>
      <c r="BC370">
        <v>1</v>
      </c>
      <c r="BD37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70" t="str">
        <f>IF(GetCurrentMonthAging3[[#This Row],[InsGroupPrimary]]="","YES","NO")</f>
        <v>YES</v>
      </c>
      <c r="BF37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-480</v>
      </c>
    </row>
    <row r="371" spans="1:58" x14ac:dyDescent="0.25">
      <c r="A371" t="s">
        <v>103</v>
      </c>
      <c r="B371">
        <v>6</v>
      </c>
      <c r="C371" t="s">
        <v>331</v>
      </c>
      <c r="D371" s="142">
        <v>45199</v>
      </c>
      <c r="E371">
        <v>79232</v>
      </c>
      <c r="H371" t="b">
        <v>0</v>
      </c>
      <c r="I371">
        <v>1</v>
      </c>
      <c r="J371" t="s">
        <v>462</v>
      </c>
      <c r="AN371">
        <v>-20</v>
      </c>
      <c r="AV371" t="s">
        <v>334</v>
      </c>
      <c r="AW371" t="s">
        <v>334</v>
      </c>
      <c r="BA371" t="s">
        <v>264</v>
      </c>
      <c r="BB371" t="s">
        <v>463</v>
      </c>
      <c r="BC371">
        <v>1</v>
      </c>
      <c r="BD37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71" t="str">
        <f>IF(GetCurrentMonthAging3[[#This Row],[InsGroupPrimary]]="","YES","NO")</f>
        <v>YES</v>
      </c>
      <c r="BF37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372" spans="1:58" x14ac:dyDescent="0.25">
      <c r="A372" t="s">
        <v>103</v>
      </c>
      <c r="B372">
        <v>6</v>
      </c>
      <c r="C372" t="s">
        <v>331</v>
      </c>
      <c r="D372" s="142">
        <v>45199</v>
      </c>
      <c r="E372">
        <v>217457</v>
      </c>
      <c r="H372" t="b">
        <v>0</v>
      </c>
      <c r="I372">
        <v>1</v>
      </c>
      <c r="J372" t="s">
        <v>462</v>
      </c>
      <c r="AN372">
        <v>-3.85</v>
      </c>
      <c r="AV372" t="s">
        <v>334</v>
      </c>
      <c r="AW372" t="s">
        <v>334</v>
      </c>
      <c r="BA372" t="s">
        <v>264</v>
      </c>
      <c r="BB372" t="s">
        <v>463</v>
      </c>
      <c r="BC372">
        <v>1</v>
      </c>
      <c r="BD37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72" t="str">
        <f>IF(GetCurrentMonthAging3[[#This Row],[InsGroupPrimary]]="","YES","NO")</f>
        <v>YES</v>
      </c>
      <c r="BF37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-3.85</v>
      </c>
    </row>
    <row r="373" spans="1:58" x14ac:dyDescent="0.25">
      <c r="A373" t="s">
        <v>103</v>
      </c>
      <c r="B373">
        <v>6</v>
      </c>
      <c r="C373" t="s">
        <v>331</v>
      </c>
      <c r="D373" s="142">
        <v>45199</v>
      </c>
      <c r="E373">
        <v>89431</v>
      </c>
      <c r="H373" t="b">
        <v>0</v>
      </c>
      <c r="I373">
        <v>1</v>
      </c>
      <c r="J373" t="s">
        <v>462</v>
      </c>
      <c r="AN373">
        <v>-75</v>
      </c>
      <c r="AV373" t="s">
        <v>334</v>
      </c>
      <c r="AW373" t="s">
        <v>334</v>
      </c>
      <c r="BA373" t="s">
        <v>233</v>
      </c>
      <c r="BB373" t="s">
        <v>463</v>
      </c>
      <c r="BC373">
        <v>1</v>
      </c>
      <c r="BD37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73" t="str">
        <f>IF(GetCurrentMonthAging3[[#This Row],[InsGroupPrimary]]="","YES","NO")</f>
        <v>YES</v>
      </c>
      <c r="BF37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-75</v>
      </c>
    </row>
    <row r="374" spans="1:58" x14ac:dyDescent="0.25">
      <c r="A374" t="s">
        <v>103</v>
      </c>
      <c r="B374">
        <v>6</v>
      </c>
      <c r="C374" t="s">
        <v>331</v>
      </c>
      <c r="D374" s="142">
        <v>45199</v>
      </c>
      <c r="E374">
        <v>67765</v>
      </c>
      <c r="H374" t="b">
        <v>0</v>
      </c>
      <c r="I374">
        <v>1</v>
      </c>
      <c r="J374" t="s">
        <v>462</v>
      </c>
      <c r="AN374">
        <v>-260</v>
      </c>
      <c r="AV374" t="s">
        <v>334</v>
      </c>
      <c r="AW374" t="s">
        <v>334</v>
      </c>
      <c r="BA374" t="s">
        <v>233</v>
      </c>
      <c r="BB374" t="s">
        <v>463</v>
      </c>
      <c r="BC374">
        <v>1</v>
      </c>
      <c r="BD37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74" t="str">
        <f>IF(GetCurrentMonthAging3[[#This Row],[InsGroupPrimary]]="","YES","NO")</f>
        <v>YES</v>
      </c>
      <c r="BF37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-260</v>
      </c>
    </row>
    <row r="375" spans="1:58" x14ac:dyDescent="0.25">
      <c r="A375" t="s">
        <v>103</v>
      </c>
      <c r="B375">
        <v>6</v>
      </c>
      <c r="C375" t="s">
        <v>331</v>
      </c>
      <c r="D375" s="142">
        <v>45199</v>
      </c>
      <c r="E375">
        <v>55311</v>
      </c>
      <c r="H375" t="b">
        <v>0</v>
      </c>
      <c r="I375">
        <v>1</v>
      </c>
      <c r="J375" t="s">
        <v>462</v>
      </c>
      <c r="AN375">
        <v>-67.69</v>
      </c>
      <c r="AV375" t="s">
        <v>334</v>
      </c>
      <c r="AW375" t="s">
        <v>334</v>
      </c>
      <c r="BA375" t="s">
        <v>233</v>
      </c>
      <c r="BB375" t="s">
        <v>463</v>
      </c>
      <c r="BC375">
        <v>1</v>
      </c>
      <c r="BD37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75" t="str">
        <f>IF(GetCurrentMonthAging3[[#This Row],[InsGroupPrimary]]="","YES","NO")</f>
        <v>YES</v>
      </c>
      <c r="BF37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-67.69</v>
      </c>
    </row>
    <row r="376" spans="1:58" x14ac:dyDescent="0.25">
      <c r="A376" t="s">
        <v>100</v>
      </c>
      <c r="B376">
        <v>6</v>
      </c>
      <c r="C376" t="s">
        <v>331</v>
      </c>
      <c r="D376" s="142">
        <v>45199</v>
      </c>
      <c r="E376">
        <v>12982</v>
      </c>
      <c r="F376">
        <v>136740</v>
      </c>
      <c r="G376">
        <v>516827</v>
      </c>
      <c r="H376" t="b">
        <v>0</v>
      </c>
      <c r="I376">
        <v>4156</v>
      </c>
      <c r="J376" t="s">
        <v>422</v>
      </c>
      <c r="K376">
        <v>90</v>
      </c>
      <c r="L376">
        <v>90</v>
      </c>
      <c r="M376">
        <v>1</v>
      </c>
      <c r="N376">
        <v>0</v>
      </c>
      <c r="O376">
        <v>0</v>
      </c>
      <c r="P376">
        <v>40</v>
      </c>
      <c r="Q376">
        <v>0</v>
      </c>
      <c r="R376">
        <v>0</v>
      </c>
      <c r="T376">
        <v>90</v>
      </c>
      <c r="U376">
        <v>0</v>
      </c>
      <c r="V376">
        <v>1</v>
      </c>
      <c r="W376">
        <v>20</v>
      </c>
      <c r="X376">
        <v>30</v>
      </c>
      <c r="Y376">
        <v>0</v>
      </c>
      <c r="Z376">
        <v>40</v>
      </c>
      <c r="AA376">
        <v>0</v>
      </c>
      <c r="AB376">
        <v>0</v>
      </c>
      <c r="AC376">
        <v>40</v>
      </c>
      <c r="AD376">
        <v>0</v>
      </c>
      <c r="AE376">
        <v>0</v>
      </c>
      <c r="AF376">
        <v>0</v>
      </c>
      <c r="AG376">
        <v>0</v>
      </c>
      <c r="AH376">
        <v>0</v>
      </c>
      <c r="AI376">
        <v>0</v>
      </c>
      <c r="AJ376">
        <v>0</v>
      </c>
      <c r="AK376">
        <v>0</v>
      </c>
      <c r="AL376">
        <v>0</v>
      </c>
      <c r="AM376">
        <v>0</v>
      </c>
      <c r="AN376">
        <v>-40</v>
      </c>
      <c r="AP376" t="s">
        <v>262</v>
      </c>
      <c r="AQ376" t="s">
        <v>263</v>
      </c>
      <c r="AS376" t="s">
        <v>424</v>
      </c>
      <c r="AT376" t="s">
        <v>468</v>
      </c>
      <c r="AV376" t="s">
        <v>334</v>
      </c>
      <c r="AW376" t="s">
        <v>334</v>
      </c>
      <c r="AX376">
        <v>0</v>
      </c>
      <c r="AY376">
        <v>0</v>
      </c>
      <c r="AZ376" t="s">
        <v>233</v>
      </c>
      <c r="BA376" t="s">
        <v>233</v>
      </c>
      <c r="BB376" t="s">
        <v>411</v>
      </c>
      <c r="BC376">
        <v>8</v>
      </c>
      <c r="BD37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-40</v>
      </c>
      <c r="BE376" t="str">
        <f>IF(GetCurrentMonthAging3[[#This Row],[InsGroupPrimary]]="","YES","NO")</f>
        <v>NO</v>
      </c>
      <c r="BF37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377" spans="1:58" x14ac:dyDescent="0.25">
      <c r="A377" t="s">
        <v>103</v>
      </c>
      <c r="B377">
        <v>6</v>
      </c>
      <c r="C377" t="s">
        <v>331</v>
      </c>
      <c r="D377" s="142">
        <v>45199</v>
      </c>
      <c r="E377">
        <v>45081</v>
      </c>
      <c r="H377" t="b">
        <v>0</v>
      </c>
      <c r="I377">
        <v>1</v>
      </c>
      <c r="J377" t="s">
        <v>462</v>
      </c>
      <c r="AN377">
        <v>-17.7</v>
      </c>
      <c r="AV377" t="s">
        <v>334</v>
      </c>
      <c r="AW377" t="s">
        <v>334</v>
      </c>
      <c r="BA377" t="s">
        <v>264</v>
      </c>
      <c r="BB377" t="s">
        <v>463</v>
      </c>
      <c r="BC377">
        <v>1</v>
      </c>
      <c r="BD37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77" t="str">
        <f>IF(GetCurrentMonthAging3[[#This Row],[InsGroupPrimary]]="","YES","NO")</f>
        <v>YES</v>
      </c>
      <c r="BF37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-17.7</v>
      </c>
    </row>
    <row r="378" spans="1:58" x14ac:dyDescent="0.25">
      <c r="A378" t="s">
        <v>103</v>
      </c>
      <c r="B378">
        <v>6</v>
      </c>
      <c r="C378" t="s">
        <v>331</v>
      </c>
      <c r="D378" s="142">
        <v>45199</v>
      </c>
      <c r="E378">
        <v>153708</v>
      </c>
      <c r="H378" t="b">
        <v>0</v>
      </c>
      <c r="I378">
        <v>1</v>
      </c>
      <c r="J378" t="s">
        <v>462</v>
      </c>
      <c r="AN378">
        <v>-150</v>
      </c>
      <c r="AV378" t="s">
        <v>334</v>
      </c>
      <c r="AW378" t="s">
        <v>334</v>
      </c>
      <c r="BA378" t="s">
        <v>264</v>
      </c>
      <c r="BB378" t="s">
        <v>463</v>
      </c>
      <c r="BC378">
        <v>1</v>
      </c>
      <c r="BD37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78" t="str">
        <f>IF(GetCurrentMonthAging3[[#This Row],[InsGroupPrimary]]="","YES","NO")</f>
        <v>YES</v>
      </c>
      <c r="BF37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-150</v>
      </c>
    </row>
    <row r="379" spans="1:58" x14ac:dyDescent="0.25">
      <c r="A379" t="s">
        <v>103</v>
      </c>
      <c r="B379">
        <v>6</v>
      </c>
      <c r="C379" t="s">
        <v>331</v>
      </c>
      <c r="D379" s="142">
        <v>45199</v>
      </c>
      <c r="E379">
        <v>165333</v>
      </c>
      <c r="H379" t="b">
        <v>0</v>
      </c>
      <c r="I379">
        <v>1</v>
      </c>
      <c r="J379" t="s">
        <v>462</v>
      </c>
      <c r="AN379">
        <v>-4</v>
      </c>
      <c r="AV379" t="s">
        <v>334</v>
      </c>
      <c r="AW379" t="s">
        <v>334</v>
      </c>
      <c r="BA379" t="s">
        <v>264</v>
      </c>
      <c r="BB379" t="s">
        <v>463</v>
      </c>
      <c r="BC379">
        <v>1</v>
      </c>
      <c r="BD37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79" t="str">
        <f>IF(GetCurrentMonthAging3[[#This Row],[InsGroupPrimary]]="","YES","NO")</f>
        <v>YES</v>
      </c>
      <c r="BF37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v>
      </c>
    </row>
    <row r="380" spans="1:58" x14ac:dyDescent="0.25">
      <c r="A380" t="s">
        <v>103</v>
      </c>
      <c r="B380">
        <v>6</v>
      </c>
      <c r="C380" t="s">
        <v>331</v>
      </c>
      <c r="D380" s="142">
        <v>45199</v>
      </c>
      <c r="E380">
        <v>155950</v>
      </c>
      <c r="H380" t="b">
        <v>0</v>
      </c>
      <c r="I380">
        <v>1</v>
      </c>
      <c r="J380" t="s">
        <v>462</v>
      </c>
      <c r="AN380">
        <v>-54.33</v>
      </c>
      <c r="AV380" t="s">
        <v>334</v>
      </c>
      <c r="AW380" t="s">
        <v>334</v>
      </c>
      <c r="BA380" t="s">
        <v>264</v>
      </c>
      <c r="BB380" t="s">
        <v>463</v>
      </c>
      <c r="BC380">
        <v>1</v>
      </c>
      <c r="BD38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80" t="str">
        <f>IF(GetCurrentMonthAging3[[#This Row],[InsGroupPrimary]]="","YES","NO")</f>
        <v>YES</v>
      </c>
      <c r="BF38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-54.33</v>
      </c>
    </row>
    <row r="381" spans="1:58" x14ac:dyDescent="0.25">
      <c r="A381" t="s">
        <v>103</v>
      </c>
      <c r="B381">
        <v>6</v>
      </c>
      <c r="C381" t="s">
        <v>331</v>
      </c>
      <c r="D381" s="142">
        <v>45199</v>
      </c>
      <c r="E381">
        <v>128273</v>
      </c>
      <c r="H381" t="b">
        <v>0</v>
      </c>
      <c r="I381">
        <v>1</v>
      </c>
      <c r="J381" t="s">
        <v>462</v>
      </c>
      <c r="AN381">
        <v>-2146.7600000000002</v>
      </c>
      <c r="AV381" t="s">
        <v>334</v>
      </c>
      <c r="AW381" t="s">
        <v>334</v>
      </c>
      <c r="BA381" t="s">
        <v>233</v>
      </c>
      <c r="BB381" t="s">
        <v>463</v>
      </c>
      <c r="BC381">
        <v>1</v>
      </c>
      <c r="BD38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81" t="str">
        <f>IF(GetCurrentMonthAging3[[#This Row],[InsGroupPrimary]]="","YES","NO")</f>
        <v>YES</v>
      </c>
      <c r="BF38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-2146.7600000000002</v>
      </c>
    </row>
    <row r="382" spans="1:58" x14ac:dyDescent="0.25">
      <c r="A382" t="s">
        <v>103</v>
      </c>
      <c r="B382">
        <v>6</v>
      </c>
      <c r="C382" t="s">
        <v>331</v>
      </c>
      <c r="D382" s="142">
        <v>45199</v>
      </c>
      <c r="E382">
        <v>251666</v>
      </c>
      <c r="H382" t="b">
        <v>0</v>
      </c>
      <c r="I382">
        <v>1</v>
      </c>
      <c r="J382" t="s">
        <v>462</v>
      </c>
      <c r="AN382">
        <v>-40</v>
      </c>
      <c r="AV382" t="s">
        <v>334</v>
      </c>
      <c r="AW382" t="s">
        <v>334</v>
      </c>
      <c r="BA382" t="s">
        <v>233</v>
      </c>
      <c r="BB382" t="s">
        <v>463</v>
      </c>
      <c r="BC382">
        <v>1</v>
      </c>
      <c r="BD38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82" t="str">
        <f>IF(GetCurrentMonthAging3[[#This Row],[InsGroupPrimary]]="","YES","NO")</f>
        <v>YES</v>
      </c>
      <c r="BF38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383" spans="1:58" x14ac:dyDescent="0.25">
      <c r="A383" t="s">
        <v>103</v>
      </c>
      <c r="B383">
        <v>6</v>
      </c>
      <c r="C383" t="s">
        <v>331</v>
      </c>
      <c r="D383" s="142">
        <v>45199</v>
      </c>
      <c r="E383">
        <v>46949</v>
      </c>
      <c r="H383" t="b">
        <v>0</v>
      </c>
      <c r="I383">
        <v>1</v>
      </c>
      <c r="J383" t="s">
        <v>462</v>
      </c>
      <c r="AN383">
        <v>-90</v>
      </c>
      <c r="AV383" t="s">
        <v>334</v>
      </c>
      <c r="AW383" t="s">
        <v>334</v>
      </c>
      <c r="BA383" t="s">
        <v>233</v>
      </c>
      <c r="BB383" t="s">
        <v>463</v>
      </c>
      <c r="BC383">
        <v>1</v>
      </c>
      <c r="BD38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83" t="str">
        <f>IF(GetCurrentMonthAging3[[#This Row],[InsGroupPrimary]]="","YES","NO")</f>
        <v>YES</v>
      </c>
      <c r="BF38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-90</v>
      </c>
    </row>
    <row r="384" spans="1:58" x14ac:dyDescent="0.25">
      <c r="A384" t="s">
        <v>103</v>
      </c>
      <c r="B384">
        <v>6</v>
      </c>
      <c r="C384" t="s">
        <v>331</v>
      </c>
      <c r="D384" s="142">
        <v>45199</v>
      </c>
      <c r="E384">
        <v>159289</v>
      </c>
      <c r="H384" t="b">
        <v>0</v>
      </c>
      <c r="I384">
        <v>1</v>
      </c>
      <c r="J384" t="s">
        <v>462</v>
      </c>
      <c r="AN384">
        <v>-4.8</v>
      </c>
      <c r="AV384" t="s">
        <v>334</v>
      </c>
      <c r="AW384" t="s">
        <v>334</v>
      </c>
      <c r="BA384" t="s">
        <v>264</v>
      </c>
      <c r="BB384" t="s">
        <v>463</v>
      </c>
      <c r="BC384">
        <v>1</v>
      </c>
      <c r="BD38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84" t="str">
        <f>IF(GetCurrentMonthAging3[[#This Row],[InsGroupPrimary]]="","YES","NO")</f>
        <v>YES</v>
      </c>
      <c r="BF38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-4.8</v>
      </c>
    </row>
    <row r="385" spans="1:58" x14ac:dyDescent="0.25">
      <c r="A385" t="s">
        <v>103</v>
      </c>
      <c r="B385">
        <v>6</v>
      </c>
      <c r="C385" t="s">
        <v>331</v>
      </c>
      <c r="D385" s="142">
        <v>45199</v>
      </c>
      <c r="E385">
        <v>39510</v>
      </c>
      <c r="H385" t="b">
        <v>0</v>
      </c>
      <c r="I385">
        <v>1</v>
      </c>
      <c r="J385" t="s">
        <v>462</v>
      </c>
      <c r="AN385">
        <v>-125</v>
      </c>
      <c r="AV385" t="s">
        <v>334</v>
      </c>
      <c r="AW385" t="s">
        <v>334</v>
      </c>
      <c r="BA385" t="s">
        <v>233</v>
      </c>
      <c r="BB385" t="s">
        <v>463</v>
      </c>
      <c r="BC385">
        <v>1</v>
      </c>
      <c r="BD38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85" t="str">
        <f>IF(GetCurrentMonthAging3[[#This Row],[InsGroupPrimary]]="","YES","NO")</f>
        <v>YES</v>
      </c>
      <c r="BF38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-125</v>
      </c>
    </row>
    <row r="386" spans="1:58" x14ac:dyDescent="0.25">
      <c r="A386" t="s">
        <v>103</v>
      </c>
      <c r="B386">
        <v>6</v>
      </c>
      <c r="C386" t="s">
        <v>331</v>
      </c>
      <c r="D386" s="142">
        <v>45199</v>
      </c>
      <c r="E386">
        <v>38493</v>
      </c>
      <c r="H386" t="b">
        <v>0</v>
      </c>
      <c r="I386">
        <v>1</v>
      </c>
      <c r="J386" t="s">
        <v>462</v>
      </c>
      <c r="AN386">
        <v>-20</v>
      </c>
      <c r="AV386" t="s">
        <v>334</v>
      </c>
      <c r="AW386" t="s">
        <v>334</v>
      </c>
      <c r="BA386" t="s">
        <v>264</v>
      </c>
      <c r="BB386" t="s">
        <v>463</v>
      </c>
      <c r="BC386">
        <v>1</v>
      </c>
      <c r="BD38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86" t="str">
        <f>IF(GetCurrentMonthAging3[[#This Row],[InsGroupPrimary]]="","YES","NO")</f>
        <v>YES</v>
      </c>
      <c r="BF38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387" spans="1:58" x14ac:dyDescent="0.25">
      <c r="A387" t="s">
        <v>103</v>
      </c>
      <c r="B387">
        <v>6</v>
      </c>
      <c r="C387" t="s">
        <v>331</v>
      </c>
      <c r="D387" s="142">
        <v>45199</v>
      </c>
      <c r="E387">
        <v>193950</v>
      </c>
      <c r="H387" t="b">
        <v>0</v>
      </c>
      <c r="I387">
        <v>1</v>
      </c>
      <c r="J387" t="s">
        <v>462</v>
      </c>
      <c r="AN387">
        <v>-25</v>
      </c>
      <c r="AV387" t="s">
        <v>334</v>
      </c>
      <c r="AW387" t="s">
        <v>334</v>
      </c>
      <c r="BA387" t="s">
        <v>233</v>
      </c>
      <c r="BB387" t="s">
        <v>463</v>
      </c>
      <c r="BC387">
        <v>1</v>
      </c>
      <c r="BD38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87" t="str">
        <f>IF(GetCurrentMonthAging3[[#This Row],[InsGroupPrimary]]="","YES","NO")</f>
        <v>YES</v>
      </c>
      <c r="BF38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v>
      </c>
    </row>
    <row r="388" spans="1:58" x14ac:dyDescent="0.25">
      <c r="A388" t="s">
        <v>103</v>
      </c>
      <c r="B388">
        <v>6</v>
      </c>
      <c r="C388" t="s">
        <v>331</v>
      </c>
      <c r="D388" s="142">
        <v>45199</v>
      </c>
      <c r="E388">
        <v>232493</v>
      </c>
      <c r="H388" t="b">
        <v>0</v>
      </c>
      <c r="I388">
        <v>1</v>
      </c>
      <c r="J388" t="s">
        <v>462</v>
      </c>
      <c r="AN388">
        <v>-30</v>
      </c>
      <c r="AV388" t="s">
        <v>334</v>
      </c>
      <c r="AW388" t="s">
        <v>334</v>
      </c>
      <c r="BA388" t="s">
        <v>264</v>
      </c>
      <c r="BB388" t="s">
        <v>463</v>
      </c>
      <c r="BC388">
        <v>1</v>
      </c>
      <c r="BD38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88" t="str">
        <f>IF(GetCurrentMonthAging3[[#This Row],[InsGroupPrimary]]="","YES","NO")</f>
        <v>YES</v>
      </c>
      <c r="BF38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-30</v>
      </c>
    </row>
    <row r="389" spans="1:58" x14ac:dyDescent="0.25">
      <c r="A389" t="s">
        <v>103</v>
      </c>
      <c r="B389">
        <v>6</v>
      </c>
      <c r="C389" t="s">
        <v>331</v>
      </c>
      <c r="D389" s="142">
        <v>45199</v>
      </c>
      <c r="E389">
        <v>39246</v>
      </c>
      <c r="H389" t="b">
        <v>0</v>
      </c>
      <c r="I389">
        <v>1</v>
      </c>
      <c r="J389" t="s">
        <v>462</v>
      </c>
      <c r="AN389">
        <v>-40</v>
      </c>
      <c r="AV389" t="s">
        <v>334</v>
      </c>
      <c r="AW389" t="s">
        <v>334</v>
      </c>
      <c r="BA389" t="s">
        <v>233</v>
      </c>
      <c r="BB389" t="s">
        <v>463</v>
      </c>
      <c r="BC389">
        <v>1</v>
      </c>
      <c r="BD38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89" t="str">
        <f>IF(GetCurrentMonthAging3[[#This Row],[InsGroupPrimary]]="","YES","NO")</f>
        <v>YES</v>
      </c>
      <c r="BF38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390" spans="1:58" x14ac:dyDescent="0.25">
      <c r="A390" t="s">
        <v>103</v>
      </c>
      <c r="B390">
        <v>6</v>
      </c>
      <c r="C390" t="s">
        <v>331</v>
      </c>
      <c r="D390" s="142">
        <v>45199</v>
      </c>
      <c r="E390">
        <v>93407</v>
      </c>
      <c r="H390" t="b">
        <v>0</v>
      </c>
      <c r="I390">
        <v>1</v>
      </c>
      <c r="J390" t="s">
        <v>462</v>
      </c>
      <c r="AN390">
        <v>-24</v>
      </c>
      <c r="AV390" t="s">
        <v>334</v>
      </c>
      <c r="AW390" t="s">
        <v>334</v>
      </c>
      <c r="BA390" t="s">
        <v>233</v>
      </c>
      <c r="BB390" t="s">
        <v>463</v>
      </c>
      <c r="BC390">
        <v>1</v>
      </c>
      <c r="BD39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90" t="str">
        <f>IF(GetCurrentMonthAging3[[#This Row],[InsGroupPrimary]]="","YES","NO")</f>
        <v>YES</v>
      </c>
      <c r="BF39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-24</v>
      </c>
    </row>
    <row r="391" spans="1:58" x14ac:dyDescent="0.25">
      <c r="A391" t="s">
        <v>103</v>
      </c>
      <c r="B391">
        <v>6</v>
      </c>
      <c r="C391" t="s">
        <v>331</v>
      </c>
      <c r="D391" s="142">
        <v>45199</v>
      </c>
      <c r="E391">
        <v>40692</v>
      </c>
      <c r="H391" t="b">
        <v>0</v>
      </c>
      <c r="I391">
        <v>1</v>
      </c>
      <c r="J391" t="s">
        <v>462</v>
      </c>
      <c r="AN391">
        <v>-255</v>
      </c>
      <c r="AV391" t="s">
        <v>334</v>
      </c>
      <c r="AW391" t="s">
        <v>334</v>
      </c>
      <c r="BA391" t="s">
        <v>264</v>
      </c>
      <c r="BB391" t="s">
        <v>463</v>
      </c>
      <c r="BC391">
        <v>1</v>
      </c>
      <c r="BD39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91" t="str">
        <f>IF(GetCurrentMonthAging3[[#This Row],[InsGroupPrimary]]="","YES","NO")</f>
        <v>YES</v>
      </c>
      <c r="BF39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-255</v>
      </c>
    </row>
    <row r="392" spans="1:58" x14ac:dyDescent="0.25">
      <c r="A392" t="s">
        <v>103</v>
      </c>
      <c r="B392">
        <v>6</v>
      </c>
      <c r="C392" t="s">
        <v>331</v>
      </c>
      <c r="D392" s="142">
        <v>45199</v>
      </c>
      <c r="E392">
        <v>87104</v>
      </c>
      <c r="H392" t="b">
        <v>0</v>
      </c>
      <c r="I392">
        <v>1</v>
      </c>
      <c r="J392" t="s">
        <v>462</v>
      </c>
      <c r="AN392">
        <v>-7.5</v>
      </c>
      <c r="AV392" t="s">
        <v>334</v>
      </c>
      <c r="AW392" t="s">
        <v>334</v>
      </c>
      <c r="BA392" t="s">
        <v>233</v>
      </c>
      <c r="BB392" t="s">
        <v>463</v>
      </c>
      <c r="BC392">
        <v>1</v>
      </c>
      <c r="BD39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92" t="str">
        <f>IF(GetCurrentMonthAging3[[#This Row],[InsGroupPrimary]]="","YES","NO")</f>
        <v>YES</v>
      </c>
      <c r="BF39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-7.5</v>
      </c>
    </row>
    <row r="393" spans="1:58" x14ac:dyDescent="0.25">
      <c r="A393" t="s">
        <v>100</v>
      </c>
      <c r="B393">
        <v>6</v>
      </c>
      <c r="C393" t="s">
        <v>331</v>
      </c>
      <c r="D393" s="142">
        <v>45199</v>
      </c>
      <c r="E393">
        <v>31583</v>
      </c>
      <c r="F393">
        <v>367209</v>
      </c>
      <c r="G393">
        <v>2366744</v>
      </c>
      <c r="H393" t="b">
        <v>0</v>
      </c>
      <c r="I393">
        <v>3657</v>
      </c>
      <c r="J393" t="s">
        <v>454</v>
      </c>
      <c r="K393">
        <v>5</v>
      </c>
      <c r="L393">
        <v>5</v>
      </c>
      <c r="M393">
        <v>1</v>
      </c>
      <c r="N393">
        <v>5</v>
      </c>
      <c r="O393">
        <v>0</v>
      </c>
      <c r="P393">
        <v>0</v>
      </c>
      <c r="Q393">
        <v>5</v>
      </c>
      <c r="R393">
        <v>0</v>
      </c>
      <c r="T393">
        <v>0</v>
      </c>
      <c r="U393">
        <v>0</v>
      </c>
      <c r="V393">
        <v>0</v>
      </c>
      <c r="W393">
        <v>0</v>
      </c>
      <c r="X393">
        <v>0</v>
      </c>
      <c r="Y393">
        <v>0</v>
      </c>
      <c r="Z393">
        <v>0</v>
      </c>
      <c r="AA393">
        <v>0</v>
      </c>
      <c r="AB393">
        <v>0</v>
      </c>
      <c r="AC393">
        <v>0</v>
      </c>
      <c r="AD393">
        <v>0</v>
      </c>
      <c r="AE393">
        <v>0</v>
      </c>
      <c r="AF393">
        <v>0</v>
      </c>
      <c r="AG393">
        <v>0</v>
      </c>
      <c r="AH393">
        <v>0</v>
      </c>
      <c r="AI393">
        <v>0</v>
      </c>
      <c r="AJ393">
        <v>0</v>
      </c>
      <c r="AK393">
        <v>0</v>
      </c>
      <c r="AL393">
        <v>0</v>
      </c>
      <c r="AM393">
        <v>0</v>
      </c>
      <c r="AN393">
        <v>-5</v>
      </c>
      <c r="AV393" t="s">
        <v>334</v>
      </c>
      <c r="AW393" t="s">
        <v>334</v>
      </c>
      <c r="AX393">
        <v>0</v>
      </c>
      <c r="AY393">
        <v>5</v>
      </c>
      <c r="AZ393" t="s">
        <v>264</v>
      </c>
      <c r="BA393" t="s">
        <v>264</v>
      </c>
      <c r="BB393" t="s">
        <v>411</v>
      </c>
      <c r="BC393">
        <v>8</v>
      </c>
      <c r="BD39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93" t="str">
        <f>IF(GetCurrentMonthAging3[[#This Row],[InsGroupPrimary]]="","YES","NO")</f>
        <v>YES</v>
      </c>
      <c r="BF39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v>
      </c>
    </row>
    <row r="394" spans="1:58" x14ac:dyDescent="0.25">
      <c r="A394" t="s">
        <v>103</v>
      </c>
      <c r="B394">
        <v>6</v>
      </c>
      <c r="C394" t="s">
        <v>331</v>
      </c>
      <c r="D394" s="142">
        <v>45199</v>
      </c>
      <c r="E394">
        <v>39033</v>
      </c>
      <c r="H394" t="b">
        <v>0</v>
      </c>
      <c r="I394">
        <v>1</v>
      </c>
      <c r="J394" t="s">
        <v>462</v>
      </c>
      <c r="AN394">
        <v>-200</v>
      </c>
      <c r="AV394" t="s">
        <v>334</v>
      </c>
      <c r="AW394" t="s">
        <v>334</v>
      </c>
      <c r="BA394" t="s">
        <v>264</v>
      </c>
      <c r="BB394" t="s">
        <v>463</v>
      </c>
      <c r="BC394">
        <v>1</v>
      </c>
      <c r="BD39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94" t="str">
        <f>IF(GetCurrentMonthAging3[[#This Row],[InsGroupPrimary]]="","YES","NO")</f>
        <v>YES</v>
      </c>
      <c r="BF39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-200</v>
      </c>
    </row>
    <row r="395" spans="1:58" x14ac:dyDescent="0.25">
      <c r="A395" t="s">
        <v>103</v>
      </c>
      <c r="B395">
        <v>6</v>
      </c>
      <c r="C395" t="s">
        <v>331</v>
      </c>
      <c r="D395" s="142">
        <v>45199</v>
      </c>
      <c r="E395">
        <v>63922</v>
      </c>
      <c r="H395" t="b">
        <v>0</v>
      </c>
      <c r="I395">
        <v>1</v>
      </c>
      <c r="J395" t="s">
        <v>462</v>
      </c>
      <c r="AN395">
        <v>-48</v>
      </c>
      <c r="AV395" t="s">
        <v>334</v>
      </c>
      <c r="AW395" t="s">
        <v>334</v>
      </c>
      <c r="BA395" t="s">
        <v>233</v>
      </c>
      <c r="BB395" t="s">
        <v>463</v>
      </c>
      <c r="BC395">
        <v>1</v>
      </c>
      <c r="BD39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95" t="str">
        <f>IF(GetCurrentMonthAging3[[#This Row],[InsGroupPrimary]]="","YES","NO")</f>
        <v>YES</v>
      </c>
      <c r="BF39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-48</v>
      </c>
    </row>
    <row r="396" spans="1:58" x14ac:dyDescent="0.25">
      <c r="A396" t="s">
        <v>103</v>
      </c>
      <c r="B396">
        <v>6</v>
      </c>
      <c r="C396" t="s">
        <v>331</v>
      </c>
      <c r="D396" s="142">
        <v>45199</v>
      </c>
      <c r="E396">
        <v>61466</v>
      </c>
      <c r="H396" t="b">
        <v>0</v>
      </c>
      <c r="I396">
        <v>1</v>
      </c>
      <c r="J396" t="s">
        <v>462</v>
      </c>
      <c r="AN396">
        <v>-15</v>
      </c>
      <c r="AV396" t="s">
        <v>334</v>
      </c>
      <c r="AW396" t="s">
        <v>334</v>
      </c>
      <c r="BA396" t="s">
        <v>264</v>
      </c>
      <c r="BB396" t="s">
        <v>463</v>
      </c>
      <c r="BC396">
        <v>1</v>
      </c>
      <c r="BD39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96" t="str">
        <f>IF(GetCurrentMonthAging3[[#This Row],[InsGroupPrimary]]="","YES","NO")</f>
        <v>YES</v>
      </c>
      <c r="BF39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v>
      </c>
    </row>
    <row r="397" spans="1:58" x14ac:dyDescent="0.25">
      <c r="A397" t="s">
        <v>103</v>
      </c>
      <c r="B397">
        <v>6</v>
      </c>
      <c r="C397" t="s">
        <v>331</v>
      </c>
      <c r="D397" s="142">
        <v>45199</v>
      </c>
      <c r="E397">
        <v>93073</v>
      </c>
      <c r="H397" t="b">
        <v>0</v>
      </c>
      <c r="I397">
        <v>1</v>
      </c>
      <c r="J397" t="s">
        <v>462</v>
      </c>
      <c r="AN397">
        <v>-20</v>
      </c>
      <c r="AV397" t="s">
        <v>334</v>
      </c>
      <c r="AW397" t="s">
        <v>334</v>
      </c>
      <c r="BA397" t="s">
        <v>264</v>
      </c>
      <c r="BB397" t="s">
        <v>463</v>
      </c>
      <c r="BC397">
        <v>1</v>
      </c>
      <c r="BD39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97" t="str">
        <f>IF(GetCurrentMonthAging3[[#This Row],[InsGroupPrimary]]="","YES","NO")</f>
        <v>YES</v>
      </c>
      <c r="BF39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398" spans="1:58" x14ac:dyDescent="0.25">
      <c r="A398" t="s">
        <v>103</v>
      </c>
      <c r="B398">
        <v>6</v>
      </c>
      <c r="C398" t="s">
        <v>331</v>
      </c>
      <c r="D398" s="142">
        <v>45199</v>
      </c>
      <c r="E398">
        <v>194645</v>
      </c>
      <c r="H398" t="b">
        <v>0</v>
      </c>
      <c r="I398">
        <v>1</v>
      </c>
      <c r="J398" t="s">
        <v>462</v>
      </c>
      <c r="AN398">
        <v>-228.47</v>
      </c>
      <c r="AV398" t="s">
        <v>334</v>
      </c>
      <c r="AW398" t="s">
        <v>334</v>
      </c>
      <c r="BA398" t="s">
        <v>264</v>
      </c>
      <c r="BB398" t="s">
        <v>463</v>
      </c>
      <c r="BC398">
        <v>1</v>
      </c>
      <c r="BD39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98" t="str">
        <f>IF(GetCurrentMonthAging3[[#This Row],[InsGroupPrimary]]="","YES","NO")</f>
        <v>YES</v>
      </c>
      <c r="BF39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-228.47</v>
      </c>
    </row>
    <row r="399" spans="1:58" x14ac:dyDescent="0.25">
      <c r="A399" t="s">
        <v>103</v>
      </c>
      <c r="B399">
        <v>6</v>
      </c>
      <c r="C399" t="s">
        <v>331</v>
      </c>
      <c r="D399" s="142">
        <v>45199</v>
      </c>
      <c r="E399">
        <v>145805</v>
      </c>
      <c r="H399" t="b">
        <v>0</v>
      </c>
      <c r="I399">
        <v>1</v>
      </c>
      <c r="J399" t="s">
        <v>462</v>
      </c>
      <c r="AN399">
        <v>-60</v>
      </c>
      <c r="AV399" t="s">
        <v>334</v>
      </c>
      <c r="AW399" t="s">
        <v>334</v>
      </c>
      <c r="BA399" t="s">
        <v>233</v>
      </c>
      <c r="BB399" t="s">
        <v>463</v>
      </c>
      <c r="BC399">
        <v>1</v>
      </c>
      <c r="BD39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399" t="str">
        <f>IF(GetCurrentMonthAging3[[#This Row],[InsGroupPrimary]]="","YES","NO")</f>
        <v>YES</v>
      </c>
      <c r="BF39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400" spans="1:58" x14ac:dyDescent="0.25">
      <c r="A400" t="s">
        <v>103</v>
      </c>
      <c r="B400">
        <v>6</v>
      </c>
      <c r="C400" t="s">
        <v>331</v>
      </c>
      <c r="D400" s="142">
        <v>45199</v>
      </c>
      <c r="E400">
        <v>233204</v>
      </c>
      <c r="H400" t="b">
        <v>0</v>
      </c>
      <c r="I400">
        <v>1</v>
      </c>
      <c r="J400" t="s">
        <v>462</v>
      </c>
      <c r="AN400">
        <v>-175</v>
      </c>
      <c r="AV400" t="s">
        <v>334</v>
      </c>
      <c r="AW400" t="s">
        <v>334</v>
      </c>
      <c r="BA400" t="s">
        <v>264</v>
      </c>
      <c r="BB400" t="s">
        <v>463</v>
      </c>
      <c r="BC400">
        <v>1</v>
      </c>
      <c r="BD40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00" t="str">
        <f>IF(GetCurrentMonthAging3[[#This Row],[InsGroupPrimary]]="","YES","NO")</f>
        <v>YES</v>
      </c>
      <c r="BF40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-175</v>
      </c>
    </row>
    <row r="401" spans="1:58" x14ac:dyDescent="0.25">
      <c r="A401" t="s">
        <v>103</v>
      </c>
      <c r="B401">
        <v>6</v>
      </c>
      <c r="C401" t="s">
        <v>331</v>
      </c>
      <c r="D401" s="142">
        <v>45199</v>
      </c>
      <c r="E401">
        <v>233499</v>
      </c>
      <c r="H401" t="b">
        <v>0</v>
      </c>
      <c r="I401">
        <v>1</v>
      </c>
      <c r="J401" t="s">
        <v>462</v>
      </c>
      <c r="AN401">
        <v>-60</v>
      </c>
      <c r="AV401" t="s">
        <v>334</v>
      </c>
      <c r="AW401" t="s">
        <v>334</v>
      </c>
      <c r="BA401" t="s">
        <v>233</v>
      </c>
      <c r="BB401" t="s">
        <v>463</v>
      </c>
      <c r="BC401">
        <v>1</v>
      </c>
      <c r="BD40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01" t="str">
        <f>IF(GetCurrentMonthAging3[[#This Row],[InsGroupPrimary]]="","YES","NO")</f>
        <v>YES</v>
      </c>
      <c r="BF40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402" spans="1:58" x14ac:dyDescent="0.25">
      <c r="A402" t="s">
        <v>103</v>
      </c>
      <c r="B402">
        <v>6</v>
      </c>
      <c r="C402" t="s">
        <v>331</v>
      </c>
      <c r="D402" s="142">
        <v>45199</v>
      </c>
      <c r="E402">
        <v>58045</v>
      </c>
      <c r="H402" t="b">
        <v>0</v>
      </c>
      <c r="I402">
        <v>1</v>
      </c>
      <c r="J402" t="s">
        <v>462</v>
      </c>
      <c r="AN402">
        <v>-60</v>
      </c>
      <c r="AV402" t="s">
        <v>334</v>
      </c>
      <c r="AW402" t="s">
        <v>334</v>
      </c>
      <c r="BA402" t="s">
        <v>233</v>
      </c>
      <c r="BB402" t="s">
        <v>463</v>
      </c>
      <c r="BC402">
        <v>1</v>
      </c>
      <c r="BD40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02" t="str">
        <f>IF(GetCurrentMonthAging3[[#This Row],[InsGroupPrimary]]="","YES","NO")</f>
        <v>YES</v>
      </c>
      <c r="BF40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403" spans="1:58" x14ac:dyDescent="0.25">
      <c r="A403" t="s">
        <v>103</v>
      </c>
      <c r="B403">
        <v>6</v>
      </c>
      <c r="C403" t="s">
        <v>331</v>
      </c>
      <c r="D403" s="142">
        <v>45199</v>
      </c>
      <c r="E403">
        <v>220556</v>
      </c>
      <c r="H403" t="b">
        <v>0</v>
      </c>
      <c r="I403">
        <v>1</v>
      </c>
      <c r="J403" t="s">
        <v>462</v>
      </c>
      <c r="AN403">
        <v>-100</v>
      </c>
      <c r="AV403" t="s">
        <v>334</v>
      </c>
      <c r="AW403" t="s">
        <v>334</v>
      </c>
      <c r="BA403" t="s">
        <v>264</v>
      </c>
      <c r="BB403" t="s">
        <v>463</v>
      </c>
      <c r="BC403">
        <v>1</v>
      </c>
      <c r="BD40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03" t="str">
        <f>IF(GetCurrentMonthAging3[[#This Row],[InsGroupPrimary]]="","YES","NO")</f>
        <v>YES</v>
      </c>
      <c r="BF40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-100</v>
      </c>
    </row>
    <row r="404" spans="1:58" x14ac:dyDescent="0.25">
      <c r="A404" t="s">
        <v>103</v>
      </c>
      <c r="B404">
        <v>6</v>
      </c>
      <c r="C404" t="s">
        <v>331</v>
      </c>
      <c r="D404" s="142">
        <v>45199</v>
      </c>
      <c r="E404">
        <v>248697</v>
      </c>
      <c r="H404" t="b">
        <v>0</v>
      </c>
      <c r="I404">
        <v>1</v>
      </c>
      <c r="J404" t="s">
        <v>462</v>
      </c>
      <c r="AN404">
        <v>-5</v>
      </c>
      <c r="AV404" t="s">
        <v>334</v>
      </c>
      <c r="AW404" t="s">
        <v>334</v>
      </c>
      <c r="BA404" t="s">
        <v>264</v>
      </c>
      <c r="BB404" t="s">
        <v>463</v>
      </c>
      <c r="BC404">
        <v>1</v>
      </c>
      <c r="BD40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04" t="str">
        <f>IF(GetCurrentMonthAging3[[#This Row],[InsGroupPrimary]]="","YES","NO")</f>
        <v>YES</v>
      </c>
      <c r="BF40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v>
      </c>
    </row>
    <row r="405" spans="1:58" x14ac:dyDescent="0.25">
      <c r="A405" t="s">
        <v>103</v>
      </c>
      <c r="B405">
        <v>6</v>
      </c>
      <c r="C405" t="s">
        <v>331</v>
      </c>
      <c r="D405" s="142">
        <v>45199</v>
      </c>
      <c r="E405">
        <v>151187</v>
      </c>
      <c r="H405" t="b">
        <v>0</v>
      </c>
      <c r="I405">
        <v>1</v>
      </c>
      <c r="J405" t="s">
        <v>462</v>
      </c>
      <c r="AN405">
        <v>-14.4</v>
      </c>
      <c r="AV405" t="s">
        <v>334</v>
      </c>
      <c r="AW405" t="s">
        <v>334</v>
      </c>
      <c r="BA405" t="s">
        <v>264</v>
      </c>
      <c r="BB405" t="s">
        <v>463</v>
      </c>
      <c r="BC405">
        <v>1</v>
      </c>
      <c r="BD40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05" t="str">
        <f>IF(GetCurrentMonthAging3[[#This Row],[InsGroupPrimary]]="","YES","NO")</f>
        <v>YES</v>
      </c>
      <c r="BF40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-14.4</v>
      </c>
    </row>
    <row r="406" spans="1:58" x14ac:dyDescent="0.25">
      <c r="A406" t="s">
        <v>103</v>
      </c>
      <c r="B406">
        <v>6</v>
      </c>
      <c r="C406" t="s">
        <v>331</v>
      </c>
      <c r="D406" s="142">
        <v>45199</v>
      </c>
      <c r="E406">
        <v>67839</v>
      </c>
      <c r="H406" t="b">
        <v>0</v>
      </c>
      <c r="I406">
        <v>1</v>
      </c>
      <c r="J406" t="s">
        <v>462</v>
      </c>
      <c r="AN406">
        <v>-60</v>
      </c>
      <c r="AV406" t="s">
        <v>334</v>
      </c>
      <c r="AW406" t="s">
        <v>334</v>
      </c>
      <c r="BA406" t="s">
        <v>264</v>
      </c>
      <c r="BB406" t="s">
        <v>463</v>
      </c>
      <c r="BC406">
        <v>1</v>
      </c>
      <c r="BD40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06" t="str">
        <f>IF(GetCurrentMonthAging3[[#This Row],[InsGroupPrimary]]="","YES","NO")</f>
        <v>YES</v>
      </c>
      <c r="BF40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407" spans="1:58" x14ac:dyDescent="0.25">
      <c r="A407" t="s">
        <v>103</v>
      </c>
      <c r="B407">
        <v>6</v>
      </c>
      <c r="C407" t="s">
        <v>331</v>
      </c>
      <c r="D407" s="142">
        <v>45199</v>
      </c>
      <c r="E407">
        <v>94497</v>
      </c>
      <c r="H407" t="b">
        <v>0</v>
      </c>
      <c r="I407">
        <v>1</v>
      </c>
      <c r="J407" t="s">
        <v>462</v>
      </c>
      <c r="AN407">
        <v>-84</v>
      </c>
      <c r="AV407" t="s">
        <v>334</v>
      </c>
      <c r="AW407" t="s">
        <v>334</v>
      </c>
      <c r="BA407" t="s">
        <v>233</v>
      </c>
      <c r="BB407" t="s">
        <v>463</v>
      </c>
      <c r="BC407">
        <v>1</v>
      </c>
      <c r="BD40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07" t="str">
        <f>IF(GetCurrentMonthAging3[[#This Row],[InsGroupPrimary]]="","YES","NO")</f>
        <v>YES</v>
      </c>
      <c r="BF40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-84</v>
      </c>
    </row>
    <row r="408" spans="1:58" x14ac:dyDescent="0.25">
      <c r="A408" t="s">
        <v>103</v>
      </c>
      <c r="B408">
        <v>6</v>
      </c>
      <c r="C408" t="s">
        <v>331</v>
      </c>
      <c r="D408" s="142">
        <v>45199</v>
      </c>
      <c r="E408">
        <v>187126</v>
      </c>
      <c r="H408" t="b">
        <v>0</v>
      </c>
      <c r="I408">
        <v>1</v>
      </c>
      <c r="J408" t="s">
        <v>462</v>
      </c>
      <c r="AN408">
        <v>-12.96</v>
      </c>
      <c r="AV408" t="s">
        <v>334</v>
      </c>
      <c r="AW408" t="s">
        <v>334</v>
      </c>
      <c r="BA408" t="s">
        <v>264</v>
      </c>
      <c r="BB408" t="s">
        <v>463</v>
      </c>
      <c r="BC408">
        <v>1</v>
      </c>
      <c r="BD40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08" t="str">
        <f>IF(GetCurrentMonthAging3[[#This Row],[InsGroupPrimary]]="","YES","NO")</f>
        <v>YES</v>
      </c>
      <c r="BF40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-12.96</v>
      </c>
    </row>
    <row r="409" spans="1:58" x14ac:dyDescent="0.25">
      <c r="A409" t="s">
        <v>103</v>
      </c>
      <c r="B409">
        <v>6</v>
      </c>
      <c r="C409" t="s">
        <v>331</v>
      </c>
      <c r="D409" s="142">
        <v>45199</v>
      </c>
      <c r="E409">
        <v>145045</v>
      </c>
      <c r="H409" t="b">
        <v>0</v>
      </c>
      <c r="I409">
        <v>1</v>
      </c>
      <c r="J409" t="s">
        <v>462</v>
      </c>
      <c r="AN409">
        <v>-12</v>
      </c>
      <c r="AV409" t="s">
        <v>334</v>
      </c>
      <c r="AW409" t="s">
        <v>334</v>
      </c>
      <c r="BA409" t="s">
        <v>233</v>
      </c>
      <c r="BB409" t="s">
        <v>463</v>
      </c>
      <c r="BC409">
        <v>1</v>
      </c>
      <c r="BD40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09" t="str">
        <f>IF(GetCurrentMonthAging3[[#This Row],[InsGroupPrimary]]="","YES","NO")</f>
        <v>YES</v>
      </c>
      <c r="BF40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-12</v>
      </c>
    </row>
    <row r="410" spans="1:58" x14ac:dyDescent="0.25">
      <c r="A410" t="s">
        <v>103</v>
      </c>
      <c r="B410">
        <v>6</v>
      </c>
      <c r="C410" t="s">
        <v>331</v>
      </c>
      <c r="D410" s="142">
        <v>45199</v>
      </c>
      <c r="E410">
        <v>109622</v>
      </c>
      <c r="H410" t="b">
        <v>0</v>
      </c>
      <c r="I410">
        <v>1</v>
      </c>
      <c r="J410" t="s">
        <v>462</v>
      </c>
      <c r="AN410">
        <v>-360</v>
      </c>
      <c r="AV410" t="s">
        <v>334</v>
      </c>
      <c r="AW410" t="s">
        <v>334</v>
      </c>
      <c r="BA410" t="s">
        <v>264</v>
      </c>
      <c r="BB410" t="s">
        <v>463</v>
      </c>
      <c r="BC410">
        <v>1</v>
      </c>
      <c r="BD41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10" t="str">
        <f>IF(GetCurrentMonthAging3[[#This Row],[InsGroupPrimary]]="","YES","NO")</f>
        <v>YES</v>
      </c>
      <c r="BF41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-360</v>
      </c>
    </row>
    <row r="411" spans="1:58" x14ac:dyDescent="0.25">
      <c r="A411" t="s">
        <v>103</v>
      </c>
      <c r="B411">
        <v>6</v>
      </c>
      <c r="C411" t="s">
        <v>331</v>
      </c>
      <c r="D411" s="142">
        <v>45199</v>
      </c>
      <c r="E411">
        <v>85186</v>
      </c>
      <c r="H411" t="b">
        <v>0</v>
      </c>
      <c r="I411">
        <v>1</v>
      </c>
      <c r="J411" t="s">
        <v>462</v>
      </c>
      <c r="AN411">
        <v>-40</v>
      </c>
      <c r="AV411" t="s">
        <v>334</v>
      </c>
      <c r="AW411" t="s">
        <v>334</v>
      </c>
      <c r="BA411" t="s">
        <v>264</v>
      </c>
      <c r="BB411" t="s">
        <v>463</v>
      </c>
      <c r="BC411">
        <v>1</v>
      </c>
      <c r="BD41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11" t="str">
        <f>IF(GetCurrentMonthAging3[[#This Row],[InsGroupPrimary]]="","YES","NO")</f>
        <v>YES</v>
      </c>
      <c r="BF41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412" spans="1:58" x14ac:dyDescent="0.25">
      <c r="A412" t="s">
        <v>103</v>
      </c>
      <c r="B412">
        <v>6</v>
      </c>
      <c r="C412" t="s">
        <v>331</v>
      </c>
      <c r="D412" s="142">
        <v>45199</v>
      </c>
      <c r="E412">
        <v>49835</v>
      </c>
      <c r="H412" t="b">
        <v>0</v>
      </c>
      <c r="I412">
        <v>1</v>
      </c>
      <c r="J412" t="s">
        <v>462</v>
      </c>
      <c r="AN412">
        <v>-35</v>
      </c>
      <c r="AV412" t="s">
        <v>334</v>
      </c>
      <c r="AW412" t="s">
        <v>334</v>
      </c>
      <c r="BA412" t="s">
        <v>264</v>
      </c>
      <c r="BB412" t="s">
        <v>463</v>
      </c>
      <c r="BC412">
        <v>1</v>
      </c>
      <c r="BD41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12" t="str">
        <f>IF(GetCurrentMonthAging3[[#This Row],[InsGroupPrimary]]="","YES","NO")</f>
        <v>YES</v>
      </c>
      <c r="BF41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-35</v>
      </c>
    </row>
    <row r="413" spans="1:58" x14ac:dyDescent="0.25">
      <c r="A413" t="s">
        <v>100</v>
      </c>
      <c r="B413">
        <v>6</v>
      </c>
      <c r="C413" t="s">
        <v>331</v>
      </c>
      <c r="D413" s="142">
        <v>45199</v>
      </c>
      <c r="E413">
        <v>64159</v>
      </c>
      <c r="F413">
        <v>766328</v>
      </c>
      <c r="G413">
        <v>4164365</v>
      </c>
      <c r="H413" t="b">
        <v>0</v>
      </c>
      <c r="I413">
        <v>3151</v>
      </c>
      <c r="J413" t="s">
        <v>466</v>
      </c>
      <c r="K413">
        <v>20</v>
      </c>
      <c r="L413">
        <v>20</v>
      </c>
      <c r="M413">
        <v>1</v>
      </c>
      <c r="N413">
        <v>20</v>
      </c>
      <c r="O413">
        <v>0</v>
      </c>
      <c r="P413">
        <v>0</v>
      </c>
      <c r="Q413">
        <v>20</v>
      </c>
      <c r="R413">
        <v>0</v>
      </c>
      <c r="T413">
        <v>0</v>
      </c>
      <c r="U413">
        <v>0</v>
      </c>
      <c r="V413">
        <v>0</v>
      </c>
      <c r="W413">
        <v>0</v>
      </c>
      <c r="X413">
        <v>0</v>
      </c>
      <c r="Y413">
        <v>0</v>
      </c>
      <c r="Z413">
        <v>0</v>
      </c>
      <c r="AA413">
        <v>0</v>
      </c>
      <c r="AB413">
        <v>0</v>
      </c>
      <c r="AC413">
        <v>0</v>
      </c>
      <c r="AD413">
        <v>0</v>
      </c>
      <c r="AE413">
        <v>0</v>
      </c>
      <c r="AF413">
        <v>0</v>
      </c>
      <c r="AG413">
        <v>0</v>
      </c>
      <c r="AH413">
        <v>0</v>
      </c>
      <c r="AI413">
        <v>0</v>
      </c>
      <c r="AJ413">
        <v>0</v>
      </c>
      <c r="AK413">
        <v>0</v>
      </c>
      <c r="AL413">
        <v>0</v>
      </c>
      <c r="AM413">
        <v>0</v>
      </c>
      <c r="AN413">
        <v>-20</v>
      </c>
      <c r="AV413" t="s">
        <v>334</v>
      </c>
      <c r="AW413" t="s">
        <v>334</v>
      </c>
      <c r="AX413">
        <v>0</v>
      </c>
      <c r="AY413">
        <v>20</v>
      </c>
      <c r="AZ413" t="s">
        <v>264</v>
      </c>
      <c r="BA413" t="s">
        <v>264</v>
      </c>
      <c r="BB413" t="s">
        <v>411</v>
      </c>
      <c r="BC413">
        <v>8</v>
      </c>
      <c r="BD41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13" t="str">
        <f>IF(GetCurrentMonthAging3[[#This Row],[InsGroupPrimary]]="","YES","NO")</f>
        <v>YES</v>
      </c>
      <c r="BF41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414" spans="1:58" x14ac:dyDescent="0.25">
      <c r="A414" t="s">
        <v>103</v>
      </c>
      <c r="B414">
        <v>6</v>
      </c>
      <c r="C414" t="s">
        <v>331</v>
      </c>
      <c r="D414" s="142">
        <v>45199</v>
      </c>
      <c r="E414">
        <v>50600</v>
      </c>
      <c r="H414" t="b">
        <v>0</v>
      </c>
      <c r="I414">
        <v>1</v>
      </c>
      <c r="J414" t="s">
        <v>462</v>
      </c>
      <c r="AN414">
        <v>-40</v>
      </c>
      <c r="AV414" t="s">
        <v>334</v>
      </c>
      <c r="AW414" t="s">
        <v>334</v>
      </c>
      <c r="BA414" t="s">
        <v>233</v>
      </c>
      <c r="BB414" t="s">
        <v>463</v>
      </c>
      <c r="BC414">
        <v>1</v>
      </c>
      <c r="BD41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14" t="str">
        <f>IF(GetCurrentMonthAging3[[#This Row],[InsGroupPrimary]]="","YES","NO")</f>
        <v>YES</v>
      </c>
      <c r="BF41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415" spans="1:58" x14ac:dyDescent="0.25">
      <c r="A415" t="s">
        <v>103</v>
      </c>
      <c r="B415">
        <v>6</v>
      </c>
      <c r="C415" t="s">
        <v>331</v>
      </c>
      <c r="D415" s="142">
        <v>45199</v>
      </c>
      <c r="E415">
        <v>236525</v>
      </c>
      <c r="H415" t="b">
        <v>0</v>
      </c>
      <c r="I415">
        <v>1</v>
      </c>
      <c r="J415" t="s">
        <v>462</v>
      </c>
      <c r="AN415">
        <v>-70.08</v>
      </c>
      <c r="AV415" t="s">
        <v>334</v>
      </c>
      <c r="AW415" t="s">
        <v>334</v>
      </c>
      <c r="BA415" t="s">
        <v>233</v>
      </c>
      <c r="BB415" t="s">
        <v>463</v>
      </c>
      <c r="BC415">
        <v>1</v>
      </c>
      <c r="BD41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15" t="str">
        <f>IF(GetCurrentMonthAging3[[#This Row],[InsGroupPrimary]]="","YES","NO")</f>
        <v>YES</v>
      </c>
      <c r="BF41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-70.08</v>
      </c>
    </row>
    <row r="416" spans="1:58" x14ac:dyDescent="0.25">
      <c r="A416" t="s">
        <v>103</v>
      </c>
      <c r="B416">
        <v>6</v>
      </c>
      <c r="C416" t="s">
        <v>331</v>
      </c>
      <c r="D416" s="142">
        <v>45199</v>
      </c>
      <c r="E416">
        <v>107082</v>
      </c>
      <c r="H416" t="b">
        <v>0</v>
      </c>
      <c r="I416">
        <v>1</v>
      </c>
      <c r="J416" t="s">
        <v>462</v>
      </c>
      <c r="AN416">
        <v>-25</v>
      </c>
      <c r="AV416" t="s">
        <v>334</v>
      </c>
      <c r="AW416" t="s">
        <v>334</v>
      </c>
      <c r="BA416" t="s">
        <v>233</v>
      </c>
      <c r="BB416" t="s">
        <v>463</v>
      </c>
      <c r="BC416">
        <v>1</v>
      </c>
      <c r="BD41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16" t="str">
        <f>IF(GetCurrentMonthAging3[[#This Row],[InsGroupPrimary]]="","YES","NO")</f>
        <v>YES</v>
      </c>
      <c r="BF41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v>
      </c>
    </row>
    <row r="417" spans="1:58" x14ac:dyDescent="0.25">
      <c r="A417" t="s">
        <v>103</v>
      </c>
      <c r="B417">
        <v>6</v>
      </c>
      <c r="C417" t="s">
        <v>331</v>
      </c>
      <c r="D417" s="142">
        <v>45199</v>
      </c>
      <c r="E417">
        <v>154556</v>
      </c>
      <c r="H417" t="b">
        <v>0</v>
      </c>
      <c r="I417">
        <v>1</v>
      </c>
      <c r="J417" t="s">
        <v>462</v>
      </c>
      <c r="AN417">
        <v>-18.5</v>
      </c>
      <c r="AV417" t="s">
        <v>334</v>
      </c>
      <c r="AW417" t="s">
        <v>334</v>
      </c>
      <c r="BA417" t="s">
        <v>233</v>
      </c>
      <c r="BB417" t="s">
        <v>463</v>
      </c>
      <c r="BC417">
        <v>1</v>
      </c>
      <c r="BD41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17" t="str">
        <f>IF(GetCurrentMonthAging3[[#This Row],[InsGroupPrimary]]="","YES","NO")</f>
        <v>YES</v>
      </c>
      <c r="BF41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-18.5</v>
      </c>
    </row>
    <row r="418" spans="1:58" x14ac:dyDescent="0.25">
      <c r="A418" t="s">
        <v>103</v>
      </c>
      <c r="B418">
        <v>6</v>
      </c>
      <c r="C418" t="s">
        <v>331</v>
      </c>
      <c r="D418" s="142">
        <v>45199</v>
      </c>
      <c r="E418">
        <v>99922</v>
      </c>
      <c r="H418" t="b">
        <v>0</v>
      </c>
      <c r="I418">
        <v>1</v>
      </c>
      <c r="J418" t="s">
        <v>462</v>
      </c>
      <c r="AN418">
        <v>-222.13</v>
      </c>
      <c r="AV418" t="s">
        <v>334</v>
      </c>
      <c r="AW418" t="s">
        <v>334</v>
      </c>
      <c r="BA418" t="s">
        <v>264</v>
      </c>
      <c r="BB418" t="s">
        <v>463</v>
      </c>
      <c r="BC418">
        <v>1</v>
      </c>
      <c r="BD41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18" t="str">
        <f>IF(GetCurrentMonthAging3[[#This Row],[InsGroupPrimary]]="","YES","NO")</f>
        <v>YES</v>
      </c>
      <c r="BF41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-222.13</v>
      </c>
    </row>
    <row r="419" spans="1:58" x14ac:dyDescent="0.25">
      <c r="A419" t="s">
        <v>103</v>
      </c>
      <c r="B419">
        <v>6</v>
      </c>
      <c r="C419" t="s">
        <v>331</v>
      </c>
      <c r="D419" s="142">
        <v>45199</v>
      </c>
      <c r="E419">
        <v>66249</v>
      </c>
      <c r="H419" t="b">
        <v>0</v>
      </c>
      <c r="I419">
        <v>1</v>
      </c>
      <c r="J419" t="s">
        <v>462</v>
      </c>
      <c r="AN419">
        <v>-100</v>
      </c>
      <c r="AV419" t="s">
        <v>334</v>
      </c>
      <c r="AW419" t="s">
        <v>334</v>
      </c>
      <c r="BA419" t="s">
        <v>233</v>
      </c>
      <c r="BB419" t="s">
        <v>463</v>
      </c>
      <c r="BC419">
        <v>1</v>
      </c>
      <c r="BD41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19" t="str">
        <f>IF(GetCurrentMonthAging3[[#This Row],[InsGroupPrimary]]="","YES","NO")</f>
        <v>YES</v>
      </c>
      <c r="BF41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-100</v>
      </c>
    </row>
    <row r="420" spans="1:58" x14ac:dyDescent="0.25">
      <c r="A420" t="s">
        <v>103</v>
      </c>
      <c r="B420">
        <v>6</v>
      </c>
      <c r="C420" t="s">
        <v>331</v>
      </c>
      <c r="D420" s="142">
        <v>45199</v>
      </c>
      <c r="E420">
        <v>239896</v>
      </c>
      <c r="H420" t="b">
        <v>0</v>
      </c>
      <c r="I420">
        <v>1</v>
      </c>
      <c r="J420" t="s">
        <v>462</v>
      </c>
      <c r="AN420">
        <v>-180</v>
      </c>
      <c r="AV420" t="s">
        <v>334</v>
      </c>
      <c r="AW420" t="s">
        <v>334</v>
      </c>
      <c r="BA420" t="s">
        <v>264</v>
      </c>
      <c r="BB420" t="s">
        <v>463</v>
      </c>
      <c r="BC420">
        <v>1</v>
      </c>
      <c r="BD42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20" t="str">
        <f>IF(GetCurrentMonthAging3[[#This Row],[InsGroupPrimary]]="","YES","NO")</f>
        <v>YES</v>
      </c>
      <c r="BF42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-180</v>
      </c>
    </row>
    <row r="421" spans="1:58" x14ac:dyDescent="0.25">
      <c r="A421" t="s">
        <v>103</v>
      </c>
      <c r="B421">
        <v>6</v>
      </c>
      <c r="C421" t="s">
        <v>331</v>
      </c>
      <c r="D421" s="142">
        <v>45199</v>
      </c>
      <c r="E421">
        <v>88037</v>
      </c>
      <c r="H421" t="b">
        <v>0</v>
      </c>
      <c r="I421">
        <v>1</v>
      </c>
      <c r="J421" t="s">
        <v>462</v>
      </c>
      <c r="AN421">
        <v>-3</v>
      </c>
      <c r="AV421" t="s">
        <v>334</v>
      </c>
      <c r="AW421" t="s">
        <v>334</v>
      </c>
      <c r="BA421" t="s">
        <v>264</v>
      </c>
      <c r="BB421" t="s">
        <v>463</v>
      </c>
      <c r="BC421">
        <v>1</v>
      </c>
      <c r="BD42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21" t="str">
        <f>IF(GetCurrentMonthAging3[[#This Row],[InsGroupPrimary]]="","YES","NO")</f>
        <v>YES</v>
      </c>
      <c r="BF42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v>
      </c>
    </row>
    <row r="422" spans="1:58" x14ac:dyDescent="0.25">
      <c r="A422" t="s">
        <v>103</v>
      </c>
      <c r="B422">
        <v>6</v>
      </c>
      <c r="C422" t="s">
        <v>331</v>
      </c>
      <c r="D422" s="142">
        <v>45199</v>
      </c>
      <c r="E422">
        <v>68009</v>
      </c>
      <c r="H422" t="b">
        <v>0</v>
      </c>
      <c r="I422">
        <v>1</v>
      </c>
      <c r="J422" t="s">
        <v>462</v>
      </c>
      <c r="AN422">
        <v>-50</v>
      </c>
      <c r="AV422" t="s">
        <v>334</v>
      </c>
      <c r="AW422" t="s">
        <v>334</v>
      </c>
      <c r="BA422" t="s">
        <v>264</v>
      </c>
      <c r="BB422" t="s">
        <v>463</v>
      </c>
      <c r="BC422">
        <v>1</v>
      </c>
      <c r="BD42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22" t="str">
        <f>IF(GetCurrentMonthAging3[[#This Row],[InsGroupPrimary]]="","YES","NO")</f>
        <v>YES</v>
      </c>
      <c r="BF42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-50</v>
      </c>
    </row>
    <row r="423" spans="1:58" x14ac:dyDescent="0.25">
      <c r="A423" t="s">
        <v>103</v>
      </c>
      <c r="B423">
        <v>6</v>
      </c>
      <c r="C423" t="s">
        <v>331</v>
      </c>
      <c r="D423" s="142">
        <v>45199</v>
      </c>
      <c r="E423">
        <v>50462</v>
      </c>
      <c r="H423" t="b">
        <v>0</v>
      </c>
      <c r="I423">
        <v>1</v>
      </c>
      <c r="J423" t="s">
        <v>462</v>
      </c>
      <c r="AN423">
        <v>-336.82</v>
      </c>
      <c r="AV423" t="s">
        <v>334</v>
      </c>
      <c r="AW423" t="s">
        <v>334</v>
      </c>
      <c r="BA423" t="s">
        <v>233</v>
      </c>
      <c r="BB423" t="s">
        <v>463</v>
      </c>
      <c r="BC423">
        <v>1</v>
      </c>
      <c r="BD42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23" t="str">
        <f>IF(GetCurrentMonthAging3[[#This Row],[InsGroupPrimary]]="","YES","NO")</f>
        <v>YES</v>
      </c>
      <c r="BF42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-336.82</v>
      </c>
    </row>
    <row r="424" spans="1:58" x14ac:dyDescent="0.25">
      <c r="A424" t="s">
        <v>100</v>
      </c>
      <c r="B424">
        <v>6</v>
      </c>
      <c r="C424" t="s">
        <v>331</v>
      </c>
      <c r="D424" s="142">
        <v>45199</v>
      </c>
      <c r="E424">
        <v>244833</v>
      </c>
      <c r="F424">
        <v>3659125</v>
      </c>
      <c r="G424">
        <v>16418339</v>
      </c>
      <c r="H424" t="b">
        <v>0</v>
      </c>
      <c r="I424">
        <v>1937</v>
      </c>
      <c r="J424" t="s">
        <v>467</v>
      </c>
      <c r="K424">
        <v>10</v>
      </c>
      <c r="L424">
        <v>10</v>
      </c>
      <c r="M424">
        <v>1</v>
      </c>
      <c r="N424">
        <v>10</v>
      </c>
      <c r="O424">
        <v>0</v>
      </c>
      <c r="P424">
        <v>0</v>
      </c>
      <c r="Q424">
        <v>20</v>
      </c>
      <c r="R424">
        <v>0</v>
      </c>
      <c r="T424">
        <v>0</v>
      </c>
      <c r="U424">
        <v>0</v>
      </c>
      <c r="V424">
        <v>0</v>
      </c>
      <c r="W424">
        <v>0</v>
      </c>
      <c r="X424">
        <v>0</v>
      </c>
      <c r="Y424">
        <v>0</v>
      </c>
      <c r="Z424">
        <v>0</v>
      </c>
      <c r="AA424">
        <v>0</v>
      </c>
      <c r="AB424">
        <v>0</v>
      </c>
      <c r="AC424">
        <v>0</v>
      </c>
      <c r="AD424">
        <v>0</v>
      </c>
      <c r="AE424">
        <v>0</v>
      </c>
      <c r="AF424">
        <v>0</v>
      </c>
      <c r="AG424">
        <v>0</v>
      </c>
      <c r="AH424">
        <v>0</v>
      </c>
      <c r="AI424">
        <v>0</v>
      </c>
      <c r="AJ424">
        <v>0</v>
      </c>
      <c r="AK424">
        <v>0</v>
      </c>
      <c r="AL424">
        <v>0</v>
      </c>
      <c r="AM424">
        <v>0</v>
      </c>
      <c r="AN424">
        <v>-10</v>
      </c>
      <c r="AV424" t="s">
        <v>334</v>
      </c>
      <c r="AW424" t="s">
        <v>334</v>
      </c>
      <c r="AX424">
        <v>0</v>
      </c>
      <c r="AY424">
        <v>0</v>
      </c>
      <c r="AZ424" t="s">
        <v>264</v>
      </c>
      <c r="BA424" t="s">
        <v>264</v>
      </c>
      <c r="BB424" t="s">
        <v>411</v>
      </c>
      <c r="BC424">
        <v>8</v>
      </c>
      <c r="BD42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24" t="str">
        <f>IF(GetCurrentMonthAging3[[#This Row],[InsGroupPrimary]]="","YES","NO")</f>
        <v>YES</v>
      </c>
      <c r="BF42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v>
      </c>
    </row>
    <row r="425" spans="1:58" x14ac:dyDescent="0.25">
      <c r="A425" t="s">
        <v>100</v>
      </c>
      <c r="B425">
        <v>6</v>
      </c>
      <c r="C425" t="s">
        <v>331</v>
      </c>
      <c r="D425" s="142">
        <v>45199</v>
      </c>
      <c r="E425">
        <v>56976</v>
      </c>
      <c r="F425">
        <v>782690</v>
      </c>
      <c r="G425">
        <v>4281020</v>
      </c>
      <c r="H425" t="b">
        <v>0</v>
      </c>
      <c r="I425">
        <v>3132</v>
      </c>
      <c r="J425" t="s">
        <v>416</v>
      </c>
      <c r="K425">
        <v>45</v>
      </c>
      <c r="L425">
        <v>45</v>
      </c>
      <c r="M425">
        <v>1</v>
      </c>
      <c r="N425">
        <v>0</v>
      </c>
      <c r="O425">
        <v>0</v>
      </c>
      <c r="P425">
        <v>0</v>
      </c>
      <c r="Q425">
        <v>0</v>
      </c>
      <c r="R425">
        <v>8.25</v>
      </c>
      <c r="T425">
        <v>45</v>
      </c>
      <c r="U425">
        <v>0</v>
      </c>
      <c r="V425">
        <v>1</v>
      </c>
      <c r="W425">
        <v>24.75</v>
      </c>
      <c r="X425">
        <v>12</v>
      </c>
      <c r="Y425">
        <v>0</v>
      </c>
      <c r="Z425">
        <v>0</v>
      </c>
      <c r="AA425">
        <v>0</v>
      </c>
      <c r="AB425">
        <v>0</v>
      </c>
      <c r="AC425">
        <v>0</v>
      </c>
      <c r="AD425">
        <v>0</v>
      </c>
      <c r="AE425">
        <v>0</v>
      </c>
      <c r="AF425">
        <v>0</v>
      </c>
      <c r="AG425">
        <v>0</v>
      </c>
      <c r="AH425">
        <v>0</v>
      </c>
      <c r="AI425">
        <v>0</v>
      </c>
      <c r="AJ425">
        <v>0</v>
      </c>
      <c r="AK425">
        <v>0</v>
      </c>
      <c r="AL425">
        <v>0</v>
      </c>
      <c r="AM425">
        <v>0</v>
      </c>
      <c r="AN425">
        <v>-8.25</v>
      </c>
      <c r="AP425" t="s">
        <v>333</v>
      </c>
      <c r="AS425" t="s">
        <v>455</v>
      </c>
      <c r="AV425" t="s">
        <v>334</v>
      </c>
      <c r="AW425" t="s">
        <v>334</v>
      </c>
      <c r="AX425">
        <v>0</v>
      </c>
      <c r="AY425">
        <v>0</v>
      </c>
      <c r="AZ425" t="s">
        <v>264</v>
      </c>
      <c r="BA425" t="s">
        <v>264</v>
      </c>
      <c r="BB425" t="s">
        <v>411</v>
      </c>
      <c r="BC425">
        <v>8</v>
      </c>
      <c r="BD42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25" t="str">
        <f>IF(GetCurrentMonthAging3[[#This Row],[InsGroupPrimary]]="","YES","NO")</f>
        <v>NO</v>
      </c>
      <c r="BF42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426" spans="1:58" x14ac:dyDescent="0.25">
      <c r="A426" t="s">
        <v>100</v>
      </c>
      <c r="B426">
        <v>6</v>
      </c>
      <c r="C426" t="s">
        <v>331</v>
      </c>
      <c r="D426" s="142">
        <v>45199</v>
      </c>
      <c r="E426">
        <v>17704</v>
      </c>
      <c r="F426">
        <v>205836</v>
      </c>
      <c r="G426">
        <v>1021072</v>
      </c>
      <c r="H426" t="b">
        <v>0</v>
      </c>
      <c r="I426">
        <v>4023</v>
      </c>
      <c r="J426" t="s">
        <v>412</v>
      </c>
      <c r="K426">
        <v>45</v>
      </c>
      <c r="L426">
        <v>45</v>
      </c>
      <c r="M426">
        <v>1</v>
      </c>
      <c r="N426">
        <v>0</v>
      </c>
      <c r="O426">
        <v>5</v>
      </c>
      <c r="P426">
        <v>16.579999999999998</v>
      </c>
      <c r="Q426">
        <v>4.21</v>
      </c>
      <c r="R426">
        <v>0</v>
      </c>
      <c r="T426">
        <v>45</v>
      </c>
      <c r="U426">
        <v>0</v>
      </c>
      <c r="V426">
        <v>1</v>
      </c>
      <c r="W426">
        <v>17.350000000000001</v>
      </c>
      <c r="X426">
        <v>22.65</v>
      </c>
      <c r="Y426">
        <v>0</v>
      </c>
      <c r="Z426">
        <v>0</v>
      </c>
      <c r="AA426">
        <v>0</v>
      </c>
      <c r="AB426">
        <v>0</v>
      </c>
      <c r="AC426">
        <v>0</v>
      </c>
      <c r="AD426">
        <v>0</v>
      </c>
      <c r="AE426">
        <v>0</v>
      </c>
      <c r="AF426">
        <v>0</v>
      </c>
      <c r="AG426">
        <v>0</v>
      </c>
      <c r="AH426">
        <v>0</v>
      </c>
      <c r="AI426">
        <v>0</v>
      </c>
      <c r="AJ426">
        <v>0</v>
      </c>
      <c r="AK426">
        <v>0</v>
      </c>
      <c r="AL426">
        <v>0</v>
      </c>
      <c r="AM426">
        <v>0</v>
      </c>
      <c r="AN426">
        <v>-15.79</v>
      </c>
      <c r="AP426" t="s">
        <v>260</v>
      </c>
      <c r="AS426" t="s">
        <v>459</v>
      </c>
      <c r="AV426" t="s">
        <v>334</v>
      </c>
      <c r="AW426" t="s">
        <v>334</v>
      </c>
      <c r="AX426">
        <v>0</v>
      </c>
      <c r="AY426">
        <v>0</v>
      </c>
      <c r="AZ426" t="s">
        <v>264</v>
      </c>
      <c r="BA426" t="s">
        <v>264</v>
      </c>
      <c r="BB426" t="s">
        <v>411</v>
      </c>
      <c r="BC426">
        <v>8</v>
      </c>
      <c r="BD42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-15.79</v>
      </c>
      <c r="BE426" t="str">
        <f>IF(GetCurrentMonthAging3[[#This Row],[InsGroupPrimary]]="","YES","NO")</f>
        <v>NO</v>
      </c>
      <c r="BF42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-15.79</v>
      </c>
    </row>
    <row r="427" spans="1:58" x14ac:dyDescent="0.25">
      <c r="A427" t="s">
        <v>103</v>
      </c>
      <c r="B427">
        <v>6</v>
      </c>
      <c r="C427" t="s">
        <v>331</v>
      </c>
      <c r="D427" s="142">
        <v>45199</v>
      </c>
      <c r="E427">
        <v>266784</v>
      </c>
      <c r="H427" t="b">
        <v>0</v>
      </c>
      <c r="I427">
        <v>1</v>
      </c>
      <c r="J427" t="s">
        <v>462</v>
      </c>
      <c r="AN427">
        <v>-20</v>
      </c>
      <c r="AV427" t="s">
        <v>334</v>
      </c>
      <c r="AW427" t="s">
        <v>334</v>
      </c>
      <c r="BA427" t="s">
        <v>233</v>
      </c>
      <c r="BB427" t="s">
        <v>463</v>
      </c>
      <c r="BC427">
        <v>1</v>
      </c>
      <c r="BD42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27" t="str">
        <f>IF(GetCurrentMonthAging3[[#This Row],[InsGroupPrimary]]="","YES","NO")</f>
        <v>YES</v>
      </c>
      <c r="BF42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428" spans="1:58" x14ac:dyDescent="0.25">
      <c r="A428" t="s">
        <v>103</v>
      </c>
      <c r="B428">
        <v>6</v>
      </c>
      <c r="C428" t="s">
        <v>331</v>
      </c>
      <c r="D428" s="142">
        <v>45199</v>
      </c>
      <c r="E428">
        <v>111121</v>
      </c>
      <c r="H428" t="b">
        <v>0</v>
      </c>
      <c r="I428">
        <v>1</v>
      </c>
      <c r="J428" t="s">
        <v>462</v>
      </c>
      <c r="AN428">
        <v>-48.11</v>
      </c>
      <c r="AV428" t="s">
        <v>334</v>
      </c>
      <c r="AW428" t="s">
        <v>334</v>
      </c>
      <c r="BA428" t="s">
        <v>233</v>
      </c>
      <c r="BB428" t="s">
        <v>463</v>
      </c>
      <c r="BC428">
        <v>1</v>
      </c>
      <c r="BD42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28" t="str">
        <f>IF(GetCurrentMonthAging3[[#This Row],[InsGroupPrimary]]="","YES","NO")</f>
        <v>YES</v>
      </c>
      <c r="BF42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-48.11</v>
      </c>
    </row>
    <row r="429" spans="1:58" x14ac:dyDescent="0.25">
      <c r="A429" t="s">
        <v>103</v>
      </c>
      <c r="B429">
        <v>6</v>
      </c>
      <c r="C429" t="s">
        <v>331</v>
      </c>
      <c r="D429" s="142">
        <v>45199</v>
      </c>
      <c r="E429">
        <v>176880</v>
      </c>
      <c r="H429" t="b">
        <v>0</v>
      </c>
      <c r="I429">
        <v>1</v>
      </c>
      <c r="J429" t="s">
        <v>462</v>
      </c>
      <c r="AN429">
        <v>-284.88</v>
      </c>
      <c r="AV429" t="s">
        <v>334</v>
      </c>
      <c r="AW429" t="s">
        <v>334</v>
      </c>
      <c r="BA429" t="s">
        <v>264</v>
      </c>
      <c r="BB429" t="s">
        <v>463</v>
      </c>
      <c r="BC429">
        <v>1</v>
      </c>
      <c r="BD42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29" t="str">
        <f>IF(GetCurrentMonthAging3[[#This Row],[InsGroupPrimary]]="","YES","NO")</f>
        <v>YES</v>
      </c>
      <c r="BF42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-284.88</v>
      </c>
    </row>
    <row r="430" spans="1:58" x14ac:dyDescent="0.25">
      <c r="A430" t="s">
        <v>103</v>
      </c>
      <c r="B430">
        <v>6</v>
      </c>
      <c r="C430" t="s">
        <v>331</v>
      </c>
      <c r="D430" s="142">
        <v>45199</v>
      </c>
      <c r="E430">
        <v>39060</v>
      </c>
      <c r="H430" t="b">
        <v>0</v>
      </c>
      <c r="I430">
        <v>1</v>
      </c>
      <c r="J430" t="s">
        <v>462</v>
      </c>
      <c r="AN430">
        <v>-60</v>
      </c>
      <c r="AV430" t="s">
        <v>334</v>
      </c>
      <c r="AW430" t="s">
        <v>334</v>
      </c>
      <c r="BA430" t="s">
        <v>264</v>
      </c>
      <c r="BB430" t="s">
        <v>463</v>
      </c>
      <c r="BC430">
        <v>1</v>
      </c>
      <c r="BD43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30" t="str">
        <f>IF(GetCurrentMonthAging3[[#This Row],[InsGroupPrimary]]="","YES","NO")</f>
        <v>YES</v>
      </c>
      <c r="BF43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431" spans="1:58" x14ac:dyDescent="0.25">
      <c r="A431" t="s">
        <v>103</v>
      </c>
      <c r="B431">
        <v>6</v>
      </c>
      <c r="C431" t="s">
        <v>331</v>
      </c>
      <c r="D431" s="142">
        <v>45199</v>
      </c>
      <c r="E431">
        <v>87974</v>
      </c>
      <c r="H431" t="b">
        <v>0</v>
      </c>
      <c r="I431">
        <v>1</v>
      </c>
      <c r="J431" t="s">
        <v>462</v>
      </c>
      <c r="AN431">
        <v>-27.94</v>
      </c>
      <c r="AV431" t="s">
        <v>334</v>
      </c>
      <c r="AW431" t="s">
        <v>334</v>
      </c>
      <c r="BA431" t="s">
        <v>233</v>
      </c>
      <c r="BB431" t="s">
        <v>463</v>
      </c>
      <c r="BC431">
        <v>1</v>
      </c>
      <c r="BD43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31" t="str">
        <f>IF(GetCurrentMonthAging3[[#This Row],[InsGroupPrimary]]="","YES","NO")</f>
        <v>YES</v>
      </c>
      <c r="BF43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-27.94</v>
      </c>
    </row>
    <row r="432" spans="1:58" x14ac:dyDescent="0.25">
      <c r="A432" t="s">
        <v>103</v>
      </c>
      <c r="B432">
        <v>6</v>
      </c>
      <c r="C432" t="s">
        <v>331</v>
      </c>
      <c r="D432" s="142">
        <v>45199</v>
      </c>
      <c r="E432">
        <v>41150</v>
      </c>
      <c r="H432" t="b">
        <v>0</v>
      </c>
      <c r="I432">
        <v>1</v>
      </c>
      <c r="J432" t="s">
        <v>462</v>
      </c>
      <c r="AN432">
        <v>-45</v>
      </c>
      <c r="AV432" t="s">
        <v>334</v>
      </c>
      <c r="AW432" t="s">
        <v>334</v>
      </c>
      <c r="BA432" t="s">
        <v>233</v>
      </c>
      <c r="BB432" t="s">
        <v>463</v>
      </c>
      <c r="BC432">
        <v>1</v>
      </c>
      <c r="BD43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32" t="str">
        <f>IF(GetCurrentMonthAging3[[#This Row],[InsGroupPrimary]]="","YES","NO")</f>
        <v>YES</v>
      </c>
      <c r="BF43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-45</v>
      </c>
    </row>
    <row r="433" spans="1:58" x14ac:dyDescent="0.25">
      <c r="A433" t="s">
        <v>103</v>
      </c>
      <c r="B433">
        <v>6</v>
      </c>
      <c r="C433" t="s">
        <v>331</v>
      </c>
      <c r="D433" s="142">
        <v>45199</v>
      </c>
      <c r="E433">
        <v>264502</v>
      </c>
      <c r="H433" t="b">
        <v>0</v>
      </c>
      <c r="I433">
        <v>1</v>
      </c>
      <c r="J433" t="s">
        <v>462</v>
      </c>
      <c r="AN433">
        <v>-30</v>
      </c>
      <c r="AV433" t="s">
        <v>334</v>
      </c>
      <c r="AW433" t="s">
        <v>334</v>
      </c>
      <c r="BA433" t="s">
        <v>233</v>
      </c>
      <c r="BB433" t="s">
        <v>463</v>
      </c>
      <c r="BC433">
        <v>1</v>
      </c>
      <c r="BD43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33" t="str">
        <f>IF(GetCurrentMonthAging3[[#This Row],[InsGroupPrimary]]="","YES","NO")</f>
        <v>YES</v>
      </c>
      <c r="BF43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-30</v>
      </c>
    </row>
    <row r="434" spans="1:58" x14ac:dyDescent="0.25">
      <c r="A434" t="s">
        <v>103</v>
      </c>
      <c r="B434">
        <v>6</v>
      </c>
      <c r="C434" t="s">
        <v>331</v>
      </c>
      <c r="D434" s="142">
        <v>45199</v>
      </c>
      <c r="E434">
        <v>227268</v>
      </c>
      <c r="H434" t="b">
        <v>0</v>
      </c>
      <c r="I434">
        <v>1</v>
      </c>
      <c r="J434" t="s">
        <v>462</v>
      </c>
      <c r="AN434">
        <v>-18</v>
      </c>
      <c r="AV434" t="s">
        <v>334</v>
      </c>
      <c r="AW434" t="s">
        <v>334</v>
      </c>
      <c r="BA434" t="s">
        <v>264</v>
      </c>
      <c r="BB434" t="s">
        <v>463</v>
      </c>
      <c r="BC434">
        <v>1</v>
      </c>
      <c r="BD43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34" t="str">
        <f>IF(GetCurrentMonthAging3[[#This Row],[InsGroupPrimary]]="","YES","NO")</f>
        <v>YES</v>
      </c>
      <c r="BF43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-18</v>
      </c>
    </row>
    <row r="435" spans="1:58" x14ac:dyDescent="0.25">
      <c r="A435" t="s">
        <v>103</v>
      </c>
      <c r="B435">
        <v>6</v>
      </c>
      <c r="C435" t="s">
        <v>331</v>
      </c>
      <c r="D435" s="142">
        <v>45199</v>
      </c>
      <c r="E435">
        <v>60287</v>
      </c>
      <c r="H435" t="b">
        <v>0</v>
      </c>
      <c r="I435">
        <v>1</v>
      </c>
      <c r="J435" t="s">
        <v>462</v>
      </c>
      <c r="AN435">
        <v>-35</v>
      </c>
      <c r="AV435" t="s">
        <v>334</v>
      </c>
      <c r="AW435" t="s">
        <v>334</v>
      </c>
      <c r="BA435" t="s">
        <v>264</v>
      </c>
      <c r="BB435" t="s">
        <v>463</v>
      </c>
      <c r="BC435">
        <v>1</v>
      </c>
      <c r="BD43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35" t="str">
        <f>IF(GetCurrentMonthAging3[[#This Row],[InsGroupPrimary]]="","YES","NO")</f>
        <v>YES</v>
      </c>
      <c r="BF43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-35</v>
      </c>
    </row>
    <row r="436" spans="1:58" x14ac:dyDescent="0.25">
      <c r="A436" t="s">
        <v>103</v>
      </c>
      <c r="B436">
        <v>6</v>
      </c>
      <c r="C436" t="s">
        <v>331</v>
      </c>
      <c r="D436" s="142">
        <v>45199</v>
      </c>
      <c r="E436">
        <v>166023</v>
      </c>
      <c r="H436" t="b">
        <v>0</v>
      </c>
      <c r="I436">
        <v>1</v>
      </c>
      <c r="J436" t="s">
        <v>462</v>
      </c>
      <c r="AN436">
        <v>-180</v>
      </c>
      <c r="AV436" t="s">
        <v>334</v>
      </c>
      <c r="AW436" t="s">
        <v>334</v>
      </c>
      <c r="BA436" t="s">
        <v>264</v>
      </c>
      <c r="BB436" t="s">
        <v>463</v>
      </c>
      <c r="BC436">
        <v>1</v>
      </c>
      <c r="BD43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36" t="str">
        <f>IF(GetCurrentMonthAging3[[#This Row],[InsGroupPrimary]]="","YES","NO")</f>
        <v>YES</v>
      </c>
      <c r="BF43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-180</v>
      </c>
    </row>
    <row r="437" spans="1:58" x14ac:dyDescent="0.25">
      <c r="A437" t="s">
        <v>103</v>
      </c>
      <c r="B437">
        <v>6</v>
      </c>
      <c r="C437" t="s">
        <v>331</v>
      </c>
      <c r="D437" s="142">
        <v>45199</v>
      </c>
      <c r="E437">
        <v>39506</v>
      </c>
      <c r="H437" t="b">
        <v>0</v>
      </c>
      <c r="I437">
        <v>1</v>
      </c>
      <c r="J437" t="s">
        <v>462</v>
      </c>
      <c r="AN437">
        <v>-20</v>
      </c>
      <c r="AV437" t="s">
        <v>334</v>
      </c>
      <c r="AW437" t="s">
        <v>334</v>
      </c>
      <c r="BA437" t="s">
        <v>233</v>
      </c>
      <c r="BB437" t="s">
        <v>463</v>
      </c>
      <c r="BC437">
        <v>1</v>
      </c>
      <c r="BD43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37" t="str">
        <f>IF(GetCurrentMonthAging3[[#This Row],[InsGroupPrimary]]="","YES","NO")</f>
        <v>YES</v>
      </c>
      <c r="BF43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438" spans="1:58" x14ac:dyDescent="0.25">
      <c r="A438" t="s">
        <v>103</v>
      </c>
      <c r="B438">
        <v>6</v>
      </c>
      <c r="C438" t="s">
        <v>331</v>
      </c>
      <c r="D438" s="142">
        <v>45199</v>
      </c>
      <c r="E438">
        <v>149762</v>
      </c>
      <c r="H438" t="b">
        <v>0</v>
      </c>
      <c r="I438">
        <v>1</v>
      </c>
      <c r="J438" t="s">
        <v>462</v>
      </c>
      <c r="AN438">
        <v>-5</v>
      </c>
      <c r="AV438" t="s">
        <v>334</v>
      </c>
      <c r="AW438" t="s">
        <v>334</v>
      </c>
      <c r="BA438" t="s">
        <v>264</v>
      </c>
      <c r="BB438" t="s">
        <v>463</v>
      </c>
      <c r="BC438">
        <v>1</v>
      </c>
      <c r="BD43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38" t="str">
        <f>IF(GetCurrentMonthAging3[[#This Row],[InsGroupPrimary]]="","YES","NO")</f>
        <v>YES</v>
      </c>
      <c r="BF43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v>
      </c>
    </row>
    <row r="439" spans="1:58" x14ac:dyDescent="0.25">
      <c r="A439" t="s">
        <v>103</v>
      </c>
      <c r="B439">
        <v>6</v>
      </c>
      <c r="C439" t="s">
        <v>331</v>
      </c>
      <c r="D439" s="142">
        <v>45199</v>
      </c>
      <c r="E439">
        <v>270719</v>
      </c>
      <c r="H439" t="b">
        <v>0</v>
      </c>
      <c r="I439">
        <v>1</v>
      </c>
      <c r="J439" t="s">
        <v>462</v>
      </c>
      <c r="AN439">
        <v>-1</v>
      </c>
      <c r="AV439" t="s">
        <v>334</v>
      </c>
      <c r="AW439" t="s">
        <v>334</v>
      </c>
      <c r="BA439" t="s">
        <v>264</v>
      </c>
      <c r="BB439" t="s">
        <v>463</v>
      </c>
      <c r="BC439">
        <v>1</v>
      </c>
      <c r="BD43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39" t="str">
        <f>IF(GetCurrentMonthAging3[[#This Row],[InsGroupPrimary]]="","YES","NO")</f>
        <v>YES</v>
      </c>
      <c r="BF43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v>
      </c>
    </row>
    <row r="440" spans="1:58" x14ac:dyDescent="0.25">
      <c r="A440" t="s">
        <v>103</v>
      </c>
      <c r="B440">
        <v>6</v>
      </c>
      <c r="C440" t="s">
        <v>331</v>
      </c>
      <c r="D440" s="142">
        <v>45199</v>
      </c>
      <c r="E440">
        <v>108825</v>
      </c>
      <c r="H440" t="b">
        <v>0</v>
      </c>
      <c r="I440">
        <v>1</v>
      </c>
      <c r="J440" t="s">
        <v>462</v>
      </c>
      <c r="AN440">
        <v>-1.5</v>
      </c>
      <c r="AV440" t="s">
        <v>334</v>
      </c>
      <c r="AW440" t="s">
        <v>334</v>
      </c>
      <c r="BA440" t="s">
        <v>264</v>
      </c>
      <c r="BB440" t="s">
        <v>463</v>
      </c>
      <c r="BC440">
        <v>1</v>
      </c>
      <c r="BD44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40" t="str">
        <f>IF(GetCurrentMonthAging3[[#This Row],[InsGroupPrimary]]="","YES","NO")</f>
        <v>YES</v>
      </c>
      <c r="BF44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v>
      </c>
    </row>
    <row r="441" spans="1:58" x14ac:dyDescent="0.25">
      <c r="A441" t="s">
        <v>103</v>
      </c>
      <c r="B441">
        <v>6</v>
      </c>
      <c r="C441" t="s">
        <v>331</v>
      </c>
      <c r="D441" s="142">
        <v>45199</v>
      </c>
      <c r="E441">
        <v>57444</v>
      </c>
      <c r="H441" t="b">
        <v>0</v>
      </c>
      <c r="I441">
        <v>1</v>
      </c>
      <c r="J441" t="s">
        <v>462</v>
      </c>
      <c r="AN441">
        <v>-175</v>
      </c>
      <c r="AV441" t="s">
        <v>334</v>
      </c>
      <c r="AW441" t="s">
        <v>334</v>
      </c>
      <c r="BA441" t="s">
        <v>264</v>
      </c>
      <c r="BB441" t="s">
        <v>463</v>
      </c>
      <c r="BC441">
        <v>1</v>
      </c>
      <c r="BD44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41" t="str">
        <f>IF(GetCurrentMonthAging3[[#This Row],[InsGroupPrimary]]="","YES","NO")</f>
        <v>YES</v>
      </c>
      <c r="BF44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-175</v>
      </c>
    </row>
    <row r="442" spans="1:58" x14ac:dyDescent="0.25">
      <c r="A442" t="s">
        <v>103</v>
      </c>
      <c r="B442">
        <v>6</v>
      </c>
      <c r="C442" t="s">
        <v>331</v>
      </c>
      <c r="D442" s="142">
        <v>45199</v>
      </c>
      <c r="E442">
        <v>46953</v>
      </c>
      <c r="H442" t="b">
        <v>0</v>
      </c>
      <c r="I442">
        <v>1</v>
      </c>
      <c r="J442" t="s">
        <v>462</v>
      </c>
      <c r="AN442">
        <v>-50</v>
      </c>
      <c r="AV442" t="s">
        <v>334</v>
      </c>
      <c r="AW442" t="s">
        <v>334</v>
      </c>
      <c r="BA442" t="s">
        <v>233</v>
      </c>
      <c r="BB442" t="s">
        <v>463</v>
      </c>
      <c r="BC442">
        <v>1</v>
      </c>
      <c r="BD44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42" t="str">
        <f>IF(GetCurrentMonthAging3[[#This Row],[InsGroupPrimary]]="","YES","NO")</f>
        <v>YES</v>
      </c>
      <c r="BF44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-50</v>
      </c>
    </row>
    <row r="443" spans="1:58" x14ac:dyDescent="0.25">
      <c r="A443" t="s">
        <v>103</v>
      </c>
      <c r="B443">
        <v>6</v>
      </c>
      <c r="C443" t="s">
        <v>331</v>
      </c>
      <c r="D443" s="142">
        <v>45199</v>
      </c>
      <c r="E443">
        <v>111072</v>
      </c>
      <c r="H443" t="b">
        <v>0</v>
      </c>
      <c r="I443">
        <v>1</v>
      </c>
      <c r="J443" t="s">
        <v>462</v>
      </c>
      <c r="AN443">
        <v>-120</v>
      </c>
      <c r="AV443" t="s">
        <v>334</v>
      </c>
      <c r="AW443" t="s">
        <v>334</v>
      </c>
      <c r="BA443" t="s">
        <v>264</v>
      </c>
      <c r="BB443" t="s">
        <v>463</v>
      </c>
      <c r="BC443">
        <v>1</v>
      </c>
      <c r="BD44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43" t="str">
        <f>IF(GetCurrentMonthAging3[[#This Row],[InsGroupPrimary]]="","YES","NO")</f>
        <v>YES</v>
      </c>
      <c r="BF44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-120</v>
      </c>
    </row>
    <row r="444" spans="1:58" x14ac:dyDescent="0.25">
      <c r="A444" t="s">
        <v>103</v>
      </c>
      <c r="B444">
        <v>6</v>
      </c>
      <c r="C444" t="s">
        <v>331</v>
      </c>
      <c r="D444" s="142">
        <v>45199</v>
      </c>
      <c r="E444">
        <v>117276</v>
      </c>
      <c r="H444" t="b">
        <v>0</v>
      </c>
      <c r="I444">
        <v>1</v>
      </c>
      <c r="J444" t="s">
        <v>462</v>
      </c>
      <c r="AN444">
        <v>-390</v>
      </c>
      <c r="AV444" t="s">
        <v>334</v>
      </c>
      <c r="AW444" t="s">
        <v>334</v>
      </c>
      <c r="BA444" t="s">
        <v>233</v>
      </c>
      <c r="BB444" t="s">
        <v>463</v>
      </c>
      <c r="BC444">
        <v>1</v>
      </c>
      <c r="BD44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44" t="str">
        <f>IF(GetCurrentMonthAging3[[#This Row],[InsGroupPrimary]]="","YES","NO")</f>
        <v>YES</v>
      </c>
      <c r="BF44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-390</v>
      </c>
    </row>
    <row r="445" spans="1:58" x14ac:dyDescent="0.25">
      <c r="A445" t="s">
        <v>103</v>
      </c>
      <c r="B445">
        <v>6</v>
      </c>
      <c r="C445" t="s">
        <v>331</v>
      </c>
      <c r="D445" s="142">
        <v>45199</v>
      </c>
      <c r="E445">
        <v>239589</v>
      </c>
      <c r="H445" t="b">
        <v>0</v>
      </c>
      <c r="I445">
        <v>1</v>
      </c>
      <c r="J445" t="s">
        <v>462</v>
      </c>
      <c r="AN445">
        <v>-40</v>
      </c>
      <c r="AV445" t="s">
        <v>334</v>
      </c>
      <c r="AW445" t="s">
        <v>334</v>
      </c>
      <c r="BA445" t="s">
        <v>264</v>
      </c>
      <c r="BB445" t="s">
        <v>463</v>
      </c>
      <c r="BC445">
        <v>1</v>
      </c>
      <c r="BD44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45" t="str">
        <f>IF(GetCurrentMonthAging3[[#This Row],[InsGroupPrimary]]="","YES","NO")</f>
        <v>YES</v>
      </c>
      <c r="BF44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446" spans="1:58" x14ac:dyDescent="0.25">
      <c r="A446" t="s">
        <v>103</v>
      </c>
      <c r="B446">
        <v>6</v>
      </c>
      <c r="C446" t="s">
        <v>331</v>
      </c>
      <c r="D446" s="142">
        <v>45199</v>
      </c>
      <c r="E446">
        <v>19824</v>
      </c>
      <c r="H446" t="b">
        <v>0</v>
      </c>
      <c r="I446">
        <v>1</v>
      </c>
      <c r="J446" t="s">
        <v>462</v>
      </c>
      <c r="AN446">
        <v>-6</v>
      </c>
      <c r="AV446" t="s">
        <v>334</v>
      </c>
      <c r="AW446" t="s">
        <v>334</v>
      </c>
      <c r="BA446" t="s">
        <v>264</v>
      </c>
      <c r="BB446" t="s">
        <v>463</v>
      </c>
      <c r="BC446">
        <v>1</v>
      </c>
      <c r="BD44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46" t="str">
        <f>IF(GetCurrentMonthAging3[[#This Row],[InsGroupPrimary]]="","YES","NO")</f>
        <v>YES</v>
      </c>
      <c r="BF44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v>
      </c>
    </row>
    <row r="447" spans="1:58" x14ac:dyDescent="0.25">
      <c r="A447" t="s">
        <v>103</v>
      </c>
      <c r="B447">
        <v>6</v>
      </c>
      <c r="C447" t="s">
        <v>331</v>
      </c>
      <c r="D447" s="142">
        <v>45199</v>
      </c>
      <c r="E447">
        <v>139882</v>
      </c>
      <c r="H447" t="b">
        <v>0</v>
      </c>
      <c r="I447">
        <v>1</v>
      </c>
      <c r="J447" t="s">
        <v>462</v>
      </c>
      <c r="AN447">
        <v>-20</v>
      </c>
      <c r="AV447" t="s">
        <v>334</v>
      </c>
      <c r="AW447" t="s">
        <v>334</v>
      </c>
      <c r="BA447" t="s">
        <v>264</v>
      </c>
      <c r="BB447" t="s">
        <v>463</v>
      </c>
      <c r="BC447">
        <v>1</v>
      </c>
      <c r="BD44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47" t="str">
        <f>IF(GetCurrentMonthAging3[[#This Row],[InsGroupPrimary]]="","YES","NO")</f>
        <v>YES</v>
      </c>
      <c r="BF44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448" spans="1:58" x14ac:dyDescent="0.25">
      <c r="A448" t="s">
        <v>103</v>
      </c>
      <c r="B448">
        <v>6</v>
      </c>
      <c r="C448" t="s">
        <v>331</v>
      </c>
      <c r="D448" s="142">
        <v>45199</v>
      </c>
      <c r="E448">
        <v>80950</v>
      </c>
      <c r="H448" t="b">
        <v>0</v>
      </c>
      <c r="I448">
        <v>1</v>
      </c>
      <c r="J448" t="s">
        <v>462</v>
      </c>
      <c r="AN448">
        <v>-20</v>
      </c>
      <c r="AV448" t="s">
        <v>334</v>
      </c>
      <c r="AW448" t="s">
        <v>334</v>
      </c>
      <c r="BA448" t="s">
        <v>233</v>
      </c>
      <c r="BB448" t="s">
        <v>463</v>
      </c>
      <c r="BC448">
        <v>1</v>
      </c>
      <c r="BD44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48" t="str">
        <f>IF(GetCurrentMonthAging3[[#This Row],[InsGroupPrimary]]="","YES","NO")</f>
        <v>YES</v>
      </c>
      <c r="BF44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449" spans="1:58" x14ac:dyDescent="0.25">
      <c r="A449" t="s">
        <v>103</v>
      </c>
      <c r="B449">
        <v>6</v>
      </c>
      <c r="C449" t="s">
        <v>331</v>
      </c>
      <c r="D449" s="142">
        <v>45199</v>
      </c>
      <c r="E449">
        <v>229324</v>
      </c>
      <c r="H449" t="b">
        <v>0</v>
      </c>
      <c r="I449">
        <v>1</v>
      </c>
      <c r="J449" t="s">
        <v>462</v>
      </c>
      <c r="AN449">
        <v>-1.8</v>
      </c>
      <c r="AV449" t="s">
        <v>334</v>
      </c>
      <c r="AW449" t="s">
        <v>334</v>
      </c>
      <c r="BA449" t="s">
        <v>233</v>
      </c>
      <c r="BB449" t="s">
        <v>463</v>
      </c>
      <c r="BC449">
        <v>1</v>
      </c>
      <c r="BD44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49" t="str">
        <f>IF(GetCurrentMonthAging3[[#This Row],[InsGroupPrimary]]="","YES","NO")</f>
        <v>YES</v>
      </c>
      <c r="BF44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-1.8</v>
      </c>
    </row>
    <row r="450" spans="1:58" x14ac:dyDescent="0.25">
      <c r="A450" t="s">
        <v>103</v>
      </c>
      <c r="B450">
        <v>6</v>
      </c>
      <c r="C450" t="s">
        <v>331</v>
      </c>
      <c r="D450" s="142">
        <v>45199</v>
      </c>
      <c r="E450">
        <v>74494</v>
      </c>
      <c r="H450" t="b">
        <v>0</v>
      </c>
      <c r="I450">
        <v>1</v>
      </c>
      <c r="J450" t="s">
        <v>462</v>
      </c>
      <c r="AN450">
        <v>-41</v>
      </c>
      <c r="AV450" t="s">
        <v>334</v>
      </c>
      <c r="AW450" t="s">
        <v>334</v>
      </c>
      <c r="BA450" t="s">
        <v>264</v>
      </c>
      <c r="BB450" t="s">
        <v>463</v>
      </c>
      <c r="BC450">
        <v>1</v>
      </c>
      <c r="BD45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50" t="str">
        <f>IF(GetCurrentMonthAging3[[#This Row],[InsGroupPrimary]]="","YES","NO")</f>
        <v>YES</v>
      </c>
      <c r="BF45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-41</v>
      </c>
    </row>
    <row r="451" spans="1:58" x14ac:dyDescent="0.25">
      <c r="A451" t="s">
        <v>103</v>
      </c>
      <c r="B451">
        <v>6</v>
      </c>
      <c r="C451" t="s">
        <v>331</v>
      </c>
      <c r="D451" s="142">
        <v>45199</v>
      </c>
      <c r="E451">
        <v>258238</v>
      </c>
      <c r="H451" t="b">
        <v>0</v>
      </c>
      <c r="I451">
        <v>1</v>
      </c>
      <c r="J451" t="s">
        <v>462</v>
      </c>
      <c r="AN451">
        <v>-203.46</v>
      </c>
      <c r="AV451" t="s">
        <v>334</v>
      </c>
      <c r="AW451" t="s">
        <v>334</v>
      </c>
      <c r="BA451" t="s">
        <v>264</v>
      </c>
      <c r="BB451" t="s">
        <v>463</v>
      </c>
      <c r="BC451">
        <v>1</v>
      </c>
      <c r="BD45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51" t="str">
        <f>IF(GetCurrentMonthAging3[[#This Row],[InsGroupPrimary]]="","YES","NO")</f>
        <v>YES</v>
      </c>
      <c r="BF45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-203.46</v>
      </c>
    </row>
    <row r="452" spans="1:58" x14ac:dyDescent="0.25">
      <c r="A452" t="s">
        <v>103</v>
      </c>
      <c r="B452">
        <v>6</v>
      </c>
      <c r="C452" t="s">
        <v>331</v>
      </c>
      <c r="D452" s="142">
        <v>45199</v>
      </c>
      <c r="E452">
        <v>71961</v>
      </c>
      <c r="H452" t="b">
        <v>0</v>
      </c>
      <c r="I452">
        <v>1</v>
      </c>
      <c r="J452" t="s">
        <v>462</v>
      </c>
      <c r="AN452">
        <v>-30</v>
      </c>
      <c r="AV452" t="s">
        <v>334</v>
      </c>
      <c r="AW452" t="s">
        <v>334</v>
      </c>
      <c r="BA452" t="s">
        <v>233</v>
      </c>
      <c r="BB452" t="s">
        <v>463</v>
      </c>
      <c r="BC452">
        <v>1</v>
      </c>
      <c r="BD45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52" t="str">
        <f>IF(GetCurrentMonthAging3[[#This Row],[InsGroupPrimary]]="","YES","NO")</f>
        <v>YES</v>
      </c>
      <c r="BF45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-30</v>
      </c>
    </row>
    <row r="453" spans="1:58" x14ac:dyDescent="0.25">
      <c r="A453" t="s">
        <v>103</v>
      </c>
      <c r="B453">
        <v>6</v>
      </c>
      <c r="C453" t="s">
        <v>331</v>
      </c>
      <c r="D453" s="142">
        <v>45199</v>
      </c>
      <c r="E453">
        <v>68078</v>
      </c>
      <c r="H453" t="b">
        <v>0</v>
      </c>
      <c r="I453">
        <v>1</v>
      </c>
      <c r="J453" t="s">
        <v>462</v>
      </c>
      <c r="AN453">
        <v>-20</v>
      </c>
      <c r="AV453" t="s">
        <v>334</v>
      </c>
      <c r="AW453" t="s">
        <v>334</v>
      </c>
      <c r="BA453" t="s">
        <v>233</v>
      </c>
      <c r="BB453" t="s">
        <v>463</v>
      </c>
      <c r="BC453">
        <v>1</v>
      </c>
      <c r="BD45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53" t="str">
        <f>IF(GetCurrentMonthAging3[[#This Row],[InsGroupPrimary]]="","YES","NO")</f>
        <v>YES</v>
      </c>
      <c r="BF45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454" spans="1:58" x14ac:dyDescent="0.25">
      <c r="A454" t="s">
        <v>103</v>
      </c>
      <c r="B454">
        <v>6</v>
      </c>
      <c r="C454" t="s">
        <v>331</v>
      </c>
      <c r="D454" s="142">
        <v>45199</v>
      </c>
      <c r="E454">
        <v>101437</v>
      </c>
      <c r="H454" t="b">
        <v>0</v>
      </c>
      <c r="I454">
        <v>1</v>
      </c>
      <c r="J454" t="s">
        <v>462</v>
      </c>
      <c r="AN454">
        <v>-20</v>
      </c>
      <c r="AV454" t="s">
        <v>334</v>
      </c>
      <c r="AW454" t="s">
        <v>334</v>
      </c>
      <c r="BA454" t="s">
        <v>233</v>
      </c>
      <c r="BB454" t="s">
        <v>463</v>
      </c>
      <c r="BC454">
        <v>1</v>
      </c>
      <c r="BD45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54" t="str">
        <f>IF(GetCurrentMonthAging3[[#This Row],[InsGroupPrimary]]="","YES","NO")</f>
        <v>YES</v>
      </c>
      <c r="BF45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455" spans="1:58" x14ac:dyDescent="0.25">
      <c r="A455" t="s">
        <v>103</v>
      </c>
      <c r="B455">
        <v>6</v>
      </c>
      <c r="C455" t="s">
        <v>331</v>
      </c>
      <c r="D455" s="142">
        <v>45199</v>
      </c>
      <c r="E455">
        <v>243564</v>
      </c>
      <c r="H455" t="b">
        <v>0</v>
      </c>
      <c r="I455">
        <v>1</v>
      </c>
      <c r="J455" t="s">
        <v>462</v>
      </c>
      <c r="AN455">
        <v>-11.2</v>
      </c>
      <c r="AV455" t="s">
        <v>334</v>
      </c>
      <c r="AW455" t="s">
        <v>334</v>
      </c>
      <c r="BA455" t="s">
        <v>264</v>
      </c>
      <c r="BB455" t="s">
        <v>463</v>
      </c>
      <c r="BC455">
        <v>1</v>
      </c>
      <c r="BD45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55" t="str">
        <f>IF(GetCurrentMonthAging3[[#This Row],[InsGroupPrimary]]="","YES","NO")</f>
        <v>YES</v>
      </c>
      <c r="BF45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-11.2</v>
      </c>
    </row>
    <row r="456" spans="1:58" x14ac:dyDescent="0.25">
      <c r="A456" t="s">
        <v>103</v>
      </c>
      <c r="B456">
        <v>6</v>
      </c>
      <c r="C456" t="s">
        <v>331</v>
      </c>
      <c r="D456" s="142">
        <v>45199</v>
      </c>
      <c r="E456">
        <v>176163</v>
      </c>
      <c r="H456" t="b">
        <v>0</v>
      </c>
      <c r="I456">
        <v>1</v>
      </c>
      <c r="J456" t="s">
        <v>462</v>
      </c>
      <c r="AN456">
        <v>-88.83</v>
      </c>
      <c r="AV456" t="s">
        <v>334</v>
      </c>
      <c r="AW456" t="s">
        <v>334</v>
      </c>
      <c r="BA456" t="s">
        <v>233</v>
      </c>
      <c r="BB456" t="s">
        <v>463</v>
      </c>
      <c r="BC456">
        <v>1</v>
      </c>
      <c r="BD45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56" t="str">
        <f>IF(GetCurrentMonthAging3[[#This Row],[InsGroupPrimary]]="","YES","NO")</f>
        <v>YES</v>
      </c>
      <c r="BF45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-88.83</v>
      </c>
    </row>
    <row r="457" spans="1:58" x14ac:dyDescent="0.25">
      <c r="A457" t="s">
        <v>103</v>
      </c>
      <c r="B457">
        <v>6</v>
      </c>
      <c r="C457" t="s">
        <v>331</v>
      </c>
      <c r="D457" s="142">
        <v>45199</v>
      </c>
      <c r="E457">
        <v>247876</v>
      </c>
      <c r="H457" t="b">
        <v>0</v>
      </c>
      <c r="I457">
        <v>1</v>
      </c>
      <c r="J457" t="s">
        <v>462</v>
      </c>
      <c r="AN457">
        <v>-82.68</v>
      </c>
      <c r="AV457" t="s">
        <v>334</v>
      </c>
      <c r="AW457" t="s">
        <v>334</v>
      </c>
      <c r="BA457" t="s">
        <v>264</v>
      </c>
      <c r="BB457" t="s">
        <v>463</v>
      </c>
      <c r="BC457">
        <v>1</v>
      </c>
      <c r="BD45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57" t="str">
        <f>IF(GetCurrentMonthAging3[[#This Row],[InsGroupPrimary]]="","YES","NO")</f>
        <v>YES</v>
      </c>
      <c r="BF45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-82.68</v>
      </c>
    </row>
    <row r="458" spans="1:58" x14ac:dyDescent="0.25">
      <c r="A458" t="s">
        <v>103</v>
      </c>
      <c r="B458">
        <v>6</v>
      </c>
      <c r="C458" t="s">
        <v>331</v>
      </c>
      <c r="D458" s="142">
        <v>45199</v>
      </c>
      <c r="E458">
        <v>44054</v>
      </c>
      <c r="H458" t="b">
        <v>0</v>
      </c>
      <c r="I458">
        <v>1</v>
      </c>
      <c r="J458" t="s">
        <v>462</v>
      </c>
      <c r="AN458">
        <v>-60</v>
      </c>
      <c r="AV458" t="s">
        <v>334</v>
      </c>
      <c r="AW458" t="s">
        <v>334</v>
      </c>
      <c r="BA458" t="s">
        <v>233</v>
      </c>
      <c r="BB458" t="s">
        <v>463</v>
      </c>
      <c r="BC458">
        <v>1</v>
      </c>
      <c r="BD45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58" t="str">
        <f>IF(GetCurrentMonthAging3[[#This Row],[InsGroupPrimary]]="","YES","NO")</f>
        <v>YES</v>
      </c>
      <c r="BF45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459" spans="1:58" x14ac:dyDescent="0.25">
      <c r="A459" t="s">
        <v>103</v>
      </c>
      <c r="B459">
        <v>6</v>
      </c>
      <c r="C459" t="s">
        <v>331</v>
      </c>
      <c r="D459" s="142">
        <v>45199</v>
      </c>
      <c r="E459">
        <v>50254</v>
      </c>
      <c r="H459" t="b">
        <v>0</v>
      </c>
      <c r="I459">
        <v>1</v>
      </c>
      <c r="J459" t="s">
        <v>462</v>
      </c>
      <c r="AN459">
        <v>-25</v>
      </c>
      <c r="AV459" t="s">
        <v>334</v>
      </c>
      <c r="AW459" t="s">
        <v>334</v>
      </c>
      <c r="BA459" t="s">
        <v>233</v>
      </c>
      <c r="BB459" t="s">
        <v>463</v>
      </c>
      <c r="BC459">
        <v>1</v>
      </c>
      <c r="BD45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59" t="str">
        <f>IF(GetCurrentMonthAging3[[#This Row],[InsGroupPrimary]]="","YES","NO")</f>
        <v>YES</v>
      </c>
      <c r="BF45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v>
      </c>
    </row>
    <row r="460" spans="1:58" x14ac:dyDescent="0.25">
      <c r="A460" t="s">
        <v>103</v>
      </c>
      <c r="B460">
        <v>6</v>
      </c>
      <c r="C460" t="s">
        <v>331</v>
      </c>
      <c r="D460" s="142">
        <v>45199</v>
      </c>
      <c r="E460">
        <v>55438</v>
      </c>
      <c r="H460" t="b">
        <v>0</v>
      </c>
      <c r="I460">
        <v>1</v>
      </c>
      <c r="J460" t="s">
        <v>462</v>
      </c>
      <c r="AN460">
        <v>-18.440000000000001</v>
      </c>
      <c r="AV460" t="s">
        <v>334</v>
      </c>
      <c r="AW460" t="s">
        <v>334</v>
      </c>
      <c r="BA460" t="s">
        <v>264</v>
      </c>
      <c r="BB460" t="s">
        <v>463</v>
      </c>
      <c r="BC460">
        <v>1</v>
      </c>
      <c r="BD46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60" t="str">
        <f>IF(GetCurrentMonthAging3[[#This Row],[InsGroupPrimary]]="","YES","NO")</f>
        <v>YES</v>
      </c>
      <c r="BF46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-18.440000000000001</v>
      </c>
    </row>
    <row r="461" spans="1:58" x14ac:dyDescent="0.25">
      <c r="A461" t="s">
        <v>103</v>
      </c>
      <c r="B461">
        <v>6</v>
      </c>
      <c r="C461" t="s">
        <v>331</v>
      </c>
      <c r="D461" s="142">
        <v>45199</v>
      </c>
      <c r="E461">
        <v>179789</v>
      </c>
      <c r="H461" t="b">
        <v>0</v>
      </c>
      <c r="I461">
        <v>1</v>
      </c>
      <c r="J461" t="s">
        <v>462</v>
      </c>
      <c r="AN461">
        <v>-32.909999999999997</v>
      </c>
      <c r="AV461" t="s">
        <v>334</v>
      </c>
      <c r="AW461" t="s">
        <v>334</v>
      </c>
      <c r="BA461" t="s">
        <v>264</v>
      </c>
      <c r="BB461" t="s">
        <v>463</v>
      </c>
      <c r="BC461">
        <v>1</v>
      </c>
      <c r="BD46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61" t="str">
        <f>IF(GetCurrentMonthAging3[[#This Row],[InsGroupPrimary]]="","YES","NO")</f>
        <v>YES</v>
      </c>
      <c r="BF46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-32.909999999999997</v>
      </c>
    </row>
    <row r="462" spans="1:58" x14ac:dyDescent="0.25">
      <c r="A462" t="s">
        <v>103</v>
      </c>
      <c r="B462">
        <v>6</v>
      </c>
      <c r="C462" t="s">
        <v>331</v>
      </c>
      <c r="D462" s="142">
        <v>45199</v>
      </c>
      <c r="E462">
        <v>122265</v>
      </c>
      <c r="H462" t="b">
        <v>0</v>
      </c>
      <c r="I462">
        <v>1</v>
      </c>
      <c r="J462" t="s">
        <v>462</v>
      </c>
      <c r="AN462">
        <v>-84</v>
      </c>
      <c r="AV462" t="s">
        <v>334</v>
      </c>
      <c r="AW462" t="s">
        <v>334</v>
      </c>
      <c r="BA462" t="s">
        <v>233</v>
      </c>
      <c r="BB462" t="s">
        <v>463</v>
      </c>
      <c r="BC462">
        <v>1</v>
      </c>
      <c r="BD46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62" t="str">
        <f>IF(GetCurrentMonthAging3[[#This Row],[InsGroupPrimary]]="","YES","NO")</f>
        <v>YES</v>
      </c>
      <c r="BF46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-84</v>
      </c>
    </row>
    <row r="463" spans="1:58" x14ac:dyDescent="0.25">
      <c r="A463" t="s">
        <v>103</v>
      </c>
      <c r="B463">
        <v>6</v>
      </c>
      <c r="C463" t="s">
        <v>331</v>
      </c>
      <c r="D463" s="142">
        <v>45199</v>
      </c>
      <c r="E463">
        <v>198349</v>
      </c>
      <c r="H463" t="b">
        <v>0</v>
      </c>
      <c r="I463">
        <v>1</v>
      </c>
      <c r="J463" t="s">
        <v>462</v>
      </c>
      <c r="AN463">
        <v>-5</v>
      </c>
      <c r="AV463" t="s">
        <v>334</v>
      </c>
      <c r="AW463" t="s">
        <v>334</v>
      </c>
      <c r="BA463" t="s">
        <v>233</v>
      </c>
      <c r="BB463" t="s">
        <v>463</v>
      </c>
      <c r="BC463">
        <v>1</v>
      </c>
      <c r="BD46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63" t="str">
        <f>IF(GetCurrentMonthAging3[[#This Row],[InsGroupPrimary]]="","YES","NO")</f>
        <v>YES</v>
      </c>
      <c r="BF46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v>
      </c>
    </row>
    <row r="464" spans="1:58" x14ac:dyDescent="0.25">
      <c r="A464" t="s">
        <v>103</v>
      </c>
      <c r="B464">
        <v>6</v>
      </c>
      <c r="C464" t="s">
        <v>331</v>
      </c>
      <c r="D464" s="142">
        <v>45199</v>
      </c>
      <c r="E464">
        <v>192556</v>
      </c>
      <c r="H464" t="b">
        <v>0</v>
      </c>
      <c r="I464">
        <v>1</v>
      </c>
      <c r="J464" t="s">
        <v>462</v>
      </c>
      <c r="AN464">
        <v>-5.75</v>
      </c>
      <c r="AV464" t="s">
        <v>334</v>
      </c>
      <c r="AW464" t="s">
        <v>334</v>
      </c>
      <c r="BA464" t="s">
        <v>233</v>
      </c>
      <c r="BB464" t="s">
        <v>463</v>
      </c>
      <c r="BC464">
        <v>1</v>
      </c>
      <c r="BD46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64" t="str">
        <f>IF(GetCurrentMonthAging3[[#This Row],[InsGroupPrimary]]="","YES","NO")</f>
        <v>YES</v>
      </c>
      <c r="BF46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-5.75</v>
      </c>
    </row>
    <row r="465" spans="1:58" x14ac:dyDescent="0.25">
      <c r="A465" t="s">
        <v>103</v>
      </c>
      <c r="B465">
        <v>6</v>
      </c>
      <c r="C465" t="s">
        <v>331</v>
      </c>
      <c r="D465" s="142">
        <v>45199</v>
      </c>
      <c r="E465">
        <v>41487</v>
      </c>
      <c r="H465" t="b">
        <v>0</v>
      </c>
      <c r="I465">
        <v>1</v>
      </c>
      <c r="J465" t="s">
        <v>462</v>
      </c>
      <c r="AN465">
        <v>-25</v>
      </c>
      <c r="AV465" t="s">
        <v>334</v>
      </c>
      <c r="AW465" t="s">
        <v>334</v>
      </c>
      <c r="BA465" t="s">
        <v>233</v>
      </c>
      <c r="BB465" t="s">
        <v>463</v>
      </c>
      <c r="BC465">
        <v>1</v>
      </c>
      <c r="BD46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65" t="str">
        <f>IF(GetCurrentMonthAging3[[#This Row],[InsGroupPrimary]]="","YES","NO")</f>
        <v>YES</v>
      </c>
      <c r="BF46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v>
      </c>
    </row>
    <row r="466" spans="1:58" x14ac:dyDescent="0.25">
      <c r="A466" t="s">
        <v>103</v>
      </c>
      <c r="B466">
        <v>6</v>
      </c>
      <c r="C466" t="s">
        <v>331</v>
      </c>
      <c r="D466" s="142">
        <v>45199</v>
      </c>
      <c r="E466">
        <v>104061</v>
      </c>
      <c r="H466" t="b">
        <v>0</v>
      </c>
      <c r="I466">
        <v>1</v>
      </c>
      <c r="J466" t="s">
        <v>462</v>
      </c>
      <c r="AN466">
        <v>-20</v>
      </c>
      <c r="AV466" t="s">
        <v>334</v>
      </c>
      <c r="AW466" t="s">
        <v>334</v>
      </c>
      <c r="BA466" t="s">
        <v>264</v>
      </c>
      <c r="BB466" t="s">
        <v>463</v>
      </c>
      <c r="BC466">
        <v>1</v>
      </c>
      <c r="BD46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66" t="str">
        <f>IF(GetCurrentMonthAging3[[#This Row],[InsGroupPrimary]]="","YES","NO")</f>
        <v>YES</v>
      </c>
      <c r="BF46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467" spans="1:58" x14ac:dyDescent="0.25">
      <c r="A467" t="s">
        <v>103</v>
      </c>
      <c r="B467">
        <v>6</v>
      </c>
      <c r="C467" t="s">
        <v>331</v>
      </c>
      <c r="D467" s="142">
        <v>45199</v>
      </c>
      <c r="E467">
        <v>129806</v>
      </c>
      <c r="H467" t="b">
        <v>0</v>
      </c>
      <c r="I467">
        <v>1</v>
      </c>
      <c r="J467" t="s">
        <v>462</v>
      </c>
      <c r="AN467">
        <v>-50.88</v>
      </c>
      <c r="AV467" t="s">
        <v>334</v>
      </c>
      <c r="AW467" t="s">
        <v>334</v>
      </c>
      <c r="BA467" t="s">
        <v>264</v>
      </c>
      <c r="BB467" t="s">
        <v>463</v>
      </c>
      <c r="BC467">
        <v>1</v>
      </c>
      <c r="BD46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67" t="str">
        <f>IF(GetCurrentMonthAging3[[#This Row],[InsGroupPrimary]]="","YES","NO")</f>
        <v>YES</v>
      </c>
      <c r="BF46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-50.88</v>
      </c>
    </row>
    <row r="468" spans="1:58" x14ac:dyDescent="0.25">
      <c r="A468" t="s">
        <v>100</v>
      </c>
      <c r="B468">
        <v>6</v>
      </c>
      <c r="C468" t="s">
        <v>331</v>
      </c>
      <c r="D468" s="142">
        <v>45199</v>
      </c>
      <c r="E468">
        <v>11633</v>
      </c>
      <c r="F468">
        <v>118545</v>
      </c>
      <c r="G468">
        <v>465731</v>
      </c>
      <c r="H468" t="b">
        <v>0</v>
      </c>
      <c r="I468">
        <v>4174</v>
      </c>
      <c r="J468" t="s">
        <v>422</v>
      </c>
      <c r="K468">
        <v>90</v>
      </c>
      <c r="L468">
        <v>90</v>
      </c>
      <c r="M468">
        <v>1</v>
      </c>
      <c r="N468">
        <v>0</v>
      </c>
      <c r="O468">
        <v>16.07</v>
      </c>
      <c r="P468">
        <v>40</v>
      </c>
      <c r="Q468">
        <v>-13.93</v>
      </c>
      <c r="R468">
        <v>0</v>
      </c>
      <c r="T468">
        <v>90</v>
      </c>
      <c r="U468">
        <v>0</v>
      </c>
      <c r="V468">
        <v>1</v>
      </c>
      <c r="W468">
        <v>0</v>
      </c>
      <c r="X468">
        <v>73.930000000000007</v>
      </c>
      <c r="Y468">
        <v>0</v>
      </c>
      <c r="Z468">
        <v>0</v>
      </c>
      <c r="AA468">
        <v>0</v>
      </c>
      <c r="AB468">
        <v>0</v>
      </c>
      <c r="AC468">
        <v>0</v>
      </c>
      <c r="AD468">
        <v>0</v>
      </c>
      <c r="AE468">
        <v>0</v>
      </c>
      <c r="AF468">
        <v>0</v>
      </c>
      <c r="AG468">
        <v>0</v>
      </c>
      <c r="AH468">
        <v>0</v>
      </c>
      <c r="AI468">
        <v>0</v>
      </c>
      <c r="AJ468">
        <v>0</v>
      </c>
      <c r="AK468">
        <v>0</v>
      </c>
      <c r="AL468">
        <v>0</v>
      </c>
      <c r="AM468">
        <v>0</v>
      </c>
      <c r="AN468">
        <v>-10</v>
      </c>
      <c r="AP468" t="s">
        <v>260</v>
      </c>
      <c r="AS468" t="s">
        <v>446</v>
      </c>
      <c r="AV468" t="s">
        <v>334</v>
      </c>
      <c r="AW468" t="s">
        <v>334</v>
      </c>
      <c r="AX468">
        <v>0</v>
      </c>
      <c r="AY468">
        <v>0</v>
      </c>
      <c r="AZ468" t="s">
        <v>264</v>
      </c>
      <c r="BA468" t="s">
        <v>264</v>
      </c>
      <c r="BB468" t="s">
        <v>411</v>
      </c>
      <c r="BC468">
        <v>8</v>
      </c>
      <c r="BD46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-10</v>
      </c>
      <c r="BE468" t="str">
        <f>IF(GetCurrentMonthAging3[[#This Row],[InsGroupPrimary]]="","YES","NO")</f>
        <v>NO</v>
      </c>
      <c r="BF46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v>
      </c>
    </row>
    <row r="469" spans="1:58" x14ac:dyDescent="0.25">
      <c r="A469" t="s">
        <v>100</v>
      </c>
      <c r="B469">
        <v>6</v>
      </c>
      <c r="C469" t="s">
        <v>331</v>
      </c>
      <c r="D469" s="142">
        <v>45199</v>
      </c>
      <c r="E469">
        <v>18142</v>
      </c>
      <c r="F469">
        <v>203442</v>
      </c>
      <c r="G469">
        <v>1004738</v>
      </c>
      <c r="H469" t="b">
        <v>0</v>
      </c>
      <c r="I469">
        <v>4028</v>
      </c>
      <c r="J469" t="s">
        <v>422</v>
      </c>
      <c r="K469">
        <v>90</v>
      </c>
      <c r="L469">
        <v>90</v>
      </c>
      <c r="M469">
        <v>1</v>
      </c>
      <c r="N469">
        <v>0</v>
      </c>
      <c r="O469">
        <v>20</v>
      </c>
      <c r="P469">
        <v>-40</v>
      </c>
      <c r="Q469">
        <v>40</v>
      </c>
      <c r="R469">
        <v>0</v>
      </c>
      <c r="T469">
        <v>90</v>
      </c>
      <c r="U469">
        <v>0</v>
      </c>
      <c r="V469">
        <v>1</v>
      </c>
      <c r="W469">
        <v>30</v>
      </c>
      <c r="X469">
        <v>40</v>
      </c>
      <c r="Y469">
        <v>0</v>
      </c>
      <c r="Z469">
        <v>0</v>
      </c>
      <c r="AA469">
        <v>0</v>
      </c>
      <c r="AB469">
        <v>0</v>
      </c>
      <c r="AC469">
        <v>0</v>
      </c>
      <c r="AD469">
        <v>0</v>
      </c>
      <c r="AE469">
        <v>0</v>
      </c>
      <c r="AF469">
        <v>0</v>
      </c>
      <c r="AG469">
        <v>0</v>
      </c>
      <c r="AH469">
        <v>0</v>
      </c>
      <c r="AI469">
        <v>0</v>
      </c>
      <c r="AJ469">
        <v>0</v>
      </c>
      <c r="AK469">
        <v>0</v>
      </c>
      <c r="AL469">
        <v>0</v>
      </c>
      <c r="AM469">
        <v>0</v>
      </c>
      <c r="AN469">
        <v>20</v>
      </c>
      <c r="AP469" t="s">
        <v>265</v>
      </c>
      <c r="AS469" t="s">
        <v>425</v>
      </c>
      <c r="AV469" t="s">
        <v>334</v>
      </c>
      <c r="AW469" t="s">
        <v>334</v>
      </c>
      <c r="AX469">
        <v>0</v>
      </c>
      <c r="AY469">
        <v>0</v>
      </c>
      <c r="AZ469" t="s">
        <v>264</v>
      </c>
      <c r="BA469" t="s">
        <v>264</v>
      </c>
      <c r="BB469" t="s">
        <v>411</v>
      </c>
      <c r="BC469">
        <v>8</v>
      </c>
      <c r="BD46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20</v>
      </c>
      <c r="BE469" t="str">
        <f>IF(GetCurrentMonthAging3[[#This Row],[InsGroupPrimary]]="","YES","NO")</f>
        <v>NO</v>
      </c>
      <c r="BF46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470" spans="1:58" x14ac:dyDescent="0.25">
      <c r="A470" t="s">
        <v>103</v>
      </c>
      <c r="B470">
        <v>6</v>
      </c>
      <c r="C470" t="s">
        <v>331</v>
      </c>
      <c r="D470" s="142">
        <v>45199</v>
      </c>
      <c r="E470">
        <v>45156</v>
      </c>
      <c r="H470" t="b">
        <v>0</v>
      </c>
      <c r="I470">
        <v>1</v>
      </c>
      <c r="J470" t="s">
        <v>462</v>
      </c>
      <c r="AN470">
        <v>-47</v>
      </c>
      <c r="AV470" t="s">
        <v>334</v>
      </c>
      <c r="AW470" t="s">
        <v>334</v>
      </c>
      <c r="BA470" t="s">
        <v>264</v>
      </c>
      <c r="BB470" t="s">
        <v>463</v>
      </c>
      <c r="BC470">
        <v>1</v>
      </c>
      <c r="BD47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70" t="str">
        <f>IF(GetCurrentMonthAging3[[#This Row],[InsGroupPrimary]]="","YES","NO")</f>
        <v>YES</v>
      </c>
      <c r="BF47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-47</v>
      </c>
    </row>
    <row r="471" spans="1:58" x14ac:dyDescent="0.25">
      <c r="A471" t="s">
        <v>103</v>
      </c>
      <c r="B471">
        <v>6</v>
      </c>
      <c r="C471" t="s">
        <v>331</v>
      </c>
      <c r="D471" s="142">
        <v>45199</v>
      </c>
      <c r="E471">
        <v>143109</v>
      </c>
      <c r="H471" t="b">
        <v>0</v>
      </c>
      <c r="I471">
        <v>1</v>
      </c>
      <c r="J471" t="s">
        <v>462</v>
      </c>
      <c r="AN471">
        <v>-35</v>
      </c>
      <c r="AV471" t="s">
        <v>334</v>
      </c>
      <c r="AW471" t="s">
        <v>334</v>
      </c>
      <c r="BA471" t="s">
        <v>233</v>
      </c>
      <c r="BB471" t="s">
        <v>463</v>
      </c>
      <c r="BC471">
        <v>1</v>
      </c>
      <c r="BD47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71" t="str">
        <f>IF(GetCurrentMonthAging3[[#This Row],[InsGroupPrimary]]="","YES","NO")</f>
        <v>YES</v>
      </c>
      <c r="BF47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-35</v>
      </c>
    </row>
    <row r="472" spans="1:58" x14ac:dyDescent="0.25">
      <c r="A472" t="s">
        <v>103</v>
      </c>
      <c r="B472">
        <v>6</v>
      </c>
      <c r="C472" t="s">
        <v>331</v>
      </c>
      <c r="D472" s="142">
        <v>45199</v>
      </c>
      <c r="E472">
        <v>51542</v>
      </c>
      <c r="H472" t="b">
        <v>0</v>
      </c>
      <c r="I472">
        <v>1</v>
      </c>
      <c r="J472" t="s">
        <v>462</v>
      </c>
      <c r="AN472">
        <v>-114</v>
      </c>
      <c r="AV472" t="s">
        <v>334</v>
      </c>
      <c r="AW472" t="s">
        <v>334</v>
      </c>
      <c r="BA472" t="s">
        <v>233</v>
      </c>
      <c r="BB472" t="s">
        <v>463</v>
      </c>
      <c r="BC472">
        <v>1</v>
      </c>
      <c r="BD47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72" t="str">
        <f>IF(GetCurrentMonthAging3[[#This Row],[InsGroupPrimary]]="","YES","NO")</f>
        <v>YES</v>
      </c>
      <c r="BF47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-114</v>
      </c>
    </row>
    <row r="473" spans="1:58" x14ac:dyDescent="0.25">
      <c r="A473" t="s">
        <v>103</v>
      </c>
      <c r="B473">
        <v>6</v>
      </c>
      <c r="C473" t="s">
        <v>331</v>
      </c>
      <c r="D473" s="142">
        <v>45199</v>
      </c>
      <c r="E473">
        <v>104209</v>
      </c>
      <c r="H473" t="b">
        <v>0</v>
      </c>
      <c r="I473">
        <v>1</v>
      </c>
      <c r="J473" t="s">
        <v>462</v>
      </c>
      <c r="AN473">
        <v>-25</v>
      </c>
      <c r="AV473" t="s">
        <v>334</v>
      </c>
      <c r="AW473" t="s">
        <v>334</v>
      </c>
      <c r="BA473" t="s">
        <v>264</v>
      </c>
      <c r="BB473" t="s">
        <v>463</v>
      </c>
      <c r="BC473">
        <v>1</v>
      </c>
      <c r="BD47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73" t="str">
        <f>IF(GetCurrentMonthAging3[[#This Row],[InsGroupPrimary]]="","YES","NO")</f>
        <v>YES</v>
      </c>
      <c r="BF47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v>
      </c>
    </row>
    <row r="474" spans="1:58" x14ac:dyDescent="0.25">
      <c r="A474" t="s">
        <v>103</v>
      </c>
      <c r="B474">
        <v>6</v>
      </c>
      <c r="C474" t="s">
        <v>331</v>
      </c>
      <c r="D474" s="142">
        <v>45199</v>
      </c>
      <c r="E474">
        <v>90276</v>
      </c>
      <c r="H474" t="b">
        <v>0</v>
      </c>
      <c r="I474">
        <v>1</v>
      </c>
      <c r="J474" t="s">
        <v>462</v>
      </c>
      <c r="AN474">
        <v>-2.52</v>
      </c>
      <c r="AV474" t="s">
        <v>334</v>
      </c>
      <c r="AW474" t="s">
        <v>334</v>
      </c>
      <c r="BA474" t="s">
        <v>264</v>
      </c>
      <c r="BB474" t="s">
        <v>463</v>
      </c>
      <c r="BC474">
        <v>1</v>
      </c>
      <c r="BD47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74" t="str">
        <f>IF(GetCurrentMonthAging3[[#This Row],[InsGroupPrimary]]="","YES","NO")</f>
        <v>YES</v>
      </c>
      <c r="BF47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-2.52</v>
      </c>
    </row>
    <row r="475" spans="1:58" x14ac:dyDescent="0.25">
      <c r="A475" t="s">
        <v>103</v>
      </c>
      <c r="B475">
        <v>6</v>
      </c>
      <c r="C475" t="s">
        <v>331</v>
      </c>
      <c r="D475" s="142">
        <v>45199</v>
      </c>
      <c r="E475">
        <v>53633</v>
      </c>
      <c r="H475" t="b">
        <v>0</v>
      </c>
      <c r="I475">
        <v>1</v>
      </c>
      <c r="J475" t="s">
        <v>462</v>
      </c>
      <c r="AN475">
        <v>-40</v>
      </c>
      <c r="AV475" t="s">
        <v>334</v>
      </c>
      <c r="AW475" t="s">
        <v>334</v>
      </c>
      <c r="BA475" t="s">
        <v>233</v>
      </c>
      <c r="BB475" t="s">
        <v>463</v>
      </c>
      <c r="BC475">
        <v>1</v>
      </c>
      <c r="BD47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75" t="str">
        <f>IF(GetCurrentMonthAging3[[#This Row],[InsGroupPrimary]]="","YES","NO")</f>
        <v>YES</v>
      </c>
      <c r="BF47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476" spans="1:58" x14ac:dyDescent="0.25">
      <c r="A476" t="s">
        <v>103</v>
      </c>
      <c r="B476">
        <v>6</v>
      </c>
      <c r="C476" t="s">
        <v>331</v>
      </c>
      <c r="D476" s="142">
        <v>45199</v>
      </c>
      <c r="E476">
        <v>51343</v>
      </c>
      <c r="H476" t="b">
        <v>0</v>
      </c>
      <c r="I476">
        <v>1</v>
      </c>
      <c r="J476" t="s">
        <v>462</v>
      </c>
      <c r="AN476">
        <v>-45</v>
      </c>
      <c r="AV476" t="s">
        <v>334</v>
      </c>
      <c r="AW476" t="s">
        <v>334</v>
      </c>
      <c r="BA476" t="s">
        <v>264</v>
      </c>
      <c r="BB476" t="s">
        <v>463</v>
      </c>
      <c r="BC476">
        <v>1</v>
      </c>
      <c r="BD47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76" t="str">
        <f>IF(GetCurrentMonthAging3[[#This Row],[InsGroupPrimary]]="","YES","NO")</f>
        <v>YES</v>
      </c>
      <c r="BF47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-45</v>
      </c>
    </row>
    <row r="477" spans="1:58" x14ac:dyDescent="0.25">
      <c r="A477" t="s">
        <v>103</v>
      </c>
      <c r="B477">
        <v>6</v>
      </c>
      <c r="C477" t="s">
        <v>331</v>
      </c>
      <c r="D477" s="142">
        <v>45199</v>
      </c>
      <c r="E477">
        <v>78053</v>
      </c>
      <c r="H477" t="b">
        <v>0</v>
      </c>
      <c r="I477">
        <v>1</v>
      </c>
      <c r="J477" t="s">
        <v>462</v>
      </c>
      <c r="AN477">
        <v>-120</v>
      </c>
      <c r="AV477" t="s">
        <v>334</v>
      </c>
      <c r="AW477" t="s">
        <v>334</v>
      </c>
      <c r="BA477" t="s">
        <v>233</v>
      </c>
      <c r="BB477" t="s">
        <v>463</v>
      </c>
      <c r="BC477">
        <v>1</v>
      </c>
      <c r="BD47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77" t="str">
        <f>IF(GetCurrentMonthAging3[[#This Row],[InsGroupPrimary]]="","YES","NO")</f>
        <v>YES</v>
      </c>
      <c r="BF47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-120</v>
      </c>
    </row>
    <row r="478" spans="1:58" x14ac:dyDescent="0.25">
      <c r="A478" t="s">
        <v>103</v>
      </c>
      <c r="B478">
        <v>6</v>
      </c>
      <c r="C478" t="s">
        <v>331</v>
      </c>
      <c r="D478" s="142">
        <v>45199</v>
      </c>
      <c r="E478">
        <v>42739</v>
      </c>
      <c r="H478" t="b">
        <v>0</v>
      </c>
      <c r="I478">
        <v>1</v>
      </c>
      <c r="J478" t="s">
        <v>462</v>
      </c>
      <c r="AN478">
        <v>-18.54</v>
      </c>
      <c r="AV478" t="s">
        <v>334</v>
      </c>
      <c r="AW478" t="s">
        <v>334</v>
      </c>
      <c r="BA478" t="s">
        <v>233</v>
      </c>
      <c r="BB478" t="s">
        <v>463</v>
      </c>
      <c r="BC478">
        <v>1</v>
      </c>
      <c r="BD47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78" t="str">
        <f>IF(GetCurrentMonthAging3[[#This Row],[InsGroupPrimary]]="","YES","NO")</f>
        <v>YES</v>
      </c>
      <c r="BF47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-18.54</v>
      </c>
    </row>
    <row r="479" spans="1:58" x14ac:dyDescent="0.25">
      <c r="A479" t="s">
        <v>103</v>
      </c>
      <c r="B479">
        <v>6</v>
      </c>
      <c r="C479" t="s">
        <v>331</v>
      </c>
      <c r="D479" s="142">
        <v>45199</v>
      </c>
      <c r="E479">
        <v>237177</v>
      </c>
      <c r="H479" t="b">
        <v>0</v>
      </c>
      <c r="I479">
        <v>1</v>
      </c>
      <c r="J479" t="s">
        <v>462</v>
      </c>
      <c r="AN479">
        <v>-1.44</v>
      </c>
      <c r="AV479" t="s">
        <v>334</v>
      </c>
      <c r="AW479" t="s">
        <v>334</v>
      </c>
      <c r="BA479" t="s">
        <v>264</v>
      </c>
      <c r="BB479" t="s">
        <v>463</v>
      </c>
      <c r="BC479">
        <v>1</v>
      </c>
      <c r="BD47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79" t="str">
        <f>IF(GetCurrentMonthAging3[[#This Row],[InsGroupPrimary]]="","YES","NO")</f>
        <v>YES</v>
      </c>
      <c r="BF47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-1.44</v>
      </c>
    </row>
    <row r="480" spans="1:58" x14ac:dyDescent="0.25">
      <c r="A480" t="s">
        <v>103</v>
      </c>
      <c r="B480">
        <v>6</v>
      </c>
      <c r="C480" t="s">
        <v>331</v>
      </c>
      <c r="D480" s="142">
        <v>45199</v>
      </c>
      <c r="E480">
        <v>244546</v>
      </c>
      <c r="H480" t="b">
        <v>0</v>
      </c>
      <c r="I480">
        <v>1</v>
      </c>
      <c r="J480" t="s">
        <v>462</v>
      </c>
      <c r="AN480">
        <v>-15.75</v>
      </c>
      <c r="AV480" t="s">
        <v>334</v>
      </c>
      <c r="AW480" t="s">
        <v>334</v>
      </c>
      <c r="BA480" t="s">
        <v>233</v>
      </c>
      <c r="BB480" t="s">
        <v>463</v>
      </c>
      <c r="BC480">
        <v>1</v>
      </c>
      <c r="BD48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80" t="str">
        <f>IF(GetCurrentMonthAging3[[#This Row],[InsGroupPrimary]]="","YES","NO")</f>
        <v>YES</v>
      </c>
      <c r="BF48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-15.75</v>
      </c>
    </row>
    <row r="481" spans="1:58" x14ac:dyDescent="0.25">
      <c r="A481" t="s">
        <v>103</v>
      </c>
      <c r="B481">
        <v>6</v>
      </c>
      <c r="C481" t="s">
        <v>331</v>
      </c>
      <c r="D481" s="142">
        <v>45199</v>
      </c>
      <c r="E481">
        <v>106643</v>
      </c>
      <c r="H481" t="b">
        <v>0</v>
      </c>
      <c r="I481">
        <v>1</v>
      </c>
      <c r="J481" t="s">
        <v>462</v>
      </c>
      <c r="AN481">
        <v>-125</v>
      </c>
      <c r="AV481" t="s">
        <v>334</v>
      </c>
      <c r="AW481" t="s">
        <v>334</v>
      </c>
      <c r="BA481" t="s">
        <v>233</v>
      </c>
      <c r="BB481" t="s">
        <v>463</v>
      </c>
      <c r="BC481">
        <v>1</v>
      </c>
      <c r="BD48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81" t="str">
        <f>IF(GetCurrentMonthAging3[[#This Row],[InsGroupPrimary]]="","YES","NO")</f>
        <v>YES</v>
      </c>
      <c r="BF48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-125</v>
      </c>
    </row>
    <row r="482" spans="1:58" x14ac:dyDescent="0.25">
      <c r="A482" t="s">
        <v>103</v>
      </c>
      <c r="B482">
        <v>6</v>
      </c>
      <c r="C482" t="s">
        <v>331</v>
      </c>
      <c r="D482" s="142">
        <v>45199</v>
      </c>
      <c r="E482">
        <v>226202</v>
      </c>
      <c r="H482" t="b">
        <v>0</v>
      </c>
      <c r="I482">
        <v>1</v>
      </c>
      <c r="J482" t="s">
        <v>462</v>
      </c>
      <c r="AN482">
        <v>-91.34</v>
      </c>
      <c r="AV482" t="s">
        <v>334</v>
      </c>
      <c r="AW482" t="s">
        <v>334</v>
      </c>
      <c r="BA482" t="s">
        <v>233</v>
      </c>
      <c r="BB482" t="s">
        <v>463</v>
      </c>
      <c r="BC482">
        <v>1</v>
      </c>
      <c r="BD48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82" t="str">
        <f>IF(GetCurrentMonthAging3[[#This Row],[InsGroupPrimary]]="","YES","NO")</f>
        <v>YES</v>
      </c>
      <c r="BF48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-91.34</v>
      </c>
    </row>
    <row r="483" spans="1:58" x14ac:dyDescent="0.25">
      <c r="A483" t="s">
        <v>103</v>
      </c>
      <c r="B483">
        <v>6</v>
      </c>
      <c r="C483" t="s">
        <v>331</v>
      </c>
      <c r="D483" s="142">
        <v>45199</v>
      </c>
      <c r="E483">
        <v>95319</v>
      </c>
      <c r="H483" t="b">
        <v>0</v>
      </c>
      <c r="I483">
        <v>1</v>
      </c>
      <c r="J483" t="s">
        <v>462</v>
      </c>
      <c r="AN483">
        <v>-30</v>
      </c>
      <c r="AV483" t="s">
        <v>334</v>
      </c>
      <c r="AW483" t="s">
        <v>334</v>
      </c>
      <c r="BA483" t="s">
        <v>264</v>
      </c>
      <c r="BB483" t="s">
        <v>463</v>
      </c>
      <c r="BC483">
        <v>1</v>
      </c>
      <c r="BD48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83" t="str">
        <f>IF(GetCurrentMonthAging3[[#This Row],[InsGroupPrimary]]="","YES","NO")</f>
        <v>YES</v>
      </c>
      <c r="BF48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-30</v>
      </c>
    </row>
    <row r="484" spans="1:58" x14ac:dyDescent="0.25">
      <c r="A484" t="s">
        <v>103</v>
      </c>
      <c r="B484">
        <v>6</v>
      </c>
      <c r="C484" t="s">
        <v>331</v>
      </c>
      <c r="D484" s="142">
        <v>45199</v>
      </c>
      <c r="E484">
        <v>84273</v>
      </c>
      <c r="H484" t="b">
        <v>0</v>
      </c>
      <c r="I484">
        <v>1</v>
      </c>
      <c r="J484" t="s">
        <v>462</v>
      </c>
      <c r="AN484">
        <v>-96.5</v>
      </c>
      <c r="AV484" t="s">
        <v>334</v>
      </c>
      <c r="AW484" t="s">
        <v>334</v>
      </c>
      <c r="BA484" t="s">
        <v>233</v>
      </c>
      <c r="BB484" t="s">
        <v>463</v>
      </c>
      <c r="BC484">
        <v>1</v>
      </c>
      <c r="BD48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84" t="str">
        <f>IF(GetCurrentMonthAging3[[#This Row],[InsGroupPrimary]]="","YES","NO")</f>
        <v>YES</v>
      </c>
      <c r="BF48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-96.5</v>
      </c>
    </row>
    <row r="485" spans="1:58" x14ac:dyDescent="0.25">
      <c r="A485" t="s">
        <v>103</v>
      </c>
      <c r="B485">
        <v>6</v>
      </c>
      <c r="C485" t="s">
        <v>331</v>
      </c>
      <c r="D485" s="142">
        <v>45199</v>
      </c>
      <c r="E485">
        <v>66982</v>
      </c>
      <c r="H485" t="b">
        <v>0</v>
      </c>
      <c r="I485">
        <v>1</v>
      </c>
      <c r="J485" t="s">
        <v>462</v>
      </c>
      <c r="AN485">
        <v>-19.600000000000001</v>
      </c>
      <c r="AV485" t="s">
        <v>334</v>
      </c>
      <c r="AW485" t="s">
        <v>334</v>
      </c>
      <c r="BA485" t="s">
        <v>264</v>
      </c>
      <c r="BB485" t="s">
        <v>463</v>
      </c>
      <c r="BC485">
        <v>1</v>
      </c>
      <c r="BD48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85" t="str">
        <f>IF(GetCurrentMonthAging3[[#This Row],[InsGroupPrimary]]="","YES","NO")</f>
        <v>YES</v>
      </c>
      <c r="BF48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-19.600000000000001</v>
      </c>
    </row>
    <row r="486" spans="1:58" x14ac:dyDescent="0.25">
      <c r="A486" t="s">
        <v>103</v>
      </c>
      <c r="B486">
        <v>6</v>
      </c>
      <c r="C486" t="s">
        <v>331</v>
      </c>
      <c r="D486" s="142">
        <v>45199</v>
      </c>
      <c r="E486">
        <v>222059</v>
      </c>
      <c r="H486" t="b">
        <v>0</v>
      </c>
      <c r="I486">
        <v>1</v>
      </c>
      <c r="J486" t="s">
        <v>462</v>
      </c>
      <c r="AN486">
        <v>-37.44</v>
      </c>
      <c r="AV486" t="s">
        <v>334</v>
      </c>
      <c r="AW486" t="s">
        <v>334</v>
      </c>
      <c r="BA486" t="s">
        <v>264</v>
      </c>
      <c r="BB486" t="s">
        <v>463</v>
      </c>
      <c r="BC486">
        <v>1</v>
      </c>
      <c r="BD48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86" t="str">
        <f>IF(GetCurrentMonthAging3[[#This Row],[InsGroupPrimary]]="","YES","NO")</f>
        <v>YES</v>
      </c>
      <c r="BF48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-37.44</v>
      </c>
    </row>
    <row r="487" spans="1:58" x14ac:dyDescent="0.25">
      <c r="A487" t="s">
        <v>103</v>
      </c>
      <c r="B487">
        <v>6</v>
      </c>
      <c r="C487" t="s">
        <v>331</v>
      </c>
      <c r="D487" s="142">
        <v>45199</v>
      </c>
      <c r="E487">
        <v>57806</v>
      </c>
      <c r="H487" t="b">
        <v>0</v>
      </c>
      <c r="I487">
        <v>1</v>
      </c>
      <c r="J487" t="s">
        <v>462</v>
      </c>
      <c r="AN487">
        <v>-15</v>
      </c>
      <c r="AV487" t="s">
        <v>334</v>
      </c>
      <c r="AW487" t="s">
        <v>334</v>
      </c>
      <c r="BA487" t="s">
        <v>233</v>
      </c>
      <c r="BB487" t="s">
        <v>463</v>
      </c>
      <c r="BC487">
        <v>1</v>
      </c>
      <c r="BD48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87" t="str">
        <f>IF(GetCurrentMonthAging3[[#This Row],[InsGroupPrimary]]="","YES","NO")</f>
        <v>YES</v>
      </c>
      <c r="BF48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v>
      </c>
    </row>
    <row r="488" spans="1:58" x14ac:dyDescent="0.25">
      <c r="A488" t="s">
        <v>103</v>
      </c>
      <c r="B488">
        <v>6</v>
      </c>
      <c r="C488" t="s">
        <v>331</v>
      </c>
      <c r="D488" s="142">
        <v>45199</v>
      </c>
      <c r="E488">
        <v>74119</v>
      </c>
      <c r="H488" t="b">
        <v>0</v>
      </c>
      <c r="I488">
        <v>1</v>
      </c>
      <c r="J488" t="s">
        <v>462</v>
      </c>
      <c r="AN488">
        <v>-35</v>
      </c>
      <c r="AV488" t="s">
        <v>334</v>
      </c>
      <c r="AW488" t="s">
        <v>334</v>
      </c>
      <c r="BA488" t="s">
        <v>264</v>
      </c>
      <c r="BB488" t="s">
        <v>463</v>
      </c>
      <c r="BC488">
        <v>1</v>
      </c>
      <c r="BD48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88" t="str">
        <f>IF(GetCurrentMonthAging3[[#This Row],[InsGroupPrimary]]="","YES","NO")</f>
        <v>YES</v>
      </c>
      <c r="BF48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-35</v>
      </c>
    </row>
    <row r="489" spans="1:58" x14ac:dyDescent="0.25">
      <c r="A489" t="s">
        <v>103</v>
      </c>
      <c r="B489">
        <v>6</v>
      </c>
      <c r="C489" t="s">
        <v>331</v>
      </c>
      <c r="D489" s="142">
        <v>45199</v>
      </c>
      <c r="E489">
        <v>203068</v>
      </c>
      <c r="H489" t="b">
        <v>0</v>
      </c>
      <c r="I489">
        <v>1</v>
      </c>
      <c r="J489" t="s">
        <v>462</v>
      </c>
      <c r="AN489">
        <v>-27.87</v>
      </c>
      <c r="AV489" t="s">
        <v>334</v>
      </c>
      <c r="AW489" t="s">
        <v>334</v>
      </c>
      <c r="BA489" t="s">
        <v>264</v>
      </c>
      <c r="BB489" t="s">
        <v>463</v>
      </c>
      <c r="BC489">
        <v>1</v>
      </c>
      <c r="BD48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89" t="str">
        <f>IF(GetCurrentMonthAging3[[#This Row],[InsGroupPrimary]]="","YES","NO")</f>
        <v>YES</v>
      </c>
      <c r="BF48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-27.87</v>
      </c>
    </row>
    <row r="490" spans="1:58" x14ac:dyDescent="0.25">
      <c r="A490" t="s">
        <v>103</v>
      </c>
      <c r="B490">
        <v>6</v>
      </c>
      <c r="C490" t="s">
        <v>331</v>
      </c>
      <c r="D490" s="142">
        <v>45199</v>
      </c>
      <c r="E490">
        <v>35543</v>
      </c>
      <c r="H490" t="b">
        <v>0</v>
      </c>
      <c r="I490">
        <v>1</v>
      </c>
      <c r="J490" t="s">
        <v>462</v>
      </c>
      <c r="AN490">
        <v>-285</v>
      </c>
      <c r="AV490" t="s">
        <v>334</v>
      </c>
      <c r="AW490" t="s">
        <v>334</v>
      </c>
      <c r="BA490" t="s">
        <v>233</v>
      </c>
      <c r="BB490" t="s">
        <v>463</v>
      </c>
      <c r="BC490">
        <v>1</v>
      </c>
      <c r="BD49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90" t="str">
        <f>IF(GetCurrentMonthAging3[[#This Row],[InsGroupPrimary]]="","YES","NO")</f>
        <v>YES</v>
      </c>
      <c r="BF49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-285</v>
      </c>
    </row>
    <row r="491" spans="1:58" x14ac:dyDescent="0.25">
      <c r="A491" t="s">
        <v>103</v>
      </c>
      <c r="B491">
        <v>6</v>
      </c>
      <c r="C491" t="s">
        <v>331</v>
      </c>
      <c r="D491" s="142">
        <v>45199</v>
      </c>
      <c r="E491">
        <v>121319</v>
      </c>
      <c r="H491" t="b">
        <v>0</v>
      </c>
      <c r="I491">
        <v>1</v>
      </c>
      <c r="J491" t="s">
        <v>462</v>
      </c>
      <c r="AN491">
        <v>-91</v>
      </c>
      <c r="AV491" t="s">
        <v>334</v>
      </c>
      <c r="AW491" t="s">
        <v>334</v>
      </c>
      <c r="BA491" t="s">
        <v>233</v>
      </c>
      <c r="BB491" t="s">
        <v>463</v>
      </c>
      <c r="BC491">
        <v>1</v>
      </c>
      <c r="BD49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91" t="str">
        <f>IF(GetCurrentMonthAging3[[#This Row],[InsGroupPrimary]]="","YES","NO")</f>
        <v>YES</v>
      </c>
      <c r="BF49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-91</v>
      </c>
    </row>
    <row r="492" spans="1:58" x14ac:dyDescent="0.25">
      <c r="A492" t="s">
        <v>103</v>
      </c>
      <c r="B492">
        <v>6</v>
      </c>
      <c r="C492" t="s">
        <v>331</v>
      </c>
      <c r="D492" s="142">
        <v>45199</v>
      </c>
      <c r="E492">
        <v>6091</v>
      </c>
      <c r="H492" t="b">
        <v>0</v>
      </c>
      <c r="I492">
        <v>1</v>
      </c>
      <c r="J492" t="s">
        <v>462</v>
      </c>
      <c r="AN492">
        <v>-82.34</v>
      </c>
      <c r="AV492" t="s">
        <v>334</v>
      </c>
      <c r="AW492" t="s">
        <v>334</v>
      </c>
      <c r="BA492" t="s">
        <v>233</v>
      </c>
      <c r="BB492" t="s">
        <v>463</v>
      </c>
      <c r="BC492">
        <v>1</v>
      </c>
      <c r="BD49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92" t="str">
        <f>IF(GetCurrentMonthAging3[[#This Row],[InsGroupPrimary]]="","YES","NO")</f>
        <v>YES</v>
      </c>
      <c r="BF49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-82.34</v>
      </c>
    </row>
    <row r="493" spans="1:58" x14ac:dyDescent="0.25">
      <c r="A493" t="s">
        <v>103</v>
      </c>
      <c r="B493">
        <v>6</v>
      </c>
      <c r="C493" t="s">
        <v>331</v>
      </c>
      <c r="D493" s="142">
        <v>45199</v>
      </c>
      <c r="E493">
        <v>114292</v>
      </c>
      <c r="H493" t="b">
        <v>0</v>
      </c>
      <c r="I493">
        <v>1</v>
      </c>
      <c r="J493" t="s">
        <v>462</v>
      </c>
      <c r="AN493">
        <v>-5.5</v>
      </c>
      <c r="AV493" t="s">
        <v>334</v>
      </c>
      <c r="AW493" t="s">
        <v>334</v>
      </c>
      <c r="BA493" t="s">
        <v>264</v>
      </c>
      <c r="BB493" t="s">
        <v>463</v>
      </c>
      <c r="BC493">
        <v>1</v>
      </c>
      <c r="BD49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93" t="str">
        <f>IF(GetCurrentMonthAging3[[#This Row],[InsGroupPrimary]]="","YES","NO")</f>
        <v>YES</v>
      </c>
      <c r="BF49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-5.5</v>
      </c>
    </row>
    <row r="494" spans="1:58" x14ac:dyDescent="0.25">
      <c r="A494" t="s">
        <v>103</v>
      </c>
      <c r="B494">
        <v>6</v>
      </c>
      <c r="C494" t="s">
        <v>331</v>
      </c>
      <c r="D494" s="142">
        <v>45199</v>
      </c>
      <c r="E494">
        <v>104789</v>
      </c>
      <c r="H494" t="b">
        <v>0</v>
      </c>
      <c r="I494">
        <v>1</v>
      </c>
      <c r="J494" t="s">
        <v>462</v>
      </c>
      <c r="AN494">
        <v>-180</v>
      </c>
      <c r="AV494" t="s">
        <v>334</v>
      </c>
      <c r="AW494" t="s">
        <v>334</v>
      </c>
      <c r="BA494" t="s">
        <v>264</v>
      </c>
      <c r="BB494" t="s">
        <v>463</v>
      </c>
      <c r="BC494">
        <v>1</v>
      </c>
      <c r="BD49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94" t="str">
        <f>IF(GetCurrentMonthAging3[[#This Row],[InsGroupPrimary]]="","YES","NO")</f>
        <v>YES</v>
      </c>
      <c r="BF49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-180</v>
      </c>
    </row>
    <row r="495" spans="1:58" x14ac:dyDescent="0.25">
      <c r="A495" t="s">
        <v>103</v>
      </c>
      <c r="B495">
        <v>6</v>
      </c>
      <c r="C495" t="s">
        <v>331</v>
      </c>
      <c r="D495" s="142">
        <v>45199</v>
      </c>
      <c r="E495">
        <v>42230</v>
      </c>
      <c r="H495" t="b">
        <v>0</v>
      </c>
      <c r="I495">
        <v>1</v>
      </c>
      <c r="J495" t="s">
        <v>462</v>
      </c>
      <c r="AN495">
        <v>-100</v>
      </c>
      <c r="AV495" t="s">
        <v>334</v>
      </c>
      <c r="AW495" t="s">
        <v>334</v>
      </c>
      <c r="BA495" t="s">
        <v>233</v>
      </c>
      <c r="BB495" t="s">
        <v>463</v>
      </c>
      <c r="BC495">
        <v>1</v>
      </c>
      <c r="BD49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95" t="str">
        <f>IF(GetCurrentMonthAging3[[#This Row],[InsGroupPrimary]]="","YES","NO")</f>
        <v>YES</v>
      </c>
      <c r="BF49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-100</v>
      </c>
    </row>
    <row r="496" spans="1:58" x14ac:dyDescent="0.25">
      <c r="A496" t="s">
        <v>103</v>
      </c>
      <c r="B496">
        <v>6</v>
      </c>
      <c r="C496" t="s">
        <v>331</v>
      </c>
      <c r="D496" s="142">
        <v>45199</v>
      </c>
      <c r="E496">
        <v>240438</v>
      </c>
      <c r="H496" t="b">
        <v>0</v>
      </c>
      <c r="I496">
        <v>1</v>
      </c>
      <c r="J496" t="s">
        <v>462</v>
      </c>
      <c r="AN496">
        <v>-105.25</v>
      </c>
      <c r="AV496" t="s">
        <v>334</v>
      </c>
      <c r="AW496" t="s">
        <v>334</v>
      </c>
      <c r="BA496" t="s">
        <v>264</v>
      </c>
      <c r="BB496" t="s">
        <v>463</v>
      </c>
      <c r="BC496">
        <v>1</v>
      </c>
      <c r="BD49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96" t="str">
        <f>IF(GetCurrentMonthAging3[[#This Row],[InsGroupPrimary]]="","YES","NO")</f>
        <v>YES</v>
      </c>
      <c r="BF49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-105.25</v>
      </c>
    </row>
    <row r="497" spans="1:58" x14ac:dyDescent="0.25">
      <c r="A497" t="s">
        <v>103</v>
      </c>
      <c r="B497">
        <v>6</v>
      </c>
      <c r="C497" t="s">
        <v>331</v>
      </c>
      <c r="D497" s="142">
        <v>45199</v>
      </c>
      <c r="E497">
        <v>193844</v>
      </c>
      <c r="H497" t="b">
        <v>0</v>
      </c>
      <c r="I497">
        <v>1</v>
      </c>
      <c r="J497" t="s">
        <v>462</v>
      </c>
      <c r="AN497">
        <v>-3.45</v>
      </c>
      <c r="AV497" t="s">
        <v>334</v>
      </c>
      <c r="AW497" t="s">
        <v>334</v>
      </c>
      <c r="BA497" t="s">
        <v>264</v>
      </c>
      <c r="BB497" t="s">
        <v>463</v>
      </c>
      <c r="BC497">
        <v>1</v>
      </c>
      <c r="BD49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97" t="str">
        <f>IF(GetCurrentMonthAging3[[#This Row],[InsGroupPrimary]]="","YES","NO")</f>
        <v>YES</v>
      </c>
      <c r="BF49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-3.45</v>
      </c>
    </row>
    <row r="498" spans="1:58" x14ac:dyDescent="0.25">
      <c r="A498" t="s">
        <v>103</v>
      </c>
      <c r="B498">
        <v>6</v>
      </c>
      <c r="C498" t="s">
        <v>331</v>
      </c>
      <c r="D498" s="142">
        <v>45199</v>
      </c>
      <c r="E498">
        <v>32330</v>
      </c>
      <c r="H498" t="b">
        <v>0</v>
      </c>
      <c r="I498">
        <v>1</v>
      </c>
      <c r="J498" t="s">
        <v>462</v>
      </c>
      <c r="AN498">
        <v>-20</v>
      </c>
      <c r="AV498" t="s">
        <v>334</v>
      </c>
      <c r="AW498" t="s">
        <v>334</v>
      </c>
      <c r="BA498" t="s">
        <v>233</v>
      </c>
      <c r="BB498" t="s">
        <v>463</v>
      </c>
      <c r="BC498">
        <v>1</v>
      </c>
      <c r="BD49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98" t="str">
        <f>IF(GetCurrentMonthAging3[[#This Row],[InsGroupPrimary]]="","YES","NO")</f>
        <v>YES</v>
      </c>
      <c r="BF49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499" spans="1:58" x14ac:dyDescent="0.25">
      <c r="A499" t="s">
        <v>103</v>
      </c>
      <c r="B499">
        <v>6</v>
      </c>
      <c r="C499" t="s">
        <v>331</v>
      </c>
      <c r="D499" s="142">
        <v>45199</v>
      </c>
      <c r="E499">
        <v>192742</v>
      </c>
      <c r="H499" t="b">
        <v>0</v>
      </c>
      <c r="I499">
        <v>1</v>
      </c>
      <c r="J499" t="s">
        <v>462</v>
      </c>
      <c r="AN499">
        <v>-35.700000000000003</v>
      </c>
      <c r="AV499" t="s">
        <v>334</v>
      </c>
      <c r="AW499" t="s">
        <v>334</v>
      </c>
      <c r="BA499" t="s">
        <v>264</v>
      </c>
      <c r="BB499" t="s">
        <v>463</v>
      </c>
      <c r="BC499">
        <v>1</v>
      </c>
      <c r="BD49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499" t="str">
        <f>IF(GetCurrentMonthAging3[[#This Row],[InsGroupPrimary]]="","YES","NO")</f>
        <v>YES</v>
      </c>
      <c r="BF49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-35.700000000000003</v>
      </c>
    </row>
    <row r="500" spans="1:58" x14ac:dyDescent="0.25">
      <c r="A500" t="s">
        <v>103</v>
      </c>
      <c r="B500">
        <v>6</v>
      </c>
      <c r="C500" t="s">
        <v>331</v>
      </c>
      <c r="D500" s="142">
        <v>45199</v>
      </c>
      <c r="E500">
        <v>45455</v>
      </c>
      <c r="H500" t="b">
        <v>0</v>
      </c>
      <c r="I500">
        <v>1</v>
      </c>
      <c r="J500" t="s">
        <v>462</v>
      </c>
      <c r="AN500">
        <v>-180</v>
      </c>
      <c r="AV500" t="s">
        <v>334</v>
      </c>
      <c r="AW500" t="s">
        <v>334</v>
      </c>
      <c r="BA500" t="s">
        <v>264</v>
      </c>
      <c r="BB500" t="s">
        <v>463</v>
      </c>
      <c r="BC500">
        <v>1</v>
      </c>
      <c r="BD50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00" t="str">
        <f>IF(GetCurrentMonthAging3[[#This Row],[InsGroupPrimary]]="","YES","NO")</f>
        <v>YES</v>
      </c>
      <c r="BF50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-180</v>
      </c>
    </row>
    <row r="501" spans="1:58" x14ac:dyDescent="0.25">
      <c r="A501" t="s">
        <v>100</v>
      </c>
      <c r="B501">
        <v>6</v>
      </c>
      <c r="C501" t="s">
        <v>331</v>
      </c>
      <c r="D501" s="142">
        <v>45199</v>
      </c>
      <c r="E501">
        <v>209285</v>
      </c>
      <c r="F501">
        <v>3088176</v>
      </c>
      <c r="G501">
        <v>14113666</v>
      </c>
      <c r="H501" t="b">
        <v>0</v>
      </c>
      <c r="I501">
        <v>2150</v>
      </c>
      <c r="J501" t="s">
        <v>416</v>
      </c>
      <c r="K501">
        <v>90</v>
      </c>
      <c r="L501">
        <v>45</v>
      </c>
      <c r="M501">
        <v>2</v>
      </c>
      <c r="N501">
        <v>0</v>
      </c>
      <c r="O501">
        <v>7.13</v>
      </c>
      <c r="P501">
        <v>14.26</v>
      </c>
      <c r="Q501">
        <v>0</v>
      </c>
      <c r="R501">
        <v>0</v>
      </c>
      <c r="T501">
        <v>90</v>
      </c>
      <c r="U501">
        <v>0</v>
      </c>
      <c r="V501">
        <v>1</v>
      </c>
      <c r="W501">
        <v>40.369999999999997</v>
      </c>
      <c r="X501">
        <v>42.5</v>
      </c>
      <c r="Y501">
        <v>0</v>
      </c>
      <c r="Z501">
        <v>0</v>
      </c>
      <c r="AA501">
        <v>0</v>
      </c>
      <c r="AB501">
        <v>0</v>
      </c>
      <c r="AC501">
        <v>0</v>
      </c>
      <c r="AD501">
        <v>0</v>
      </c>
      <c r="AE501">
        <v>0</v>
      </c>
      <c r="AF501">
        <v>0</v>
      </c>
      <c r="AG501">
        <v>0</v>
      </c>
      <c r="AH501">
        <v>0</v>
      </c>
      <c r="AI501">
        <v>0</v>
      </c>
      <c r="AJ501">
        <v>0</v>
      </c>
      <c r="AK501">
        <v>0</v>
      </c>
      <c r="AL501">
        <v>0</v>
      </c>
      <c r="AM501">
        <v>0</v>
      </c>
      <c r="AN501">
        <v>-7.13</v>
      </c>
      <c r="AP501" t="s">
        <v>260</v>
      </c>
      <c r="AS501" t="s">
        <v>469</v>
      </c>
      <c r="AV501" t="s">
        <v>334</v>
      </c>
      <c r="AW501" t="s">
        <v>334</v>
      </c>
      <c r="AX501">
        <v>0</v>
      </c>
      <c r="AY501">
        <v>0</v>
      </c>
      <c r="AZ501" t="s">
        <v>264</v>
      </c>
      <c r="BA501" t="s">
        <v>264</v>
      </c>
      <c r="BB501" t="s">
        <v>411</v>
      </c>
      <c r="BC501">
        <v>8</v>
      </c>
      <c r="BD50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-13.95</v>
      </c>
      <c r="BE501" t="str">
        <f>IF(GetCurrentMonthAging3[[#This Row],[InsGroupPrimary]]="","YES","NO")</f>
        <v>NO</v>
      </c>
      <c r="BF50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-13.95</v>
      </c>
    </row>
    <row r="502" spans="1:58" x14ac:dyDescent="0.25">
      <c r="A502" t="s">
        <v>100</v>
      </c>
      <c r="B502">
        <v>6</v>
      </c>
      <c r="C502" t="s">
        <v>331</v>
      </c>
      <c r="D502" s="142">
        <v>45199</v>
      </c>
      <c r="E502">
        <v>22516</v>
      </c>
      <c r="F502">
        <v>271656</v>
      </c>
      <c r="G502">
        <v>1581641</v>
      </c>
      <c r="H502" t="b">
        <v>0</v>
      </c>
      <c r="I502">
        <v>3872</v>
      </c>
      <c r="J502" t="s">
        <v>419</v>
      </c>
      <c r="K502">
        <v>45</v>
      </c>
      <c r="L502">
        <v>45</v>
      </c>
      <c r="M502">
        <v>1</v>
      </c>
      <c r="N502">
        <v>0</v>
      </c>
      <c r="O502">
        <v>0</v>
      </c>
      <c r="P502">
        <v>0</v>
      </c>
      <c r="Q502">
        <v>10</v>
      </c>
      <c r="R502">
        <v>0</v>
      </c>
      <c r="T502">
        <v>45</v>
      </c>
      <c r="U502">
        <v>0</v>
      </c>
      <c r="V502">
        <v>3</v>
      </c>
      <c r="W502">
        <v>0</v>
      </c>
      <c r="X502">
        <v>45</v>
      </c>
      <c r="Y502">
        <v>0</v>
      </c>
      <c r="Z502">
        <v>0</v>
      </c>
      <c r="AA502">
        <v>0</v>
      </c>
      <c r="AB502">
        <v>0</v>
      </c>
      <c r="AC502">
        <v>0</v>
      </c>
      <c r="AD502">
        <v>0</v>
      </c>
      <c r="AE502">
        <v>0</v>
      </c>
      <c r="AF502">
        <v>0</v>
      </c>
      <c r="AG502">
        <v>0</v>
      </c>
      <c r="AH502">
        <v>0</v>
      </c>
      <c r="AI502">
        <v>0</v>
      </c>
      <c r="AJ502">
        <v>0</v>
      </c>
      <c r="AK502">
        <v>0</v>
      </c>
      <c r="AL502">
        <v>0</v>
      </c>
      <c r="AM502">
        <v>0</v>
      </c>
      <c r="AN502">
        <v>-10</v>
      </c>
      <c r="AP502" t="s">
        <v>262</v>
      </c>
      <c r="AS502" t="s">
        <v>424</v>
      </c>
      <c r="AV502" t="s">
        <v>334</v>
      </c>
      <c r="AW502" t="s">
        <v>334</v>
      </c>
      <c r="AX502">
        <v>0</v>
      </c>
      <c r="AY502">
        <v>0</v>
      </c>
      <c r="AZ502" t="s">
        <v>264</v>
      </c>
      <c r="BA502" t="s">
        <v>264</v>
      </c>
      <c r="BB502" t="s">
        <v>411</v>
      </c>
      <c r="BC502">
        <v>8</v>
      </c>
      <c r="BD50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02" t="str">
        <f>IF(GetCurrentMonthAging3[[#This Row],[InsGroupPrimary]]="","YES","NO")</f>
        <v>NO</v>
      </c>
      <c r="BF50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v>
      </c>
    </row>
    <row r="503" spans="1:58" x14ac:dyDescent="0.25">
      <c r="A503" t="s">
        <v>103</v>
      </c>
      <c r="B503">
        <v>6</v>
      </c>
      <c r="C503" t="s">
        <v>331</v>
      </c>
      <c r="D503" s="142">
        <v>45199</v>
      </c>
      <c r="E503">
        <v>72609</v>
      </c>
      <c r="H503" t="b">
        <v>0</v>
      </c>
      <c r="I503">
        <v>1</v>
      </c>
      <c r="J503" t="s">
        <v>462</v>
      </c>
      <c r="AN503">
        <v>-10</v>
      </c>
      <c r="AV503" t="s">
        <v>334</v>
      </c>
      <c r="AW503" t="s">
        <v>334</v>
      </c>
      <c r="BA503" t="s">
        <v>233</v>
      </c>
      <c r="BB503" t="s">
        <v>463</v>
      </c>
      <c r="BC503">
        <v>1</v>
      </c>
      <c r="BD50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03" t="str">
        <f>IF(GetCurrentMonthAging3[[#This Row],[InsGroupPrimary]]="","YES","NO")</f>
        <v>YES</v>
      </c>
      <c r="BF50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v>
      </c>
    </row>
    <row r="504" spans="1:58" x14ac:dyDescent="0.25">
      <c r="A504" t="s">
        <v>103</v>
      </c>
      <c r="B504">
        <v>6</v>
      </c>
      <c r="C504" t="s">
        <v>331</v>
      </c>
      <c r="D504" s="142">
        <v>45199</v>
      </c>
      <c r="E504">
        <v>131207</v>
      </c>
      <c r="H504" t="b">
        <v>0</v>
      </c>
      <c r="I504">
        <v>1</v>
      </c>
      <c r="J504" t="s">
        <v>462</v>
      </c>
      <c r="AN504">
        <v>-5</v>
      </c>
      <c r="AV504" t="s">
        <v>334</v>
      </c>
      <c r="AW504" t="s">
        <v>334</v>
      </c>
      <c r="BA504" t="s">
        <v>264</v>
      </c>
      <c r="BB504" t="s">
        <v>463</v>
      </c>
      <c r="BC504">
        <v>1</v>
      </c>
      <c r="BD50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04" t="str">
        <f>IF(GetCurrentMonthAging3[[#This Row],[InsGroupPrimary]]="","YES","NO")</f>
        <v>YES</v>
      </c>
      <c r="BF50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v>
      </c>
    </row>
    <row r="505" spans="1:58" x14ac:dyDescent="0.25">
      <c r="A505" t="s">
        <v>103</v>
      </c>
      <c r="B505">
        <v>6</v>
      </c>
      <c r="C505" t="s">
        <v>331</v>
      </c>
      <c r="D505" s="142">
        <v>45199</v>
      </c>
      <c r="E505">
        <v>102999</v>
      </c>
      <c r="H505" t="b">
        <v>0</v>
      </c>
      <c r="I505">
        <v>1</v>
      </c>
      <c r="J505" t="s">
        <v>462</v>
      </c>
      <c r="AN505">
        <v>-149.13999999999999</v>
      </c>
      <c r="AV505" t="s">
        <v>334</v>
      </c>
      <c r="AW505" t="s">
        <v>334</v>
      </c>
      <c r="BA505" t="s">
        <v>264</v>
      </c>
      <c r="BB505" t="s">
        <v>463</v>
      </c>
      <c r="BC505">
        <v>1</v>
      </c>
      <c r="BD50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05" t="str">
        <f>IF(GetCurrentMonthAging3[[#This Row],[InsGroupPrimary]]="","YES","NO")</f>
        <v>YES</v>
      </c>
      <c r="BF50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-149.13999999999999</v>
      </c>
    </row>
    <row r="506" spans="1:58" x14ac:dyDescent="0.25">
      <c r="A506" t="s">
        <v>103</v>
      </c>
      <c r="B506">
        <v>6</v>
      </c>
      <c r="C506" t="s">
        <v>331</v>
      </c>
      <c r="D506" s="142">
        <v>45199</v>
      </c>
      <c r="E506">
        <v>244092</v>
      </c>
      <c r="H506" t="b">
        <v>0</v>
      </c>
      <c r="I506">
        <v>1</v>
      </c>
      <c r="J506" t="s">
        <v>462</v>
      </c>
      <c r="AN506">
        <v>-60</v>
      </c>
      <c r="AV506" t="s">
        <v>334</v>
      </c>
      <c r="AW506" t="s">
        <v>334</v>
      </c>
      <c r="BA506" t="s">
        <v>264</v>
      </c>
      <c r="BB506" t="s">
        <v>463</v>
      </c>
      <c r="BC506">
        <v>1</v>
      </c>
      <c r="BD50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06" t="str">
        <f>IF(GetCurrentMonthAging3[[#This Row],[InsGroupPrimary]]="","YES","NO")</f>
        <v>YES</v>
      </c>
      <c r="BF50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507" spans="1:58" x14ac:dyDescent="0.25">
      <c r="A507" t="s">
        <v>103</v>
      </c>
      <c r="B507">
        <v>6</v>
      </c>
      <c r="C507" t="s">
        <v>331</v>
      </c>
      <c r="D507" s="142">
        <v>45199</v>
      </c>
      <c r="E507">
        <v>57151</v>
      </c>
      <c r="H507" t="b">
        <v>0</v>
      </c>
      <c r="I507">
        <v>1</v>
      </c>
      <c r="J507" t="s">
        <v>462</v>
      </c>
      <c r="AN507">
        <v>-155</v>
      </c>
      <c r="AV507" t="s">
        <v>334</v>
      </c>
      <c r="AW507" t="s">
        <v>334</v>
      </c>
      <c r="BA507" t="s">
        <v>264</v>
      </c>
      <c r="BB507" t="s">
        <v>463</v>
      </c>
      <c r="BC507">
        <v>1</v>
      </c>
      <c r="BD50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07" t="str">
        <f>IF(GetCurrentMonthAging3[[#This Row],[InsGroupPrimary]]="","YES","NO")</f>
        <v>YES</v>
      </c>
      <c r="BF50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-155</v>
      </c>
    </row>
    <row r="508" spans="1:58" x14ac:dyDescent="0.25">
      <c r="A508" t="s">
        <v>103</v>
      </c>
      <c r="B508">
        <v>6</v>
      </c>
      <c r="C508" t="s">
        <v>331</v>
      </c>
      <c r="D508" s="142">
        <v>45199</v>
      </c>
      <c r="E508">
        <v>113464</v>
      </c>
      <c r="H508" t="b">
        <v>0</v>
      </c>
      <c r="I508">
        <v>1</v>
      </c>
      <c r="J508" t="s">
        <v>462</v>
      </c>
      <c r="AN508">
        <v>-80.88</v>
      </c>
      <c r="AV508" t="s">
        <v>334</v>
      </c>
      <c r="AW508" t="s">
        <v>334</v>
      </c>
      <c r="BA508" t="s">
        <v>264</v>
      </c>
      <c r="BB508" t="s">
        <v>463</v>
      </c>
      <c r="BC508">
        <v>1</v>
      </c>
      <c r="BD50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08" t="str">
        <f>IF(GetCurrentMonthAging3[[#This Row],[InsGroupPrimary]]="","YES","NO")</f>
        <v>YES</v>
      </c>
      <c r="BF50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-80.88</v>
      </c>
    </row>
    <row r="509" spans="1:58" x14ac:dyDescent="0.25">
      <c r="A509" t="s">
        <v>103</v>
      </c>
      <c r="B509">
        <v>6</v>
      </c>
      <c r="C509" t="s">
        <v>331</v>
      </c>
      <c r="D509" s="142">
        <v>45199</v>
      </c>
      <c r="E509">
        <v>162071</v>
      </c>
      <c r="H509" t="b">
        <v>0</v>
      </c>
      <c r="I509">
        <v>1</v>
      </c>
      <c r="J509" t="s">
        <v>462</v>
      </c>
      <c r="AN509">
        <v>-60</v>
      </c>
      <c r="AV509" t="s">
        <v>334</v>
      </c>
      <c r="AW509" t="s">
        <v>334</v>
      </c>
      <c r="BA509" t="s">
        <v>264</v>
      </c>
      <c r="BB509" t="s">
        <v>463</v>
      </c>
      <c r="BC509">
        <v>1</v>
      </c>
      <c r="BD50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09" t="str">
        <f>IF(GetCurrentMonthAging3[[#This Row],[InsGroupPrimary]]="","YES","NO")</f>
        <v>YES</v>
      </c>
      <c r="BF50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510" spans="1:58" x14ac:dyDescent="0.25">
      <c r="A510" t="s">
        <v>103</v>
      </c>
      <c r="B510">
        <v>6</v>
      </c>
      <c r="C510" t="s">
        <v>331</v>
      </c>
      <c r="D510" s="142">
        <v>45199</v>
      </c>
      <c r="E510">
        <v>71529</v>
      </c>
      <c r="H510" t="b">
        <v>0</v>
      </c>
      <c r="I510">
        <v>1</v>
      </c>
      <c r="J510" t="s">
        <v>462</v>
      </c>
      <c r="AN510">
        <v>-20</v>
      </c>
      <c r="AV510" t="s">
        <v>334</v>
      </c>
      <c r="AW510" t="s">
        <v>334</v>
      </c>
      <c r="BA510" t="s">
        <v>233</v>
      </c>
      <c r="BB510" t="s">
        <v>463</v>
      </c>
      <c r="BC510">
        <v>1</v>
      </c>
      <c r="BD51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10" t="str">
        <f>IF(GetCurrentMonthAging3[[#This Row],[InsGroupPrimary]]="","YES","NO")</f>
        <v>YES</v>
      </c>
      <c r="BF51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511" spans="1:58" x14ac:dyDescent="0.25">
      <c r="A511" t="s">
        <v>103</v>
      </c>
      <c r="B511">
        <v>6</v>
      </c>
      <c r="C511" t="s">
        <v>331</v>
      </c>
      <c r="D511" s="142">
        <v>45199</v>
      </c>
      <c r="E511">
        <v>160222</v>
      </c>
      <c r="H511" t="b">
        <v>0</v>
      </c>
      <c r="I511">
        <v>1</v>
      </c>
      <c r="J511" t="s">
        <v>462</v>
      </c>
      <c r="AN511">
        <v>-75</v>
      </c>
      <c r="AV511" t="s">
        <v>334</v>
      </c>
      <c r="AW511" t="s">
        <v>334</v>
      </c>
      <c r="BA511" t="s">
        <v>264</v>
      </c>
      <c r="BB511" t="s">
        <v>463</v>
      </c>
      <c r="BC511">
        <v>1</v>
      </c>
      <c r="BD51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11" t="str">
        <f>IF(GetCurrentMonthAging3[[#This Row],[InsGroupPrimary]]="","YES","NO")</f>
        <v>YES</v>
      </c>
      <c r="BF51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-75</v>
      </c>
    </row>
    <row r="512" spans="1:58" x14ac:dyDescent="0.25">
      <c r="A512" t="s">
        <v>103</v>
      </c>
      <c r="B512">
        <v>6</v>
      </c>
      <c r="C512" t="s">
        <v>331</v>
      </c>
      <c r="D512" s="142">
        <v>45199</v>
      </c>
      <c r="E512">
        <v>33713</v>
      </c>
      <c r="H512" t="b">
        <v>0</v>
      </c>
      <c r="I512">
        <v>1</v>
      </c>
      <c r="J512" t="s">
        <v>462</v>
      </c>
      <c r="AN512">
        <v>-60</v>
      </c>
      <c r="AV512" t="s">
        <v>334</v>
      </c>
      <c r="AW512" t="s">
        <v>334</v>
      </c>
      <c r="BA512" t="s">
        <v>233</v>
      </c>
      <c r="BB512" t="s">
        <v>463</v>
      </c>
      <c r="BC512">
        <v>1</v>
      </c>
      <c r="BD51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12" t="str">
        <f>IF(GetCurrentMonthAging3[[#This Row],[InsGroupPrimary]]="","YES","NO")</f>
        <v>YES</v>
      </c>
      <c r="BF51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513" spans="1:58" x14ac:dyDescent="0.25">
      <c r="A513" t="s">
        <v>103</v>
      </c>
      <c r="B513">
        <v>6</v>
      </c>
      <c r="C513" t="s">
        <v>331</v>
      </c>
      <c r="D513" s="142">
        <v>45199</v>
      </c>
      <c r="E513">
        <v>249373</v>
      </c>
      <c r="H513" t="b">
        <v>0</v>
      </c>
      <c r="I513">
        <v>1</v>
      </c>
      <c r="J513" t="s">
        <v>462</v>
      </c>
      <c r="AN513">
        <v>-150</v>
      </c>
      <c r="AV513" t="s">
        <v>334</v>
      </c>
      <c r="AW513" t="s">
        <v>334</v>
      </c>
      <c r="BA513" t="s">
        <v>233</v>
      </c>
      <c r="BB513" t="s">
        <v>463</v>
      </c>
      <c r="BC513">
        <v>1</v>
      </c>
      <c r="BD51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13" t="str">
        <f>IF(GetCurrentMonthAging3[[#This Row],[InsGroupPrimary]]="","YES","NO")</f>
        <v>YES</v>
      </c>
      <c r="BF51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-150</v>
      </c>
    </row>
    <row r="514" spans="1:58" x14ac:dyDescent="0.25">
      <c r="A514" t="s">
        <v>103</v>
      </c>
      <c r="B514">
        <v>6</v>
      </c>
      <c r="C514" t="s">
        <v>331</v>
      </c>
      <c r="D514" s="142">
        <v>45199</v>
      </c>
      <c r="E514">
        <v>258845</v>
      </c>
      <c r="H514" t="b">
        <v>0</v>
      </c>
      <c r="I514">
        <v>1</v>
      </c>
      <c r="J514" t="s">
        <v>462</v>
      </c>
      <c r="AN514">
        <v>-32.97</v>
      </c>
      <c r="AV514" t="s">
        <v>334</v>
      </c>
      <c r="AW514" t="s">
        <v>334</v>
      </c>
      <c r="BA514" t="s">
        <v>233</v>
      </c>
      <c r="BB514" t="s">
        <v>463</v>
      </c>
      <c r="BC514">
        <v>1</v>
      </c>
      <c r="BD51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14" t="str">
        <f>IF(GetCurrentMonthAging3[[#This Row],[InsGroupPrimary]]="","YES","NO")</f>
        <v>YES</v>
      </c>
      <c r="BF51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-32.97</v>
      </c>
    </row>
    <row r="515" spans="1:58" x14ac:dyDescent="0.25">
      <c r="A515" t="s">
        <v>103</v>
      </c>
      <c r="B515">
        <v>6</v>
      </c>
      <c r="C515" t="s">
        <v>331</v>
      </c>
      <c r="D515" s="142">
        <v>45199</v>
      </c>
      <c r="E515">
        <v>261112</v>
      </c>
      <c r="H515" t="b">
        <v>0</v>
      </c>
      <c r="I515">
        <v>1</v>
      </c>
      <c r="J515" t="s">
        <v>462</v>
      </c>
      <c r="AN515">
        <v>-8.68</v>
      </c>
      <c r="AV515" t="s">
        <v>334</v>
      </c>
      <c r="AW515" t="s">
        <v>334</v>
      </c>
      <c r="BA515" t="s">
        <v>233</v>
      </c>
      <c r="BB515" t="s">
        <v>463</v>
      </c>
      <c r="BC515">
        <v>1</v>
      </c>
      <c r="BD51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15" t="str">
        <f>IF(GetCurrentMonthAging3[[#This Row],[InsGroupPrimary]]="","YES","NO")</f>
        <v>YES</v>
      </c>
      <c r="BF51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-8.68</v>
      </c>
    </row>
    <row r="516" spans="1:58" x14ac:dyDescent="0.25">
      <c r="A516" t="s">
        <v>103</v>
      </c>
      <c r="B516">
        <v>6</v>
      </c>
      <c r="C516" t="s">
        <v>331</v>
      </c>
      <c r="D516" s="142">
        <v>45199</v>
      </c>
      <c r="E516">
        <v>41904</v>
      </c>
      <c r="H516" t="b">
        <v>0</v>
      </c>
      <c r="I516">
        <v>1</v>
      </c>
      <c r="J516" t="s">
        <v>462</v>
      </c>
      <c r="AN516">
        <v>-13.5</v>
      </c>
      <c r="AV516" t="s">
        <v>334</v>
      </c>
      <c r="AW516" t="s">
        <v>334</v>
      </c>
      <c r="BA516" t="s">
        <v>264</v>
      </c>
      <c r="BB516" t="s">
        <v>463</v>
      </c>
      <c r="BC516">
        <v>1</v>
      </c>
      <c r="BD51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16" t="str">
        <f>IF(GetCurrentMonthAging3[[#This Row],[InsGroupPrimary]]="","YES","NO")</f>
        <v>YES</v>
      </c>
      <c r="BF51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-13.5</v>
      </c>
    </row>
    <row r="517" spans="1:58" x14ac:dyDescent="0.25">
      <c r="A517" t="s">
        <v>103</v>
      </c>
      <c r="B517">
        <v>6</v>
      </c>
      <c r="C517" t="s">
        <v>331</v>
      </c>
      <c r="D517" s="142">
        <v>45199</v>
      </c>
      <c r="E517">
        <v>35893</v>
      </c>
      <c r="H517" t="b">
        <v>0</v>
      </c>
      <c r="I517">
        <v>1</v>
      </c>
      <c r="J517" t="s">
        <v>462</v>
      </c>
      <c r="AN517">
        <v>-5</v>
      </c>
      <c r="AV517" t="s">
        <v>334</v>
      </c>
      <c r="AW517" t="s">
        <v>334</v>
      </c>
      <c r="BA517" t="s">
        <v>264</v>
      </c>
      <c r="BB517" t="s">
        <v>463</v>
      </c>
      <c r="BC517">
        <v>1</v>
      </c>
      <c r="BD51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17" t="str">
        <f>IF(GetCurrentMonthAging3[[#This Row],[InsGroupPrimary]]="","YES","NO")</f>
        <v>YES</v>
      </c>
      <c r="BF51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v>
      </c>
    </row>
    <row r="518" spans="1:58" x14ac:dyDescent="0.25">
      <c r="A518" t="s">
        <v>103</v>
      </c>
      <c r="B518">
        <v>6</v>
      </c>
      <c r="C518" t="s">
        <v>331</v>
      </c>
      <c r="D518" s="142">
        <v>45199</v>
      </c>
      <c r="E518">
        <v>38907</v>
      </c>
      <c r="H518" t="b">
        <v>0</v>
      </c>
      <c r="I518">
        <v>1</v>
      </c>
      <c r="J518" t="s">
        <v>462</v>
      </c>
      <c r="AN518">
        <v>-25</v>
      </c>
      <c r="AV518" t="s">
        <v>334</v>
      </c>
      <c r="AW518" t="s">
        <v>334</v>
      </c>
      <c r="BA518" t="s">
        <v>233</v>
      </c>
      <c r="BB518" t="s">
        <v>463</v>
      </c>
      <c r="BC518">
        <v>1</v>
      </c>
      <c r="BD51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18" t="str">
        <f>IF(GetCurrentMonthAging3[[#This Row],[InsGroupPrimary]]="","YES","NO")</f>
        <v>YES</v>
      </c>
      <c r="BF51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v>
      </c>
    </row>
    <row r="519" spans="1:58" x14ac:dyDescent="0.25">
      <c r="A519" t="s">
        <v>103</v>
      </c>
      <c r="B519">
        <v>6</v>
      </c>
      <c r="C519" t="s">
        <v>331</v>
      </c>
      <c r="D519" s="142">
        <v>45199</v>
      </c>
      <c r="E519">
        <v>109295</v>
      </c>
      <c r="H519" t="b">
        <v>0</v>
      </c>
      <c r="I519">
        <v>1</v>
      </c>
      <c r="J519" t="s">
        <v>462</v>
      </c>
      <c r="AN519">
        <v>-60</v>
      </c>
      <c r="AV519" t="s">
        <v>334</v>
      </c>
      <c r="AW519" t="s">
        <v>334</v>
      </c>
      <c r="BA519" t="s">
        <v>233</v>
      </c>
      <c r="BB519" t="s">
        <v>463</v>
      </c>
      <c r="BC519">
        <v>1</v>
      </c>
      <c r="BD51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19" t="str">
        <f>IF(GetCurrentMonthAging3[[#This Row],[InsGroupPrimary]]="","YES","NO")</f>
        <v>YES</v>
      </c>
      <c r="BF51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520" spans="1:58" x14ac:dyDescent="0.25">
      <c r="A520" t="s">
        <v>103</v>
      </c>
      <c r="B520">
        <v>6</v>
      </c>
      <c r="C520" t="s">
        <v>331</v>
      </c>
      <c r="D520" s="142">
        <v>45199</v>
      </c>
      <c r="E520">
        <v>189911</v>
      </c>
      <c r="H520" t="b">
        <v>0</v>
      </c>
      <c r="I520">
        <v>1</v>
      </c>
      <c r="J520" t="s">
        <v>462</v>
      </c>
      <c r="AN520">
        <v>-278</v>
      </c>
      <c r="AV520" t="s">
        <v>334</v>
      </c>
      <c r="AW520" t="s">
        <v>334</v>
      </c>
      <c r="BA520" t="s">
        <v>264</v>
      </c>
      <c r="BB520" t="s">
        <v>463</v>
      </c>
      <c r="BC520">
        <v>1</v>
      </c>
      <c r="BD52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20" t="str">
        <f>IF(GetCurrentMonthAging3[[#This Row],[InsGroupPrimary]]="","YES","NO")</f>
        <v>YES</v>
      </c>
      <c r="BF52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-278</v>
      </c>
    </row>
    <row r="521" spans="1:58" x14ac:dyDescent="0.25">
      <c r="A521" t="s">
        <v>103</v>
      </c>
      <c r="B521">
        <v>6</v>
      </c>
      <c r="C521" t="s">
        <v>331</v>
      </c>
      <c r="D521" s="142">
        <v>45199</v>
      </c>
      <c r="E521">
        <v>36373</v>
      </c>
      <c r="H521" t="b">
        <v>0</v>
      </c>
      <c r="I521">
        <v>1</v>
      </c>
      <c r="J521" t="s">
        <v>462</v>
      </c>
      <c r="AN521">
        <v>-6</v>
      </c>
      <c r="AV521" t="s">
        <v>334</v>
      </c>
      <c r="AW521" t="s">
        <v>334</v>
      </c>
      <c r="BA521" t="s">
        <v>233</v>
      </c>
      <c r="BB521" t="s">
        <v>463</v>
      </c>
      <c r="BC521">
        <v>1</v>
      </c>
      <c r="BD52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21" t="str">
        <f>IF(GetCurrentMonthAging3[[#This Row],[InsGroupPrimary]]="","YES","NO")</f>
        <v>YES</v>
      </c>
      <c r="BF52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v>
      </c>
    </row>
    <row r="522" spans="1:58" x14ac:dyDescent="0.25">
      <c r="A522" t="s">
        <v>103</v>
      </c>
      <c r="B522">
        <v>6</v>
      </c>
      <c r="C522" t="s">
        <v>331</v>
      </c>
      <c r="D522" s="142">
        <v>45199</v>
      </c>
      <c r="E522">
        <v>263981</v>
      </c>
      <c r="H522" t="b">
        <v>0</v>
      </c>
      <c r="I522">
        <v>1</v>
      </c>
      <c r="J522" t="s">
        <v>462</v>
      </c>
      <c r="AN522">
        <v>-15</v>
      </c>
      <c r="AV522" t="s">
        <v>334</v>
      </c>
      <c r="AW522" t="s">
        <v>334</v>
      </c>
      <c r="BA522" t="s">
        <v>264</v>
      </c>
      <c r="BB522" t="s">
        <v>463</v>
      </c>
      <c r="BC522">
        <v>1</v>
      </c>
      <c r="BD52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22" t="str">
        <f>IF(GetCurrentMonthAging3[[#This Row],[InsGroupPrimary]]="","YES","NO")</f>
        <v>YES</v>
      </c>
      <c r="BF52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v>
      </c>
    </row>
    <row r="523" spans="1:58" x14ac:dyDescent="0.25">
      <c r="A523" t="s">
        <v>103</v>
      </c>
      <c r="B523">
        <v>6</v>
      </c>
      <c r="C523" t="s">
        <v>331</v>
      </c>
      <c r="D523" s="142">
        <v>45199</v>
      </c>
      <c r="E523">
        <v>91043</v>
      </c>
      <c r="H523" t="b">
        <v>0</v>
      </c>
      <c r="I523">
        <v>1</v>
      </c>
      <c r="J523" t="s">
        <v>462</v>
      </c>
      <c r="AN523">
        <v>-20</v>
      </c>
      <c r="AV523" t="s">
        <v>334</v>
      </c>
      <c r="AW523" t="s">
        <v>334</v>
      </c>
      <c r="BA523" t="s">
        <v>233</v>
      </c>
      <c r="BB523" t="s">
        <v>463</v>
      </c>
      <c r="BC523">
        <v>1</v>
      </c>
      <c r="BD52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23" t="str">
        <f>IF(GetCurrentMonthAging3[[#This Row],[InsGroupPrimary]]="","YES","NO")</f>
        <v>YES</v>
      </c>
      <c r="BF52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524" spans="1:58" x14ac:dyDescent="0.25">
      <c r="A524" t="s">
        <v>103</v>
      </c>
      <c r="B524">
        <v>6</v>
      </c>
      <c r="C524" t="s">
        <v>331</v>
      </c>
      <c r="D524" s="142">
        <v>45199</v>
      </c>
      <c r="E524">
        <v>251578</v>
      </c>
      <c r="H524" t="b">
        <v>0</v>
      </c>
      <c r="I524">
        <v>1</v>
      </c>
      <c r="J524" t="s">
        <v>462</v>
      </c>
      <c r="AN524">
        <v>-509.33</v>
      </c>
      <c r="AV524" t="s">
        <v>334</v>
      </c>
      <c r="AW524" t="s">
        <v>334</v>
      </c>
      <c r="BA524" t="s">
        <v>264</v>
      </c>
      <c r="BB524" t="s">
        <v>463</v>
      </c>
      <c r="BC524">
        <v>1</v>
      </c>
      <c r="BD52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24" t="str">
        <f>IF(GetCurrentMonthAging3[[#This Row],[InsGroupPrimary]]="","YES","NO")</f>
        <v>YES</v>
      </c>
      <c r="BF52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-509.33</v>
      </c>
    </row>
    <row r="525" spans="1:58" x14ac:dyDescent="0.25">
      <c r="A525" t="s">
        <v>103</v>
      </c>
      <c r="B525">
        <v>6</v>
      </c>
      <c r="C525" t="s">
        <v>331</v>
      </c>
      <c r="D525" s="142">
        <v>45199</v>
      </c>
      <c r="E525">
        <v>150379</v>
      </c>
      <c r="H525" t="b">
        <v>0</v>
      </c>
      <c r="I525">
        <v>1</v>
      </c>
      <c r="J525" t="s">
        <v>462</v>
      </c>
      <c r="AN525">
        <v>-0.48</v>
      </c>
      <c r="AV525" t="s">
        <v>334</v>
      </c>
      <c r="AW525" t="s">
        <v>334</v>
      </c>
      <c r="BA525" t="s">
        <v>264</v>
      </c>
      <c r="BB525" t="s">
        <v>463</v>
      </c>
      <c r="BC525">
        <v>1</v>
      </c>
      <c r="BD52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25" t="str">
        <f>IF(GetCurrentMonthAging3[[#This Row],[InsGroupPrimary]]="","YES","NO")</f>
        <v>YES</v>
      </c>
      <c r="BF52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-0.48</v>
      </c>
    </row>
    <row r="526" spans="1:58" x14ac:dyDescent="0.25">
      <c r="A526" t="s">
        <v>103</v>
      </c>
      <c r="B526">
        <v>6</v>
      </c>
      <c r="C526" t="s">
        <v>331</v>
      </c>
      <c r="D526" s="142">
        <v>45199</v>
      </c>
      <c r="E526">
        <v>199845</v>
      </c>
      <c r="H526" t="b">
        <v>0</v>
      </c>
      <c r="I526">
        <v>1</v>
      </c>
      <c r="J526" t="s">
        <v>462</v>
      </c>
      <c r="AN526">
        <v>-10</v>
      </c>
      <c r="AV526" t="s">
        <v>334</v>
      </c>
      <c r="AW526" t="s">
        <v>334</v>
      </c>
      <c r="BA526" t="s">
        <v>233</v>
      </c>
      <c r="BB526" t="s">
        <v>463</v>
      </c>
      <c r="BC526">
        <v>1</v>
      </c>
      <c r="BD52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26" t="str">
        <f>IF(GetCurrentMonthAging3[[#This Row],[InsGroupPrimary]]="","YES","NO")</f>
        <v>YES</v>
      </c>
      <c r="BF52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v>
      </c>
    </row>
    <row r="527" spans="1:58" x14ac:dyDescent="0.25">
      <c r="A527" t="s">
        <v>103</v>
      </c>
      <c r="B527">
        <v>6</v>
      </c>
      <c r="C527" t="s">
        <v>331</v>
      </c>
      <c r="D527" s="142">
        <v>45199</v>
      </c>
      <c r="E527">
        <v>52757</v>
      </c>
      <c r="H527" t="b">
        <v>0</v>
      </c>
      <c r="I527">
        <v>1</v>
      </c>
      <c r="J527" t="s">
        <v>462</v>
      </c>
      <c r="AN527">
        <v>-40</v>
      </c>
      <c r="AV527" t="s">
        <v>334</v>
      </c>
      <c r="AW527" t="s">
        <v>334</v>
      </c>
      <c r="BA527" t="s">
        <v>233</v>
      </c>
      <c r="BB527" t="s">
        <v>463</v>
      </c>
      <c r="BC527">
        <v>1</v>
      </c>
      <c r="BD52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27" t="str">
        <f>IF(GetCurrentMonthAging3[[#This Row],[InsGroupPrimary]]="","YES","NO")</f>
        <v>YES</v>
      </c>
      <c r="BF52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528" spans="1:58" x14ac:dyDescent="0.25">
      <c r="A528" t="s">
        <v>103</v>
      </c>
      <c r="B528">
        <v>6</v>
      </c>
      <c r="C528" t="s">
        <v>331</v>
      </c>
      <c r="D528" s="142">
        <v>45199</v>
      </c>
      <c r="E528">
        <v>166737</v>
      </c>
      <c r="H528" t="b">
        <v>0</v>
      </c>
      <c r="I528">
        <v>1</v>
      </c>
      <c r="J528" t="s">
        <v>462</v>
      </c>
      <c r="AN528">
        <v>-40</v>
      </c>
      <c r="AV528" t="s">
        <v>334</v>
      </c>
      <c r="AW528" t="s">
        <v>334</v>
      </c>
      <c r="BA528" t="s">
        <v>233</v>
      </c>
      <c r="BB528" t="s">
        <v>463</v>
      </c>
      <c r="BC528">
        <v>1</v>
      </c>
      <c r="BD52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28" t="str">
        <f>IF(GetCurrentMonthAging3[[#This Row],[InsGroupPrimary]]="","YES","NO")</f>
        <v>YES</v>
      </c>
      <c r="BF52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529" spans="1:58" x14ac:dyDescent="0.25">
      <c r="A529" t="s">
        <v>103</v>
      </c>
      <c r="B529">
        <v>6</v>
      </c>
      <c r="C529" t="s">
        <v>331</v>
      </c>
      <c r="D529" s="142">
        <v>45199</v>
      </c>
      <c r="E529">
        <v>28057</v>
      </c>
      <c r="H529" t="b">
        <v>0</v>
      </c>
      <c r="I529">
        <v>1</v>
      </c>
      <c r="J529" t="s">
        <v>462</v>
      </c>
      <c r="AN529">
        <v>-100</v>
      </c>
      <c r="AV529" t="s">
        <v>334</v>
      </c>
      <c r="AW529" t="s">
        <v>334</v>
      </c>
      <c r="BA529" t="s">
        <v>233</v>
      </c>
      <c r="BB529" t="s">
        <v>463</v>
      </c>
      <c r="BC529">
        <v>1</v>
      </c>
      <c r="BD52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29" t="str">
        <f>IF(GetCurrentMonthAging3[[#This Row],[InsGroupPrimary]]="","YES","NO")</f>
        <v>YES</v>
      </c>
      <c r="BF52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-100</v>
      </c>
    </row>
    <row r="530" spans="1:58" x14ac:dyDescent="0.25">
      <c r="A530" t="s">
        <v>103</v>
      </c>
      <c r="B530">
        <v>6</v>
      </c>
      <c r="C530" t="s">
        <v>331</v>
      </c>
      <c r="D530" s="142">
        <v>45199</v>
      </c>
      <c r="E530">
        <v>260515</v>
      </c>
      <c r="H530" t="b">
        <v>0</v>
      </c>
      <c r="I530">
        <v>1</v>
      </c>
      <c r="J530" t="s">
        <v>462</v>
      </c>
      <c r="AN530">
        <v>-72</v>
      </c>
      <c r="AV530" t="s">
        <v>334</v>
      </c>
      <c r="AW530" t="s">
        <v>334</v>
      </c>
      <c r="BA530" t="s">
        <v>233</v>
      </c>
      <c r="BB530" t="s">
        <v>463</v>
      </c>
      <c r="BC530">
        <v>1</v>
      </c>
      <c r="BD53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30" t="str">
        <f>IF(GetCurrentMonthAging3[[#This Row],[InsGroupPrimary]]="","YES","NO")</f>
        <v>YES</v>
      </c>
      <c r="BF53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-72</v>
      </c>
    </row>
    <row r="531" spans="1:58" x14ac:dyDescent="0.25">
      <c r="A531" t="s">
        <v>103</v>
      </c>
      <c r="B531">
        <v>6</v>
      </c>
      <c r="C531" t="s">
        <v>331</v>
      </c>
      <c r="D531" s="142">
        <v>45199</v>
      </c>
      <c r="E531">
        <v>190225</v>
      </c>
      <c r="H531" t="b">
        <v>0</v>
      </c>
      <c r="I531">
        <v>1</v>
      </c>
      <c r="J531" t="s">
        <v>462</v>
      </c>
      <c r="AN531">
        <v>-21.65</v>
      </c>
      <c r="AV531" t="s">
        <v>334</v>
      </c>
      <c r="AW531" t="s">
        <v>334</v>
      </c>
      <c r="BA531" t="s">
        <v>264</v>
      </c>
      <c r="BB531" t="s">
        <v>463</v>
      </c>
      <c r="BC531">
        <v>1</v>
      </c>
      <c r="BD53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31" t="str">
        <f>IF(GetCurrentMonthAging3[[#This Row],[InsGroupPrimary]]="","YES","NO")</f>
        <v>YES</v>
      </c>
      <c r="BF53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-21.65</v>
      </c>
    </row>
    <row r="532" spans="1:58" x14ac:dyDescent="0.25">
      <c r="A532" t="s">
        <v>103</v>
      </c>
      <c r="B532">
        <v>6</v>
      </c>
      <c r="C532" t="s">
        <v>331</v>
      </c>
      <c r="D532" s="142">
        <v>45199</v>
      </c>
      <c r="E532">
        <v>55664</v>
      </c>
      <c r="H532" t="b">
        <v>0</v>
      </c>
      <c r="I532">
        <v>1</v>
      </c>
      <c r="J532" t="s">
        <v>462</v>
      </c>
      <c r="AN532">
        <v>-210</v>
      </c>
      <c r="AV532" t="s">
        <v>334</v>
      </c>
      <c r="AW532" t="s">
        <v>334</v>
      </c>
      <c r="BA532" t="s">
        <v>233</v>
      </c>
      <c r="BB532" t="s">
        <v>463</v>
      </c>
      <c r="BC532">
        <v>1</v>
      </c>
      <c r="BD53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32" t="str">
        <f>IF(GetCurrentMonthAging3[[#This Row],[InsGroupPrimary]]="","YES","NO")</f>
        <v>YES</v>
      </c>
      <c r="BF53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-210</v>
      </c>
    </row>
    <row r="533" spans="1:58" x14ac:dyDescent="0.25">
      <c r="A533" t="s">
        <v>103</v>
      </c>
      <c r="B533">
        <v>6</v>
      </c>
      <c r="C533" t="s">
        <v>331</v>
      </c>
      <c r="D533" s="142">
        <v>45199</v>
      </c>
      <c r="E533">
        <v>157121</v>
      </c>
      <c r="H533" t="b">
        <v>0</v>
      </c>
      <c r="I533">
        <v>1</v>
      </c>
      <c r="J533" t="s">
        <v>462</v>
      </c>
      <c r="AN533">
        <v>-56.86</v>
      </c>
      <c r="AV533" t="s">
        <v>334</v>
      </c>
      <c r="AW533" t="s">
        <v>334</v>
      </c>
      <c r="BA533" t="s">
        <v>233</v>
      </c>
      <c r="BB533" t="s">
        <v>463</v>
      </c>
      <c r="BC533">
        <v>1</v>
      </c>
      <c r="BD53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33" t="str">
        <f>IF(GetCurrentMonthAging3[[#This Row],[InsGroupPrimary]]="","YES","NO")</f>
        <v>YES</v>
      </c>
      <c r="BF53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-56.86</v>
      </c>
    </row>
    <row r="534" spans="1:58" x14ac:dyDescent="0.25">
      <c r="A534" t="s">
        <v>103</v>
      </c>
      <c r="B534">
        <v>6</v>
      </c>
      <c r="C534" t="s">
        <v>331</v>
      </c>
      <c r="D534" s="142">
        <v>45199</v>
      </c>
      <c r="E534">
        <v>76142</v>
      </c>
      <c r="H534" t="b">
        <v>0</v>
      </c>
      <c r="I534">
        <v>1</v>
      </c>
      <c r="J534" t="s">
        <v>462</v>
      </c>
      <c r="AN534">
        <v>-25</v>
      </c>
      <c r="AV534" t="s">
        <v>334</v>
      </c>
      <c r="AW534" t="s">
        <v>334</v>
      </c>
      <c r="BA534" t="s">
        <v>264</v>
      </c>
      <c r="BB534" t="s">
        <v>463</v>
      </c>
      <c r="BC534">
        <v>1</v>
      </c>
      <c r="BD53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34" t="str">
        <f>IF(GetCurrentMonthAging3[[#This Row],[InsGroupPrimary]]="","YES","NO")</f>
        <v>YES</v>
      </c>
      <c r="BF53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v>
      </c>
    </row>
    <row r="535" spans="1:58" x14ac:dyDescent="0.25">
      <c r="A535" t="s">
        <v>103</v>
      </c>
      <c r="B535">
        <v>6</v>
      </c>
      <c r="C535" t="s">
        <v>331</v>
      </c>
      <c r="D535" s="142">
        <v>45199</v>
      </c>
      <c r="E535">
        <v>185469</v>
      </c>
      <c r="H535" t="b">
        <v>0</v>
      </c>
      <c r="I535">
        <v>1</v>
      </c>
      <c r="J535" t="s">
        <v>462</v>
      </c>
      <c r="AN535">
        <v>-0.04</v>
      </c>
      <c r="AV535" t="s">
        <v>334</v>
      </c>
      <c r="AW535" t="s">
        <v>334</v>
      </c>
      <c r="BA535" t="s">
        <v>264</v>
      </c>
      <c r="BB535" t="s">
        <v>463</v>
      </c>
      <c r="BC535">
        <v>1</v>
      </c>
      <c r="BD53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35" t="str">
        <f>IF(GetCurrentMonthAging3[[#This Row],[InsGroupPrimary]]="","YES","NO")</f>
        <v>YES</v>
      </c>
      <c r="BF53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-0.04</v>
      </c>
    </row>
    <row r="536" spans="1:58" x14ac:dyDescent="0.25">
      <c r="A536" t="s">
        <v>103</v>
      </c>
      <c r="B536">
        <v>6</v>
      </c>
      <c r="C536" t="s">
        <v>331</v>
      </c>
      <c r="D536" s="142">
        <v>45199</v>
      </c>
      <c r="E536">
        <v>242721</v>
      </c>
      <c r="H536" t="b">
        <v>0</v>
      </c>
      <c r="I536">
        <v>1</v>
      </c>
      <c r="J536" t="s">
        <v>462</v>
      </c>
      <c r="AN536">
        <v>-0.01</v>
      </c>
      <c r="AV536" t="s">
        <v>334</v>
      </c>
      <c r="AW536" t="s">
        <v>334</v>
      </c>
      <c r="BA536" t="s">
        <v>233</v>
      </c>
      <c r="BB536" t="s">
        <v>463</v>
      </c>
      <c r="BC536">
        <v>1</v>
      </c>
      <c r="BD53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36" t="str">
        <f>IF(GetCurrentMonthAging3[[#This Row],[InsGroupPrimary]]="","YES","NO")</f>
        <v>YES</v>
      </c>
      <c r="BF53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-0.01</v>
      </c>
    </row>
    <row r="537" spans="1:58" x14ac:dyDescent="0.25">
      <c r="A537" t="s">
        <v>103</v>
      </c>
      <c r="B537">
        <v>6</v>
      </c>
      <c r="C537" t="s">
        <v>331</v>
      </c>
      <c r="D537" s="142">
        <v>45199</v>
      </c>
      <c r="E537">
        <v>56965</v>
      </c>
      <c r="H537" t="b">
        <v>0</v>
      </c>
      <c r="I537">
        <v>1</v>
      </c>
      <c r="J537" t="s">
        <v>462</v>
      </c>
      <c r="AN537">
        <v>-30</v>
      </c>
      <c r="AV537" t="s">
        <v>334</v>
      </c>
      <c r="AW537" t="s">
        <v>334</v>
      </c>
      <c r="BA537" t="s">
        <v>264</v>
      </c>
      <c r="BB537" t="s">
        <v>463</v>
      </c>
      <c r="BC537">
        <v>1</v>
      </c>
      <c r="BD53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37" t="str">
        <f>IF(GetCurrentMonthAging3[[#This Row],[InsGroupPrimary]]="","YES","NO")</f>
        <v>YES</v>
      </c>
      <c r="BF53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-30</v>
      </c>
    </row>
    <row r="538" spans="1:58" x14ac:dyDescent="0.25">
      <c r="A538" t="s">
        <v>103</v>
      </c>
      <c r="B538">
        <v>6</v>
      </c>
      <c r="C538" t="s">
        <v>331</v>
      </c>
      <c r="D538" s="142">
        <v>45199</v>
      </c>
      <c r="E538">
        <v>221871</v>
      </c>
      <c r="H538" t="b">
        <v>0</v>
      </c>
      <c r="I538">
        <v>1</v>
      </c>
      <c r="J538" t="s">
        <v>462</v>
      </c>
      <c r="AN538">
        <v>-92.41</v>
      </c>
      <c r="AV538" t="s">
        <v>334</v>
      </c>
      <c r="AW538" t="s">
        <v>334</v>
      </c>
      <c r="BA538" t="s">
        <v>264</v>
      </c>
      <c r="BB538" t="s">
        <v>463</v>
      </c>
      <c r="BC538">
        <v>1</v>
      </c>
      <c r="BD53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38" t="str">
        <f>IF(GetCurrentMonthAging3[[#This Row],[InsGroupPrimary]]="","YES","NO")</f>
        <v>YES</v>
      </c>
      <c r="BF53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-92.41</v>
      </c>
    </row>
    <row r="539" spans="1:58" x14ac:dyDescent="0.25">
      <c r="A539" t="s">
        <v>100</v>
      </c>
      <c r="B539">
        <v>6</v>
      </c>
      <c r="C539" t="s">
        <v>331</v>
      </c>
      <c r="D539" s="142">
        <v>45199</v>
      </c>
      <c r="E539">
        <v>37291</v>
      </c>
      <c r="F539">
        <v>422462</v>
      </c>
      <c r="G539">
        <v>2769508</v>
      </c>
      <c r="H539" t="b">
        <v>0</v>
      </c>
      <c r="I539">
        <v>3538</v>
      </c>
      <c r="J539" t="s">
        <v>464</v>
      </c>
      <c r="K539">
        <v>5</v>
      </c>
      <c r="L539">
        <v>5</v>
      </c>
      <c r="M539">
        <v>1</v>
      </c>
      <c r="N539">
        <v>5</v>
      </c>
      <c r="O539">
        <v>0</v>
      </c>
      <c r="P539">
        <v>10</v>
      </c>
      <c r="Q539">
        <v>0</v>
      </c>
      <c r="R539">
        <v>0</v>
      </c>
      <c r="T539">
        <v>0</v>
      </c>
      <c r="U539">
        <v>0</v>
      </c>
      <c r="V539">
        <v>0</v>
      </c>
      <c r="W539">
        <v>0</v>
      </c>
      <c r="X539">
        <v>0</v>
      </c>
      <c r="Y539">
        <v>0</v>
      </c>
      <c r="Z539">
        <v>0</v>
      </c>
      <c r="AA539">
        <v>0</v>
      </c>
      <c r="AB539">
        <v>0</v>
      </c>
      <c r="AC539">
        <v>0</v>
      </c>
      <c r="AD539">
        <v>0</v>
      </c>
      <c r="AE539">
        <v>0</v>
      </c>
      <c r="AF539">
        <v>0</v>
      </c>
      <c r="AG539">
        <v>0</v>
      </c>
      <c r="AH539">
        <v>0</v>
      </c>
      <c r="AI539">
        <v>0</v>
      </c>
      <c r="AJ539">
        <v>0</v>
      </c>
      <c r="AK539">
        <v>0</v>
      </c>
      <c r="AL539">
        <v>0</v>
      </c>
      <c r="AM539">
        <v>0</v>
      </c>
      <c r="AN539">
        <v>-5</v>
      </c>
      <c r="AV539" t="s">
        <v>334</v>
      </c>
      <c r="AW539" t="s">
        <v>334</v>
      </c>
      <c r="AX539">
        <v>0</v>
      </c>
      <c r="AY539">
        <v>0</v>
      </c>
      <c r="AZ539" t="s">
        <v>264</v>
      </c>
      <c r="BA539" t="s">
        <v>264</v>
      </c>
      <c r="BB539" t="s">
        <v>411</v>
      </c>
      <c r="BC539">
        <v>8</v>
      </c>
      <c r="BD53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39" t="str">
        <f>IF(GetCurrentMonthAging3[[#This Row],[InsGroupPrimary]]="","YES","NO")</f>
        <v>YES</v>
      </c>
      <c r="BF53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v>
      </c>
    </row>
    <row r="540" spans="1:58" x14ac:dyDescent="0.25">
      <c r="A540" t="s">
        <v>103</v>
      </c>
      <c r="B540">
        <v>6</v>
      </c>
      <c r="C540" t="s">
        <v>331</v>
      </c>
      <c r="D540" s="142">
        <v>45199</v>
      </c>
      <c r="E540">
        <v>168367</v>
      </c>
      <c r="H540" t="b">
        <v>0</v>
      </c>
      <c r="I540">
        <v>1</v>
      </c>
      <c r="J540" t="s">
        <v>462</v>
      </c>
      <c r="AN540">
        <v>-98.25</v>
      </c>
      <c r="AV540" t="s">
        <v>334</v>
      </c>
      <c r="AW540" t="s">
        <v>334</v>
      </c>
      <c r="BA540" t="s">
        <v>264</v>
      </c>
      <c r="BB540" t="s">
        <v>463</v>
      </c>
      <c r="BC540">
        <v>1</v>
      </c>
      <c r="BD54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40" t="str">
        <f>IF(GetCurrentMonthAging3[[#This Row],[InsGroupPrimary]]="","YES","NO")</f>
        <v>YES</v>
      </c>
      <c r="BF54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-98.25</v>
      </c>
    </row>
    <row r="541" spans="1:58" x14ac:dyDescent="0.25">
      <c r="A541" t="s">
        <v>103</v>
      </c>
      <c r="B541">
        <v>6</v>
      </c>
      <c r="C541" t="s">
        <v>331</v>
      </c>
      <c r="D541" s="142">
        <v>45199</v>
      </c>
      <c r="E541">
        <v>244337</v>
      </c>
      <c r="H541" t="b">
        <v>0</v>
      </c>
      <c r="I541">
        <v>1</v>
      </c>
      <c r="J541" t="s">
        <v>462</v>
      </c>
      <c r="AN541">
        <v>-96.31</v>
      </c>
      <c r="AV541" t="s">
        <v>334</v>
      </c>
      <c r="AW541" t="s">
        <v>334</v>
      </c>
      <c r="BA541" t="s">
        <v>264</v>
      </c>
      <c r="BB541" t="s">
        <v>463</v>
      </c>
      <c r="BC541">
        <v>1</v>
      </c>
      <c r="BD54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41" t="str">
        <f>IF(GetCurrentMonthAging3[[#This Row],[InsGroupPrimary]]="","YES","NO")</f>
        <v>YES</v>
      </c>
      <c r="BF54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-96.31</v>
      </c>
    </row>
    <row r="542" spans="1:58" x14ac:dyDescent="0.25">
      <c r="A542" t="s">
        <v>103</v>
      </c>
      <c r="B542">
        <v>6</v>
      </c>
      <c r="C542" t="s">
        <v>331</v>
      </c>
      <c r="D542" s="142">
        <v>45199</v>
      </c>
      <c r="E542">
        <v>146404</v>
      </c>
      <c r="H542" t="b">
        <v>0</v>
      </c>
      <c r="I542">
        <v>1</v>
      </c>
      <c r="J542" t="s">
        <v>462</v>
      </c>
      <c r="AN542">
        <v>-90</v>
      </c>
      <c r="AV542" t="s">
        <v>334</v>
      </c>
      <c r="AW542" t="s">
        <v>334</v>
      </c>
      <c r="BA542" t="s">
        <v>233</v>
      </c>
      <c r="BB542" t="s">
        <v>463</v>
      </c>
      <c r="BC542">
        <v>1</v>
      </c>
      <c r="BD54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42" t="str">
        <f>IF(GetCurrentMonthAging3[[#This Row],[InsGroupPrimary]]="","YES","NO")</f>
        <v>YES</v>
      </c>
      <c r="BF54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-90</v>
      </c>
    </row>
    <row r="543" spans="1:58" x14ac:dyDescent="0.25">
      <c r="A543" t="s">
        <v>103</v>
      </c>
      <c r="B543">
        <v>6</v>
      </c>
      <c r="C543" t="s">
        <v>331</v>
      </c>
      <c r="D543" s="142">
        <v>45199</v>
      </c>
      <c r="E543">
        <v>54196</v>
      </c>
      <c r="H543" t="b">
        <v>0</v>
      </c>
      <c r="I543">
        <v>1</v>
      </c>
      <c r="J543" t="s">
        <v>462</v>
      </c>
      <c r="AN543">
        <v>-45</v>
      </c>
      <c r="AV543" t="s">
        <v>334</v>
      </c>
      <c r="AW543" t="s">
        <v>334</v>
      </c>
      <c r="BA543" t="s">
        <v>264</v>
      </c>
      <c r="BB543" t="s">
        <v>463</v>
      </c>
      <c r="BC543">
        <v>1</v>
      </c>
      <c r="BD54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43" t="str">
        <f>IF(GetCurrentMonthAging3[[#This Row],[InsGroupPrimary]]="","YES","NO")</f>
        <v>YES</v>
      </c>
      <c r="BF54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-45</v>
      </c>
    </row>
    <row r="544" spans="1:58" x14ac:dyDescent="0.25">
      <c r="A544" t="s">
        <v>103</v>
      </c>
      <c r="B544">
        <v>6</v>
      </c>
      <c r="C544" t="s">
        <v>331</v>
      </c>
      <c r="D544" s="142">
        <v>45199</v>
      </c>
      <c r="E544">
        <v>70451</v>
      </c>
      <c r="H544" t="b">
        <v>0</v>
      </c>
      <c r="I544">
        <v>1</v>
      </c>
      <c r="J544" t="s">
        <v>462</v>
      </c>
      <c r="AN544">
        <v>-140</v>
      </c>
      <c r="AV544" t="s">
        <v>334</v>
      </c>
      <c r="AW544" t="s">
        <v>334</v>
      </c>
      <c r="BA544" t="s">
        <v>233</v>
      </c>
      <c r="BB544" t="s">
        <v>463</v>
      </c>
      <c r="BC544">
        <v>1</v>
      </c>
      <c r="BD54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44" t="str">
        <f>IF(GetCurrentMonthAging3[[#This Row],[InsGroupPrimary]]="","YES","NO")</f>
        <v>YES</v>
      </c>
      <c r="BF54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-140</v>
      </c>
    </row>
    <row r="545" spans="1:58" x14ac:dyDescent="0.25">
      <c r="A545" t="s">
        <v>103</v>
      </c>
      <c r="B545">
        <v>6</v>
      </c>
      <c r="C545" t="s">
        <v>331</v>
      </c>
      <c r="D545" s="142">
        <v>45199</v>
      </c>
      <c r="E545">
        <v>112950</v>
      </c>
      <c r="H545" t="b">
        <v>0</v>
      </c>
      <c r="I545">
        <v>1</v>
      </c>
      <c r="J545" t="s">
        <v>462</v>
      </c>
      <c r="AN545">
        <v>-325</v>
      </c>
      <c r="AV545" t="s">
        <v>334</v>
      </c>
      <c r="AW545" t="s">
        <v>334</v>
      </c>
      <c r="BA545" t="s">
        <v>264</v>
      </c>
      <c r="BB545" t="s">
        <v>463</v>
      </c>
      <c r="BC545">
        <v>1</v>
      </c>
      <c r="BD54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45" t="str">
        <f>IF(GetCurrentMonthAging3[[#This Row],[InsGroupPrimary]]="","YES","NO")</f>
        <v>YES</v>
      </c>
      <c r="BF54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-325</v>
      </c>
    </row>
    <row r="546" spans="1:58" x14ac:dyDescent="0.25">
      <c r="A546" t="s">
        <v>103</v>
      </c>
      <c r="B546">
        <v>6</v>
      </c>
      <c r="C546" t="s">
        <v>331</v>
      </c>
      <c r="D546" s="142">
        <v>45199</v>
      </c>
      <c r="E546">
        <v>156920</v>
      </c>
      <c r="H546" t="b">
        <v>0</v>
      </c>
      <c r="I546">
        <v>1</v>
      </c>
      <c r="J546" t="s">
        <v>462</v>
      </c>
      <c r="AN546">
        <v>-102</v>
      </c>
      <c r="AV546" t="s">
        <v>334</v>
      </c>
      <c r="AW546" t="s">
        <v>334</v>
      </c>
      <c r="BA546" t="s">
        <v>233</v>
      </c>
      <c r="BB546" t="s">
        <v>463</v>
      </c>
      <c r="BC546">
        <v>1</v>
      </c>
      <c r="BD54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46" t="str">
        <f>IF(GetCurrentMonthAging3[[#This Row],[InsGroupPrimary]]="","YES","NO")</f>
        <v>YES</v>
      </c>
      <c r="BF54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-102</v>
      </c>
    </row>
    <row r="547" spans="1:58" x14ac:dyDescent="0.25">
      <c r="A547" t="s">
        <v>103</v>
      </c>
      <c r="B547">
        <v>6</v>
      </c>
      <c r="C547" t="s">
        <v>331</v>
      </c>
      <c r="D547" s="142">
        <v>45199</v>
      </c>
      <c r="E547">
        <v>85887</v>
      </c>
      <c r="H547" t="b">
        <v>0</v>
      </c>
      <c r="I547">
        <v>1</v>
      </c>
      <c r="J547" t="s">
        <v>462</v>
      </c>
      <c r="AN547">
        <v>-343.5</v>
      </c>
      <c r="AV547" t="s">
        <v>334</v>
      </c>
      <c r="AW547" t="s">
        <v>334</v>
      </c>
      <c r="BA547" t="s">
        <v>264</v>
      </c>
      <c r="BB547" t="s">
        <v>463</v>
      </c>
      <c r="BC547">
        <v>1</v>
      </c>
      <c r="BD54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47" t="str">
        <f>IF(GetCurrentMonthAging3[[#This Row],[InsGroupPrimary]]="","YES","NO")</f>
        <v>YES</v>
      </c>
      <c r="BF54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-343.5</v>
      </c>
    </row>
    <row r="548" spans="1:58" x14ac:dyDescent="0.25">
      <c r="A548" t="s">
        <v>103</v>
      </c>
      <c r="B548">
        <v>6</v>
      </c>
      <c r="C548" t="s">
        <v>331</v>
      </c>
      <c r="D548" s="142">
        <v>45199</v>
      </c>
      <c r="E548">
        <v>63237</v>
      </c>
      <c r="H548" t="b">
        <v>0</v>
      </c>
      <c r="I548">
        <v>1</v>
      </c>
      <c r="J548" t="s">
        <v>462</v>
      </c>
      <c r="AN548">
        <v>-30</v>
      </c>
      <c r="AV548" t="s">
        <v>334</v>
      </c>
      <c r="AW548" t="s">
        <v>334</v>
      </c>
      <c r="BA548" t="s">
        <v>233</v>
      </c>
      <c r="BB548" t="s">
        <v>463</v>
      </c>
      <c r="BC548">
        <v>1</v>
      </c>
      <c r="BD54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48" t="str">
        <f>IF(GetCurrentMonthAging3[[#This Row],[InsGroupPrimary]]="","YES","NO")</f>
        <v>YES</v>
      </c>
      <c r="BF54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-30</v>
      </c>
    </row>
    <row r="549" spans="1:58" x14ac:dyDescent="0.25">
      <c r="A549" t="s">
        <v>103</v>
      </c>
      <c r="B549">
        <v>6</v>
      </c>
      <c r="C549" t="s">
        <v>331</v>
      </c>
      <c r="D549" s="142">
        <v>45199</v>
      </c>
      <c r="E549">
        <v>59433</v>
      </c>
      <c r="H549" t="b">
        <v>0</v>
      </c>
      <c r="I549">
        <v>1</v>
      </c>
      <c r="J549" t="s">
        <v>462</v>
      </c>
      <c r="AN549">
        <v>-40</v>
      </c>
      <c r="AV549" t="s">
        <v>334</v>
      </c>
      <c r="AW549" t="s">
        <v>334</v>
      </c>
      <c r="BA549" t="s">
        <v>264</v>
      </c>
      <c r="BB549" t="s">
        <v>463</v>
      </c>
      <c r="BC549">
        <v>1</v>
      </c>
      <c r="BD54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49" t="str">
        <f>IF(GetCurrentMonthAging3[[#This Row],[InsGroupPrimary]]="","YES","NO")</f>
        <v>YES</v>
      </c>
      <c r="BF54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-40</v>
      </c>
    </row>
    <row r="550" spans="1:58" x14ac:dyDescent="0.25">
      <c r="A550" t="s">
        <v>103</v>
      </c>
      <c r="B550">
        <v>6</v>
      </c>
      <c r="C550" t="s">
        <v>331</v>
      </c>
      <c r="D550" s="142">
        <v>45199</v>
      </c>
      <c r="E550">
        <v>11633</v>
      </c>
      <c r="H550" t="b">
        <v>0</v>
      </c>
      <c r="I550">
        <v>1</v>
      </c>
      <c r="J550" t="s">
        <v>462</v>
      </c>
      <c r="AN550">
        <v>-39.99</v>
      </c>
      <c r="AV550" t="s">
        <v>334</v>
      </c>
      <c r="AW550" t="s">
        <v>334</v>
      </c>
      <c r="BA550" t="s">
        <v>264</v>
      </c>
      <c r="BB550" t="s">
        <v>463</v>
      </c>
      <c r="BC550">
        <v>1</v>
      </c>
      <c r="BD55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50" t="str">
        <f>IF(GetCurrentMonthAging3[[#This Row],[InsGroupPrimary]]="","YES","NO")</f>
        <v>YES</v>
      </c>
      <c r="BF55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-39.99</v>
      </c>
    </row>
    <row r="551" spans="1:58" x14ac:dyDescent="0.25">
      <c r="A551" t="s">
        <v>103</v>
      </c>
      <c r="B551">
        <v>6</v>
      </c>
      <c r="C551" t="s">
        <v>331</v>
      </c>
      <c r="D551" s="142">
        <v>45199</v>
      </c>
      <c r="E551">
        <v>54481</v>
      </c>
      <c r="H551" t="b">
        <v>0</v>
      </c>
      <c r="I551">
        <v>1</v>
      </c>
      <c r="J551" t="s">
        <v>462</v>
      </c>
      <c r="AN551">
        <v>-5</v>
      </c>
      <c r="AV551" t="s">
        <v>334</v>
      </c>
      <c r="AW551" t="s">
        <v>334</v>
      </c>
      <c r="BA551" t="s">
        <v>264</v>
      </c>
      <c r="BB551" t="s">
        <v>463</v>
      </c>
      <c r="BC551">
        <v>1</v>
      </c>
      <c r="BD55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51" t="str">
        <f>IF(GetCurrentMonthAging3[[#This Row],[InsGroupPrimary]]="","YES","NO")</f>
        <v>YES</v>
      </c>
      <c r="BF55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v>
      </c>
    </row>
    <row r="552" spans="1:58" x14ac:dyDescent="0.25">
      <c r="A552" t="s">
        <v>103</v>
      </c>
      <c r="B552">
        <v>6</v>
      </c>
      <c r="C552" t="s">
        <v>331</v>
      </c>
      <c r="D552" s="142">
        <v>45199</v>
      </c>
      <c r="E552">
        <v>188767</v>
      </c>
      <c r="H552" t="b">
        <v>0</v>
      </c>
      <c r="I552">
        <v>1</v>
      </c>
      <c r="J552" t="s">
        <v>462</v>
      </c>
      <c r="AN552">
        <v>-4.34</v>
      </c>
      <c r="AV552" t="s">
        <v>334</v>
      </c>
      <c r="AW552" t="s">
        <v>334</v>
      </c>
      <c r="BA552" t="s">
        <v>264</v>
      </c>
      <c r="BB552" t="s">
        <v>463</v>
      </c>
      <c r="BC552">
        <v>1</v>
      </c>
      <c r="BD55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52" t="str">
        <f>IF(GetCurrentMonthAging3[[#This Row],[InsGroupPrimary]]="","YES","NO")</f>
        <v>YES</v>
      </c>
      <c r="BF55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-4.34</v>
      </c>
    </row>
    <row r="553" spans="1:58" x14ac:dyDescent="0.25">
      <c r="A553" t="s">
        <v>103</v>
      </c>
      <c r="B553">
        <v>6</v>
      </c>
      <c r="C553" t="s">
        <v>331</v>
      </c>
      <c r="D553" s="142">
        <v>45199</v>
      </c>
      <c r="E553">
        <v>204900</v>
      </c>
      <c r="H553" t="b">
        <v>0</v>
      </c>
      <c r="I553">
        <v>1</v>
      </c>
      <c r="J553" t="s">
        <v>462</v>
      </c>
      <c r="AN553">
        <v>-80</v>
      </c>
      <c r="AV553" t="s">
        <v>334</v>
      </c>
      <c r="AW553" t="s">
        <v>334</v>
      </c>
      <c r="BA553" t="s">
        <v>264</v>
      </c>
      <c r="BB553" t="s">
        <v>463</v>
      </c>
      <c r="BC553">
        <v>1</v>
      </c>
      <c r="BD55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53" t="str">
        <f>IF(GetCurrentMonthAging3[[#This Row],[InsGroupPrimary]]="","YES","NO")</f>
        <v>YES</v>
      </c>
      <c r="BF55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-80</v>
      </c>
    </row>
    <row r="554" spans="1:58" x14ac:dyDescent="0.25">
      <c r="A554" t="s">
        <v>103</v>
      </c>
      <c r="B554">
        <v>6</v>
      </c>
      <c r="C554" t="s">
        <v>331</v>
      </c>
      <c r="D554" s="142">
        <v>45199</v>
      </c>
      <c r="E554">
        <v>250075</v>
      </c>
      <c r="H554" t="b">
        <v>0</v>
      </c>
      <c r="I554">
        <v>1</v>
      </c>
      <c r="J554" t="s">
        <v>462</v>
      </c>
      <c r="AN554">
        <v>-172.94</v>
      </c>
      <c r="AV554" t="s">
        <v>334</v>
      </c>
      <c r="AW554" t="s">
        <v>334</v>
      </c>
      <c r="BA554" t="s">
        <v>233</v>
      </c>
      <c r="BB554" t="s">
        <v>463</v>
      </c>
      <c r="BC554">
        <v>1</v>
      </c>
      <c r="BD55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54" t="str">
        <f>IF(GetCurrentMonthAging3[[#This Row],[InsGroupPrimary]]="","YES","NO")</f>
        <v>YES</v>
      </c>
      <c r="BF55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-172.94</v>
      </c>
    </row>
    <row r="555" spans="1:58" x14ac:dyDescent="0.25">
      <c r="A555" t="s">
        <v>103</v>
      </c>
      <c r="B555">
        <v>6</v>
      </c>
      <c r="C555" t="s">
        <v>331</v>
      </c>
      <c r="D555" s="142">
        <v>45199</v>
      </c>
      <c r="E555">
        <v>103005</v>
      </c>
      <c r="H555" t="b">
        <v>0</v>
      </c>
      <c r="I555">
        <v>1</v>
      </c>
      <c r="J555" t="s">
        <v>462</v>
      </c>
      <c r="AN555">
        <v>-135</v>
      </c>
      <c r="AV555" t="s">
        <v>334</v>
      </c>
      <c r="AW555" t="s">
        <v>334</v>
      </c>
      <c r="BA555" t="s">
        <v>264</v>
      </c>
      <c r="BB555" t="s">
        <v>463</v>
      </c>
      <c r="BC555">
        <v>1</v>
      </c>
      <c r="BD55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55" t="str">
        <f>IF(GetCurrentMonthAging3[[#This Row],[InsGroupPrimary]]="","YES","NO")</f>
        <v>YES</v>
      </c>
      <c r="BF55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-135</v>
      </c>
    </row>
    <row r="556" spans="1:58" x14ac:dyDescent="0.25">
      <c r="A556" t="s">
        <v>103</v>
      </c>
      <c r="B556">
        <v>6</v>
      </c>
      <c r="C556" t="s">
        <v>331</v>
      </c>
      <c r="D556" s="142">
        <v>45199</v>
      </c>
      <c r="E556">
        <v>92878</v>
      </c>
      <c r="H556" t="b">
        <v>0</v>
      </c>
      <c r="I556">
        <v>1</v>
      </c>
      <c r="J556" t="s">
        <v>462</v>
      </c>
      <c r="AN556">
        <v>-240</v>
      </c>
      <c r="AV556" t="s">
        <v>334</v>
      </c>
      <c r="AW556" t="s">
        <v>334</v>
      </c>
      <c r="BA556" t="s">
        <v>233</v>
      </c>
      <c r="BB556" t="s">
        <v>463</v>
      </c>
      <c r="BC556">
        <v>1</v>
      </c>
      <c r="BD55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56" t="str">
        <f>IF(GetCurrentMonthAging3[[#This Row],[InsGroupPrimary]]="","YES","NO")</f>
        <v>YES</v>
      </c>
      <c r="BF55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-240</v>
      </c>
    </row>
    <row r="557" spans="1:58" x14ac:dyDescent="0.25">
      <c r="A557" t="s">
        <v>103</v>
      </c>
      <c r="B557">
        <v>6</v>
      </c>
      <c r="C557" t="s">
        <v>331</v>
      </c>
      <c r="D557" s="142">
        <v>45199</v>
      </c>
      <c r="E557">
        <v>109773</v>
      </c>
      <c r="H557" t="b">
        <v>0</v>
      </c>
      <c r="I557">
        <v>1</v>
      </c>
      <c r="J557" t="s">
        <v>462</v>
      </c>
      <c r="AN557">
        <v>-6</v>
      </c>
      <c r="AV557" t="s">
        <v>334</v>
      </c>
      <c r="AW557" t="s">
        <v>334</v>
      </c>
      <c r="BA557" t="s">
        <v>264</v>
      </c>
      <c r="BB557" t="s">
        <v>463</v>
      </c>
      <c r="BC557">
        <v>1</v>
      </c>
      <c r="BD55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57" t="str">
        <f>IF(GetCurrentMonthAging3[[#This Row],[InsGroupPrimary]]="","YES","NO")</f>
        <v>YES</v>
      </c>
      <c r="BF55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v>
      </c>
    </row>
    <row r="558" spans="1:58" x14ac:dyDescent="0.25">
      <c r="A558" t="s">
        <v>103</v>
      </c>
      <c r="B558">
        <v>6</v>
      </c>
      <c r="C558" t="s">
        <v>331</v>
      </c>
      <c r="D558" s="142">
        <v>45199</v>
      </c>
      <c r="E558">
        <v>253222</v>
      </c>
      <c r="H558" t="b">
        <v>0</v>
      </c>
      <c r="I558">
        <v>1</v>
      </c>
      <c r="J558" t="s">
        <v>462</v>
      </c>
      <c r="AN558">
        <v>-5</v>
      </c>
      <c r="AV558" t="s">
        <v>334</v>
      </c>
      <c r="AW558" t="s">
        <v>334</v>
      </c>
      <c r="BA558" t="s">
        <v>264</v>
      </c>
      <c r="BB558" t="s">
        <v>463</v>
      </c>
      <c r="BC558">
        <v>1</v>
      </c>
      <c r="BD55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58" t="str">
        <f>IF(GetCurrentMonthAging3[[#This Row],[InsGroupPrimary]]="","YES","NO")</f>
        <v>YES</v>
      </c>
      <c r="BF55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v>
      </c>
    </row>
    <row r="559" spans="1:58" x14ac:dyDescent="0.25">
      <c r="A559" t="s">
        <v>103</v>
      </c>
      <c r="B559">
        <v>6</v>
      </c>
      <c r="C559" t="s">
        <v>331</v>
      </c>
      <c r="D559" s="142">
        <v>45199</v>
      </c>
      <c r="E559">
        <v>19434</v>
      </c>
      <c r="H559" t="b">
        <v>0</v>
      </c>
      <c r="I559">
        <v>1</v>
      </c>
      <c r="J559" t="s">
        <v>462</v>
      </c>
      <c r="AN559">
        <v>-15</v>
      </c>
      <c r="AV559" t="s">
        <v>334</v>
      </c>
      <c r="AW559" t="s">
        <v>334</v>
      </c>
      <c r="BA559" t="s">
        <v>233</v>
      </c>
      <c r="BB559" t="s">
        <v>463</v>
      </c>
      <c r="BC559">
        <v>1</v>
      </c>
      <c r="BD55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59" t="str">
        <f>IF(GetCurrentMonthAging3[[#This Row],[InsGroupPrimary]]="","YES","NO")</f>
        <v>YES</v>
      </c>
      <c r="BF55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v>
      </c>
    </row>
    <row r="560" spans="1:58" x14ac:dyDescent="0.25">
      <c r="A560" t="s">
        <v>103</v>
      </c>
      <c r="B560">
        <v>6</v>
      </c>
      <c r="C560" t="s">
        <v>331</v>
      </c>
      <c r="D560" s="142">
        <v>45199</v>
      </c>
      <c r="E560">
        <v>53460</v>
      </c>
      <c r="H560" t="b">
        <v>0</v>
      </c>
      <c r="I560">
        <v>1</v>
      </c>
      <c r="J560" t="s">
        <v>462</v>
      </c>
      <c r="AN560">
        <v>-4.25</v>
      </c>
      <c r="AV560" t="s">
        <v>334</v>
      </c>
      <c r="AW560" t="s">
        <v>334</v>
      </c>
      <c r="BA560" t="s">
        <v>264</v>
      </c>
      <c r="BB560" t="s">
        <v>463</v>
      </c>
      <c r="BC560">
        <v>1</v>
      </c>
      <c r="BD56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60" t="str">
        <f>IF(GetCurrentMonthAging3[[#This Row],[InsGroupPrimary]]="","YES","NO")</f>
        <v>YES</v>
      </c>
      <c r="BF56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-4.25</v>
      </c>
    </row>
    <row r="561" spans="1:58" x14ac:dyDescent="0.25">
      <c r="A561" t="s">
        <v>103</v>
      </c>
      <c r="B561">
        <v>6</v>
      </c>
      <c r="C561" t="s">
        <v>331</v>
      </c>
      <c r="D561" s="142">
        <v>45199</v>
      </c>
      <c r="E561">
        <v>178721</v>
      </c>
      <c r="H561" t="b">
        <v>0</v>
      </c>
      <c r="I561">
        <v>1</v>
      </c>
      <c r="J561" t="s">
        <v>462</v>
      </c>
      <c r="AN561">
        <v>-150</v>
      </c>
      <c r="AV561" t="s">
        <v>334</v>
      </c>
      <c r="AW561" t="s">
        <v>334</v>
      </c>
      <c r="BA561" t="s">
        <v>264</v>
      </c>
      <c r="BB561" t="s">
        <v>463</v>
      </c>
      <c r="BC561">
        <v>1</v>
      </c>
      <c r="BD56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61" t="str">
        <f>IF(GetCurrentMonthAging3[[#This Row],[InsGroupPrimary]]="","YES","NO")</f>
        <v>YES</v>
      </c>
      <c r="BF56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-150</v>
      </c>
    </row>
    <row r="562" spans="1:58" x14ac:dyDescent="0.25">
      <c r="A562" t="s">
        <v>103</v>
      </c>
      <c r="B562">
        <v>6</v>
      </c>
      <c r="C562" t="s">
        <v>331</v>
      </c>
      <c r="D562" s="142">
        <v>45199</v>
      </c>
      <c r="E562">
        <v>96726</v>
      </c>
      <c r="H562" t="b">
        <v>0</v>
      </c>
      <c r="I562">
        <v>1</v>
      </c>
      <c r="J562" t="s">
        <v>462</v>
      </c>
      <c r="AN562">
        <v>-24.69</v>
      </c>
      <c r="AV562" t="s">
        <v>334</v>
      </c>
      <c r="AW562" t="s">
        <v>334</v>
      </c>
      <c r="BA562" t="s">
        <v>264</v>
      </c>
      <c r="BB562" t="s">
        <v>463</v>
      </c>
      <c r="BC562">
        <v>1</v>
      </c>
      <c r="BD56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62" t="str">
        <f>IF(GetCurrentMonthAging3[[#This Row],[InsGroupPrimary]]="","YES","NO")</f>
        <v>YES</v>
      </c>
      <c r="BF56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-24.69</v>
      </c>
    </row>
    <row r="563" spans="1:58" x14ac:dyDescent="0.25">
      <c r="A563" t="s">
        <v>103</v>
      </c>
      <c r="B563">
        <v>6</v>
      </c>
      <c r="C563" t="s">
        <v>331</v>
      </c>
      <c r="D563" s="142">
        <v>45199</v>
      </c>
      <c r="E563">
        <v>161446</v>
      </c>
      <c r="H563" t="b">
        <v>0</v>
      </c>
      <c r="I563">
        <v>1</v>
      </c>
      <c r="J563" t="s">
        <v>462</v>
      </c>
      <c r="AN563">
        <v>-12.3</v>
      </c>
      <c r="AV563" t="s">
        <v>334</v>
      </c>
      <c r="AW563" t="s">
        <v>334</v>
      </c>
      <c r="BA563" t="s">
        <v>264</v>
      </c>
      <c r="BB563" t="s">
        <v>463</v>
      </c>
      <c r="BC563">
        <v>1</v>
      </c>
      <c r="BD56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63" t="str">
        <f>IF(GetCurrentMonthAging3[[#This Row],[InsGroupPrimary]]="","YES","NO")</f>
        <v>YES</v>
      </c>
      <c r="BF56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-12.3</v>
      </c>
    </row>
    <row r="564" spans="1:58" x14ac:dyDescent="0.25">
      <c r="A564" t="s">
        <v>103</v>
      </c>
      <c r="B564">
        <v>6</v>
      </c>
      <c r="C564" t="s">
        <v>331</v>
      </c>
      <c r="D564" s="142">
        <v>45199</v>
      </c>
      <c r="E564">
        <v>167627</v>
      </c>
      <c r="H564" t="b">
        <v>0</v>
      </c>
      <c r="I564">
        <v>1</v>
      </c>
      <c r="J564" t="s">
        <v>462</v>
      </c>
      <c r="AN564">
        <v>-108.45</v>
      </c>
      <c r="AV564" t="s">
        <v>334</v>
      </c>
      <c r="AW564" t="s">
        <v>334</v>
      </c>
      <c r="BA564" t="s">
        <v>264</v>
      </c>
      <c r="BB564" t="s">
        <v>463</v>
      </c>
      <c r="BC564">
        <v>1</v>
      </c>
      <c r="BD56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64" t="str">
        <f>IF(GetCurrentMonthAging3[[#This Row],[InsGroupPrimary]]="","YES","NO")</f>
        <v>YES</v>
      </c>
      <c r="BF56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-108.45</v>
      </c>
    </row>
    <row r="565" spans="1:58" x14ac:dyDescent="0.25">
      <c r="A565" t="s">
        <v>103</v>
      </c>
      <c r="B565">
        <v>6</v>
      </c>
      <c r="C565" t="s">
        <v>331</v>
      </c>
      <c r="D565" s="142">
        <v>45199</v>
      </c>
      <c r="E565">
        <v>51884</v>
      </c>
      <c r="H565" t="b">
        <v>0</v>
      </c>
      <c r="I565">
        <v>1</v>
      </c>
      <c r="J565" t="s">
        <v>462</v>
      </c>
      <c r="AN565">
        <v>-55.05</v>
      </c>
      <c r="AV565" t="s">
        <v>334</v>
      </c>
      <c r="AW565" t="s">
        <v>334</v>
      </c>
      <c r="BA565" t="s">
        <v>264</v>
      </c>
      <c r="BB565" t="s">
        <v>463</v>
      </c>
      <c r="BC565">
        <v>1</v>
      </c>
      <c r="BD56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65" t="str">
        <f>IF(GetCurrentMonthAging3[[#This Row],[InsGroupPrimary]]="","YES","NO")</f>
        <v>YES</v>
      </c>
      <c r="BF56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-55.05</v>
      </c>
    </row>
    <row r="566" spans="1:58" x14ac:dyDescent="0.25">
      <c r="A566" t="s">
        <v>103</v>
      </c>
      <c r="B566">
        <v>6</v>
      </c>
      <c r="C566" t="s">
        <v>331</v>
      </c>
      <c r="D566" s="142">
        <v>45199</v>
      </c>
      <c r="E566">
        <v>184593</v>
      </c>
      <c r="H566" t="b">
        <v>0</v>
      </c>
      <c r="I566">
        <v>1</v>
      </c>
      <c r="J566" t="s">
        <v>462</v>
      </c>
      <c r="AN566">
        <v>-42.35</v>
      </c>
      <c r="AV566" t="s">
        <v>334</v>
      </c>
      <c r="AW566" t="s">
        <v>334</v>
      </c>
      <c r="BA566" t="s">
        <v>264</v>
      </c>
      <c r="BB566" t="s">
        <v>463</v>
      </c>
      <c r="BC566">
        <v>1</v>
      </c>
      <c r="BD56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66" t="str">
        <f>IF(GetCurrentMonthAging3[[#This Row],[InsGroupPrimary]]="","YES","NO")</f>
        <v>YES</v>
      </c>
      <c r="BF56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-42.35</v>
      </c>
    </row>
    <row r="567" spans="1:58" x14ac:dyDescent="0.25">
      <c r="A567" t="s">
        <v>103</v>
      </c>
      <c r="B567">
        <v>6</v>
      </c>
      <c r="C567" t="s">
        <v>331</v>
      </c>
      <c r="D567" s="142">
        <v>45199</v>
      </c>
      <c r="E567">
        <v>121433</v>
      </c>
      <c r="H567" t="b">
        <v>0</v>
      </c>
      <c r="I567">
        <v>1</v>
      </c>
      <c r="J567" t="s">
        <v>462</v>
      </c>
      <c r="AN567">
        <v>-20</v>
      </c>
      <c r="AV567" t="s">
        <v>334</v>
      </c>
      <c r="AW567" t="s">
        <v>334</v>
      </c>
      <c r="BA567" t="s">
        <v>233</v>
      </c>
      <c r="BB567" t="s">
        <v>463</v>
      </c>
      <c r="BC567">
        <v>1</v>
      </c>
      <c r="BD56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67" t="str">
        <f>IF(GetCurrentMonthAging3[[#This Row],[InsGroupPrimary]]="","YES","NO")</f>
        <v>YES</v>
      </c>
      <c r="BF56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568" spans="1:58" x14ac:dyDescent="0.25">
      <c r="A568" t="s">
        <v>103</v>
      </c>
      <c r="B568">
        <v>6</v>
      </c>
      <c r="C568" t="s">
        <v>331</v>
      </c>
      <c r="D568" s="142">
        <v>45199</v>
      </c>
      <c r="E568">
        <v>33750</v>
      </c>
      <c r="H568" t="b">
        <v>0</v>
      </c>
      <c r="I568">
        <v>1</v>
      </c>
      <c r="J568" t="s">
        <v>462</v>
      </c>
      <c r="AN568">
        <v>-57.69</v>
      </c>
      <c r="AV568" t="s">
        <v>334</v>
      </c>
      <c r="AW568" t="s">
        <v>334</v>
      </c>
      <c r="BA568" t="s">
        <v>233</v>
      </c>
      <c r="BB568" t="s">
        <v>463</v>
      </c>
      <c r="BC568">
        <v>1</v>
      </c>
      <c r="BD56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68" t="str">
        <f>IF(GetCurrentMonthAging3[[#This Row],[InsGroupPrimary]]="","YES","NO")</f>
        <v>YES</v>
      </c>
      <c r="BF56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-57.69</v>
      </c>
    </row>
    <row r="569" spans="1:58" x14ac:dyDescent="0.25">
      <c r="A569" t="s">
        <v>103</v>
      </c>
      <c r="B569">
        <v>6</v>
      </c>
      <c r="C569" t="s">
        <v>331</v>
      </c>
      <c r="D569" s="142">
        <v>45199</v>
      </c>
      <c r="E569">
        <v>108048</v>
      </c>
      <c r="H569" t="b">
        <v>0</v>
      </c>
      <c r="I569">
        <v>1</v>
      </c>
      <c r="J569" t="s">
        <v>462</v>
      </c>
      <c r="AN569">
        <v>-320</v>
      </c>
      <c r="AV569" t="s">
        <v>334</v>
      </c>
      <c r="AW569" t="s">
        <v>334</v>
      </c>
      <c r="BA569" t="s">
        <v>264</v>
      </c>
      <c r="BB569" t="s">
        <v>463</v>
      </c>
      <c r="BC569">
        <v>1</v>
      </c>
      <c r="BD569">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69" t="str">
        <f>IF(GetCurrentMonthAging3[[#This Row],[InsGroupPrimary]]="","YES","NO")</f>
        <v>YES</v>
      </c>
      <c r="BF569">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-320</v>
      </c>
    </row>
    <row r="570" spans="1:58" x14ac:dyDescent="0.25">
      <c r="A570" t="s">
        <v>103</v>
      </c>
      <c r="B570">
        <v>6</v>
      </c>
      <c r="C570" t="s">
        <v>331</v>
      </c>
      <c r="D570" s="142">
        <v>45199</v>
      </c>
      <c r="E570">
        <v>57229</v>
      </c>
      <c r="H570" t="b">
        <v>0</v>
      </c>
      <c r="I570">
        <v>1</v>
      </c>
      <c r="J570" t="s">
        <v>462</v>
      </c>
      <c r="AN570">
        <v>-10.09</v>
      </c>
      <c r="AV570" t="s">
        <v>334</v>
      </c>
      <c r="AW570" t="s">
        <v>334</v>
      </c>
      <c r="BA570" t="s">
        <v>264</v>
      </c>
      <c r="BB570" t="s">
        <v>463</v>
      </c>
      <c r="BC570">
        <v>1</v>
      </c>
      <c r="BD570">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70" t="str">
        <f>IF(GetCurrentMonthAging3[[#This Row],[InsGroupPrimary]]="","YES","NO")</f>
        <v>YES</v>
      </c>
      <c r="BF570">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-10.09</v>
      </c>
    </row>
    <row r="571" spans="1:58" x14ac:dyDescent="0.25">
      <c r="A571" t="s">
        <v>103</v>
      </c>
      <c r="B571">
        <v>6</v>
      </c>
      <c r="C571" t="s">
        <v>331</v>
      </c>
      <c r="D571" s="142">
        <v>45199</v>
      </c>
      <c r="E571">
        <v>41720</v>
      </c>
      <c r="H571" t="b">
        <v>0</v>
      </c>
      <c r="I571">
        <v>1</v>
      </c>
      <c r="J571" t="s">
        <v>462</v>
      </c>
      <c r="AN571">
        <v>-50.71</v>
      </c>
      <c r="AV571" t="s">
        <v>334</v>
      </c>
      <c r="AW571" t="s">
        <v>334</v>
      </c>
      <c r="BA571" t="s">
        <v>233</v>
      </c>
      <c r="BB571" t="s">
        <v>463</v>
      </c>
      <c r="BC571">
        <v>1</v>
      </c>
      <c r="BD571">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71" t="str">
        <f>IF(GetCurrentMonthAging3[[#This Row],[InsGroupPrimary]]="","YES","NO")</f>
        <v>YES</v>
      </c>
      <c r="BF571">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-50.71</v>
      </c>
    </row>
    <row r="572" spans="1:58" x14ac:dyDescent="0.25">
      <c r="A572" t="s">
        <v>103</v>
      </c>
      <c r="B572">
        <v>6</v>
      </c>
      <c r="C572" t="s">
        <v>331</v>
      </c>
      <c r="D572" s="142">
        <v>45199</v>
      </c>
      <c r="E572">
        <v>76774</v>
      </c>
      <c r="H572" t="b">
        <v>0</v>
      </c>
      <c r="I572">
        <v>1</v>
      </c>
      <c r="J572" t="s">
        <v>462</v>
      </c>
      <c r="AN572">
        <v>-25</v>
      </c>
      <c r="AV572" t="s">
        <v>334</v>
      </c>
      <c r="AW572" t="s">
        <v>334</v>
      </c>
      <c r="BA572" t="s">
        <v>264</v>
      </c>
      <c r="BB572" t="s">
        <v>463</v>
      </c>
      <c r="BC572">
        <v>1</v>
      </c>
      <c r="BD572">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72" t="str">
        <f>IF(GetCurrentMonthAging3[[#This Row],[InsGroupPrimary]]="","YES","NO")</f>
        <v>YES</v>
      </c>
      <c r="BF572">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-25</v>
      </c>
    </row>
    <row r="573" spans="1:58" x14ac:dyDescent="0.25">
      <c r="A573" t="s">
        <v>103</v>
      </c>
      <c r="B573">
        <v>6</v>
      </c>
      <c r="C573" t="s">
        <v>331</v>
      </c>
      <c r="D573" s="142">
        <v>45199</v>
      </c>
      <c r="E573">
        <v>238420</v>
      </c>
      <c r="H573" t="b">
        <v>0</v>
      </c>
      <c r="I573">
        <v>1</v>
      </c>
      <c r="J573" t="s">
        <v>462</v>
      </c>
      <c r="AN573">
        <v>-84.53</v>
      </c>
      <c r="AV573" t="s">
        <v>334</v>
      </c>
      <c r="AW573" t="s">
        <v>334</v>
      </c>
      <c r="BA573" t="s">
        <v>264</v>
      </c>
      <c r="BB573" t="s">
        <v>463</v>
      </c>
      <c r="BC573">
        <v>1</v>
      </c>
      <c r="BD573">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73" t="str">
        <f>IF(GetCurrentMonthAging3[[#This Row],[InsGroupPrimary]]="","YES","NO")</f>
        <v>YES</v>
      </c>
      <c r="BF573">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-84.53</v>
      </c>
    </row>
    <row r="574" spans="1:58" x14ac:dyDescent="0.25">
      <c r="A574" t="s">
        <v>103</v>
      </c>
      <c r="B574">
        <v>6</v>
      </c>
      <c r="C574" t="s">
        <v>331</v>
      </c>
      <c r="D574" s="142">
        <v>45199</v>
      </c>
      <c r="E574">
        <v>146679</v>
      </c>
      <c r="H574" t="b">
        <v>0</v>
      </c>
      <c r="I574">
        <v>1</v>
      </c>
      <c r="J574" t="s">
        <v>462</v>
      </c>
      <c r="AN574">
        <v>-9.93</v>
      </c>
      <c r="AV574" t="s">
        <v>334</v>
      </c>
      <c r="AW574" t="s">
        <v>334</v>
      </c>
      <c r="BA574" t="s">
        <v>264</v>
      </c>
      <c r="BB574" t="s">
        <v>463</v>
      </c>
      <c r="BC574">
        <v>1</v>
      </c>
      <c r="BD574">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74" t="str">
        <f>IF(GetCurrentMonthAging3[[#This Row],[InsGroupPrimary]]="","YES","NO")</f>
        <v>YES</v>
      </c>
      <c r="BF574">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-9.93</v>
      </c>
    </row>
    <row r="575" spans="1:58" x14ac:dyDescent="0.25">
      <c r="A575" t="s">
        <v>103</v>
      </c>
      <c r="B575">
        <v>6</v>
      </c>
      <c r="C575" t="s">
        <v>331</v>
      </c>
      <c r="D575" s="142">
        <v>45199</v>
      </c>
      <c r="E575">
        <v>42420</v>
      </c>
      <c r="H575" t="b">
        <v>0</v>
      </c>
      <c r="I575">
        <v>1</v>
      </c>
      <c r="J575" t="s">
        <v>462</v>
      </c>
      <c r="AN575">
        <v>-20</v>
      </c>
      <c r="AV575" t="s">
        <v>334</v>
      </c>
      <c r="AW575" t="s">
        <v>334</v>
      </c>
      <c r="BA575" t="s">
        <v>233</v>
      </c>
      <c r="BB575" t="s">
        <v>463</v>
      </c>
      <c r="BC575">
        <v>1</v>
      </c>
      <c r="BD575">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75" t="str">
        <f>IF(GetCurrentMonthAging3[[#This Row],[InsGroupPrimary]]="","YES","NO")</f>
        <v>YES</v>
      </c>
      <c r="BF575">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-20</v>
      </c>
    </row>
    <row r="576" spans="1:58" x14ac:dyDescent="0.25">
      <c r="A576" t="s">
        <v>103</v>
      </c>
      <c r="B576">
        <v>6</v>
      </c>
      <c r="C576" t="s">
        <v>331</v>
      </c>
      <c r="D576" s="142">
        <v>45199</v>
      </c>
      <c r="E576">
        <v>44152</v>
      </c>
      <c r="H576" t="b">
        <v>0</v>
      </c>
      <c r="I576">
        <v>1</v>
      </c>
      <c r="J576" t="s">
        <v>462</v>
      </c>
      <c r="AN576">
        <v>-60</v>
      </c>
      <c r="AV576" t="s">
        <v>334</v>
      </c>
      <c r="AW576" t="s">
        <v>334</v>
      </c>
      <c r="BA576" t="s">
        <v>264</v>
      </c>
      <c r="BB576" t="s">
        <v>463</v>
      </c>
      <c r="BC576">
        <v>1</v>
      </c>
      <c r="BD576">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76" t="str">
        <f>IF(GetCurrentMonthAging3[[#This Row],[InsGroupPrimary]]="","YES","NO")</f>
        <v>YES</v>
      </c>
      <c r="BF576">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-60</v>
      </c>
    </row>
    <row r="577" spans="1:58" x14ac:dyDescent="0.25">
      <c r="A577" t="s">
        <v>103</v>
      </c>
      <c r="B577">
        <v>6</v>
      </c>
      <c r="C577" t="s">
        <v>331</v>
      </c>
      <c r="D577" s="142">
        <v>45199</v>
      </c>
      <c r="E577">
        <v>94520</v>
      </c>
      <c r="H577" t="b">
        <v>0</v>
      </c>
      <c r="I577">
        <v>1</v>
      </c>
      <c r="J577" t="s">
        <v>462</v>
      </c>
      <c r="AN577">
        <v>-30</v>
      </c>
      <c r="AV577" t="s">
        <v>334</v>
      </c>
      <c r="AW577" t="s">
        <v>334</v>
      </c>
      <c r="BA577" t="s">
        <v>264</v>
      </c>
      <c r="BB577" t="s">
        <v>463</v>
      </c>
      <c r="BC577">
        <v>1</v>
      </c>
      <c r="BD577">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77" t="str">
        <f>IF(GetCurrentMonthAging3[[#This Row],[InsGroupPrimary]]="","YES","NO")</f>
        <v>YES</v>
      </c>
      <c r="BF577">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-30</v>
      </c>
    </row>
    <row r="578" spans="1:58" x14ac:dyDescent="0.25">
      <c r="A578" t="s">
        <v>103</v>
      </c>
      <c r="B578">
        <v>6</v>
      </c>
      <c r="C578" t="s">
        <v>331</v>
      </c>
      <c r="D578" s="142">
        <v>45199</v>
      </c>
      <c r="E578">
        <v>198734</v>
      </c>
      <c r="H578" t="b">
        <v>0</v>
      </c>
      <c r="I578">
        <v>1</v>
      </c>
      <c r="J578" t="s">
        <v>462</v>
      </c>
      <c r="AN578">
        <v>-1.5</v>
      </c>
      <c r="AV578" t="s">
        <v>334</v>
      </c>
      <c r="AW578" t="s">
        <v>334</v>
      </c>
      <c r="BA578" t="s">
        <v>233</v>
      </c>
      <c r="BB578" t="s">
        <v>463</v>
      </c>
      <c r="BC578">
        <v>1</v>
      </c>
      <c r="BD578">
        <f>SUMIFS(GetCurrentMonthAging3[ARBalance],GetCurrentMonthAging3[AgeTrxType],GetCurrentMonthAging3[[#This Row],[AgeTrxType]],GetCurrentMonthAging3[AppointmentLocation],GetCurrentMonthAging3[[#This Row],[AppointmentLocation]],GetCurrentMonthAging3[InsGroupPrimary],GetCurrentMonthAging3[[#This Row],[InsGroupPrimary]],GetCurrentMonthAging3[caseid],GetCurrentMonthAging3[[#This Row],[caseid]])</f>
        <v>0</v>
      </c>
      <c r="BE578" t="str">
        <f>IF(GetCurrentMonthAging3[[#This Row],[InsGroupPrimary]]="","YES","NO")</f>
        <v>YES</v>
      </c>
      <c r="BF578">
        <f>SUMIFS(GetCurrentMonthAging3[ARBalance],GetCurrentMonthAging3[AgeTrxType],GetCurrentMonthAging3[[#This Row],[AgeTrxType]],GetCurrentMonthAging3[AppointmentLocation],GetCurrentMonthAging3[[#This Row],[AppointmentLocation]],GetCurrentMonthAging3[Column1],GetCurrentMonthAging3[[#This Row],[Column1]],GetCurrentMonthAging3[caseid],GetCurrentMonthAging3[[#This Row],[caseid]])</f>
        <v>-1.5</v>
      </c>
    </row>
  </sheetData>
  <phoneticPr fontId="23" type="noConversion"/>
  <pageMargins left="0.7" right="0.7" top="0.75" bottom="0.75" header="0.3" footer="0.3"/>
  <pageSetup orientation="portrait" horizontalDpi="0" verticalDpi="0"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theme="9"/>
  </sheetPr>
  <dimension ref="A1:H25"/>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'CC Rev Entry'!F2</f>
        <v>Amato PT</v>
      </c>
      <c r="H2" s="31"/>
    </row>
    <row r="3" spans="1:8" x14ac:dyDescent="0.25">
      <c r="B3" s="35"/>
      <c r="E3" s="35"/>
      <c r="H3" s="31"/>
    </row>
    <row r="4" spans="1:8" ht="15.75" thickBot="1" x14ac:dyDescent="0.3">
      <c r="B4" s="35"/>
      <c r="D4" s="44" t="s">
        <v>66</v>
      </c>
      <c r="E4" s="45">
        <f>'CC Rev Entry'!F4</f>
        <v>45199</v>
      </c>
    </row>
    <row r="5" spans="1:8" x14ac:dyDescent="0.25">
      <c r="B5" s="35"/>
    </row>
    <row r="6" spans="1:8" ht="15.75" thickBot="1" x14ac:dyDescent="0.3">
      <c r="B6" s="35"/>
      <c r="D6" s="44" t="s">
        <v>67</v>
      </c>
      <c r="E6" s="43" t="s">
        <v>150</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111</v>
      </c>
      <c r="D12" s="88">
        <f>E13</f>
        <v>0</v>
      </c>
      <c r="E12" s="88">
        <f>D13</f>
        <v>0</v>
      </c>
    </row>
    <row r="13" spans="1:8" x14ac:dyDescent="0.25">
      <c r="A13" s="51"/>
      <c r="B13" s="52" t="s">
        <v>205</v>
      </c>
      <c r="C13" s="53" t="s">
        <v>112</v>
      </c>
      <c r="D13" s="88">
        <f>IF('RF by Location &lt;-INPUT'!E23+'RF by Location &lt;-INPUT'!F23+'RF by Location &lt;-INPUT'!G23&lt;0,-('RF by Location &lt;-INPUT'!E23+'RF by Location &lt;-INPUT'!F23+'RF by Location &lt;-INPUT'!G23),0)</f>
        <v>0</v>
      </c>
      <c r="E13" s="88">
        <f>IF('RF by Location &lt;-INPUT'!E23+'RF by Location &lt;-INPUT'!F23+'RF by Location &lt;-INPUT'!G23&gt;0,'RF by Location &lt;-INPUT'!E23+'RF by Location &lt;-INPUT'!F23+'RF by Location &lt;-INPUT'!G23,0)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tabColor theme="9"/>
  </sheetPr>
  <dimension ref="A1:H31"/>
  <sheetViews>
    <sheetView workbookViewId="0"/>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Amato PT</v>
      </c>
      <c r="H2" s="31"/>
    </row>
    <row r="3" spans="1:8" x14ac:dyDescent="0.25">
      <c r="D3" s="35"/>
      <c r="F3" s="35"/>
      <c r="H3" s="31"/>
    </row>
    <row r="4" spans="1:8" ht="15.75" thickBot="1" x14ac:dyDescent="0.3">
      <c r="D4" s="35"/>
      <c r="E4" s="44" t="s">
        <v>66</v>
      </c>
      <c r="F4" s="97">
        <f>'Agile AR Aging &lt;-INPUT'!C20</f>
        <v>45199</v>
      </c>
    </row>
    <row r="5" spans="1:8" x14ac:dyDescent="0.25">
      <c r="D5" s="35"/>
    </row>
    <row r="6" spans="1:8" ht="15.75" thickBot="1" x14ac:dyDescent="0.3">
      <c r="D6" s="35"/>
      <c r="E6" s="44" t="s">
        <v>67</v>
      </c>
      <c r="F6" s="43" t="s">
        <v>150</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222</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223</v>
      </c>
      <c r="D12" s="52" t="s">
        <v>205</v>
      </c>
      <c r="E12" s="88">
        <f>F13</f>
        <v>0</v>
      </c>
      <c r="F12" s="88">
        <f>E13</f>
        <v>0</v>
      </c>
    </row>
    <row r="13" spans="1:8" x14ac:dyDescent="0.25">
      <c r="A13" s="51"/>
      <c r="B13" s="53" t="s">
        <v>151</v>
      </c>
      <c r="C13" s="53" t="s">
        <v>223</v>
      </c>
      <c r="D13" s="52" t="s">
        <v>206</v>
      </c>
      <c r="E13" s="88">
        <f>IF('RF by Location &lt;-INPUT'!C24&lt;0,-'RF by Location &lt;-INPUT'!C24,0)</f>
        <v>0</v>
      </c>
      <c r="F13" s="88">
        <f>IF('RF by Location &lt;-INPUT'!C24&gt;0,'RF by Location &lt;-INPUT'!C24,0)</f>
        <v>0</v>
      </c>
    </row>
    <row r="14" spans="1:8" x14ac:dyDescent="0.25">
      <c r="A14" s="51"/>
      <c r="B14" s="53" t="s">
        <v>76</v>
      </c>
      <c r="C14" s="53" t="s">
        <v>223</v>
      </c>
      <c r="D14" s="52" t="s">
        <v>207</v>
      </c>
      <c r="E14" s="88">
        <f>F15</f>
        <v>0</v>
      </c>
      <c r="F14" s="88">
        <f>E15</f>
        <v>60000</v>
      </c>
    </row>
    <row r="15" spans="1:8" x14ac:dyDescent="0.25">
      <c r="A15" s="51"/>
      <c r="B15" s="53" t="s">
        <v>20</v>
      </c>
      <c r="C15" s="53" t="s">
        <v>223</v>
      </c>
      <c r="D15" s="52" t="s">
        <v>208</v>
      </c>
      <c r="E15" s="88">
        <f>IF('Clinic 3'!M128&lt;0,-'Clinic 3'!M128,0)</f>
        <v>60000</v>
      </c>
      <c r="F15" s="88">
        <f>IF('Clinic 3'!M128&gt;0,'Clinic 3'!M128,0)</f>
        <v>0</v>
      </c>
    </row>
    <row r="16" spans="1:8" x14ac:dyDescent="0.25">
      <c r="A16" s="51"/>
      <c r="B16" s="53" t="s">
        <v>77</v>
      </c>
      <c r="C16" s="53" t="s">
        <v>223</v>
      </c>
      <c r="D16" s="52" t="s">
        <v>209</v>
      </c>
      <c r="E16" s="88">
        <f>IF('Clinic 3'!M66&lt;0,-'Clinic 3'!M66,0)</f>
        <v>60000</v>
      </c>
      <c r="F16" s="88">
        <f>IF('Clinic 3'!M66&gt;0,'Clinic 3'!M66,0)</f>
        <v>0</v>
      </c>
      <c r="G16" s="55"/>
    </row>
    <row r="17" spans="1:7" x14ac:dyDescent="0.25">
      <c r="A17" s="51"/>
      <c r="B17" s="53" t="s">
        <v>75</v>
      </c>
      <c r="C17" s="53" t="s">
        <v>223</v>
      </c>
      <c r="D17" s="52" t="s">
        <v>205</v>
      </c>
      <c r="E17" s="88">
        <f>IF('RF by Location &lt;-INPUT'!D24+'RF by Location &lt;-INPUT'!H24&lt;0,-('RF by Location &lt;-INPUT'!D24+'RF by Location &lt;-INPUT'!H24),0)</f>
        <v>0</v>
      </c>
      <c r="F17" s="88">
        <f>IF('RF by Location &lt;-INPUT'!D24+'RF by Location &lt;-INPUT'!H24&gt;0,'RF by Location &lt;-INPUT'!D24+'RF by Location &lt;-INPUT'!H24,0)</f>
        <v>0</v>
      </c>
      <c r="G17" s="24"/>
    </row>
    <row r="18" spans="1:7" x14ac:dyDescent="0.25">
      <c r="A18" s="51"/>
      <c r="B18" s="53" t="s">
        <v>78</v>
      </c>
      <c r="C18" s="53" t="s">
        <v>223</v>
      </c>
      <c r="D18" s="52" t="s">
        <v>210</v>
      </c>
      <c r="E18" s="88">
        <f>IF((F17+F16-E16-E19+F19)&gt;0,(F17+F16-E16-E19+F19),0)</f>
        <v>0</v>
      </c>
      <c r="F18" s="88">
        <f>IF((F17+F16-E16-E19+F19)&lt;0,-(F17+F16-E16-E19+F19),0)</f>
        <v>60000</v>
      </c>
      <c r="G18" s="56"/>
    </row>
    <row r="19" spans="1:7" x14ac:dyDescent="0.25">
      <c r="A19" s="51"/>
      <c r="B19" s="53" t="s">
        <v>79</v>
      </c>
      <c r="C19" s="53" t="s">
        <v>223</v>
      </c>
      <c r="D19" s="52" t="s">
        <v>207</v>
      </c>
      <c r="E19" s="88">
        <f>'Bad Debt Detail &lt;-INPUT'!E69</f>
        <v>0</v>
      </c>
      <c r="F19" s="88">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3">
    <tabColor theme="9"/>
  </sheetPr>
  <dimension ref="A1:H25"/>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'CC Rev Entry'!F2</f>
        <v>Amato PT</v>
      </c>
      <c r="H2" s="31"/>
    </row>
    <row r="3" spans="1:8" x14ac:dyDescent="0.25">
      <c r="B3" s="35"/>
      <c r="E3" s="35"/>
      <c r="H3" s="31"/>
    </row>
    <row r="4" spans="1:8" ht="15.75" thickBot="1" x14ac:dyDescent="0.3">
      <c r="B4" s="35"/>
      <c r="D4" s="44" t="s">
        <v>66</v>
      </c>
      <c r="E4" s="45">
        <f>'CC Rev Entry'!F4</f>
        <v>45199</v>
      </c>
    </row>
    <row r="5" spans="1:8" x14ac:dyDescent="0.25">
      <c r="B5" s="35"/>
    </row>
    <row r="6" spans="1:8" ht="15.75" thickBot="1" x14ac:dyDescent="0.3">
      <c r="B6" s="35"/>
      <c r="D6" s="44" t="s">
        <v>67</v>
      </c>
      <c r="E6" s="43" t="s">
        <v>150</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111</v>
      </c>
      <c r="D12" s="88">
        <f>E13</f>
        <v>0</v>
      </c>
      <c r="E12" s="88">
        <f>D13</f>
        <v>0</v>
      </c>
    </row>
    <row r="13" spans="1:8" x14ac:dyDescent="0.25">
      <c r="A13" s="51"/>
      <c r="B13" s="52" t="s">
        <v>205</v>
      </c>
      <c r="C13" s="53" t="s">
        <v>112</v>
      </c>
      <c r="D13" s="88">
        <f>IF('RF by Location &lt;-INPUT'!E24+'RF by Location &lt;-INPUT'!F24+'RF by Location &lt;-INPUT'!G24&lt;0,-('RF by Location &lt;-INPUT'!E24+'RF by Location &lt;-INPUT'!F24+'RF by Location &lt;-INPUT'!G24),0)</f>
        <v>0</v>
      </c>
      <c r="E13" s="88">
        <f>IF('RF by Location &lt;-INPUT'!E24+'RF by Location &lt;-INPUT'!F24+'RF by Location &lt;-INPUT'!G24&gt;0,'RF by Location &lt;-INPUT'!E24+'RF by Location &lt;-INPUT'!F24+'RF by Location &lt;-INPUT'!G24,0)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4">
    <tabColor theme="9"/>
  </sheetPr>
  <dimension ref="A1:H31"/>
  <sheetViews>
    <sheetView workbookViewId="0"/>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Amato PT</v>
      </c>
      <c r="H2" s="31"/>
    </row>
    <row r="3" spans="1:8" x14ac:dyDescent="0.25">
      <c r="D3" s="35"/>
      <c r="F3" s="35"/>
      <c r="H3" s="31"/>
    </row>
    <row r="4" spans="1:8" ht="15.75" thickBot="1" x14ac:dyDescent="0.3">
      <c r="D4" s="35"/>
      <c r="E4" s="44" t="s">
        <v>66</v>
      </c>
      <c r="F4" s="97">
        <f>'Agile AR Aging &lt;-INPUT'!C20</f>
        <v>45199</v>
      </c>
    </row>
    <row r="5" spans="1:8" x14ac:dyDescent="0.25">
      <c r="D5" s="35"/>
    </row>
    <row r="6" spans="1:8" ht="15.75" thickBot="1" x14ac:dyDescent="0.3">
      <c r="D6" s="35"/>
      <c r="E6" s="44" t="s">
        <v>67</v>
      </c>
      <c r="F6" s="43" t="s">
        <v>150</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222</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223</v>
      </c>
      <c r="D12" s="52" t="s">
        <v>205</v>
      </c>
      <c r="E12" s="88">
        <f>F13</f>
        <v>0</v>
      </c>
      <c r="F12" s="88">
        <f>E13</f>
        <v>0</v>
      </c>
    </row>
    <row r="13" spans="1:8" x14ac:dyDescent="0.25">
      <c r="A13" s="51"/>
      <c r="B13" s="53" t="s">
        <v>151</v>
      </c>
      <c r="C13" s="53" t="s">
        <v>223</v>
      </c>
      <c r="D13" s="52" t="s">
        <v>206</v>
      </c>
      <c r="E13" s="88">
        <f>IF('RF by Location &lt;-INPUT'!C25&lt;0,-'RF by Location &lt;-INPUT'!C25,0)</f>
        <v>0</v>
      </c>
      <c r="F13" s="88">
        <f>IF('RF by Location &lt;-INPUT'!C25&gt;0,'RF by Location &lt;-INPUT'!C25,0)</f>
        <v>0</v>
      </c>
    </row>
    <row r="14" spans="1:8" x14ac:dyDescent="0.25">
      <c r="A14" s="51"/>
      <c r="B14" s="53" t="s">
        <v>76</v>
      </c>
      <c r="C14" s="53" t="s">
        <v>223</v>
      </c>
      <c r="D14" s="52" t="s">
        <v>207</v>
      </c>
      <c r="E14" s="88">
        <f>F15</f>
        <v>0</v>
      </c>
      <c r="F14" s="88">
        <f>E15</f>
        <v>60000</v>
      </c>
    </row>
    <row r="15" spans="1:8" x14ac:dyDescent="0.25">
      <c r="A15" s="51"/>
      <c r="B15" s="53" t="s">
        <v>20</v>
      </c>
      <c r="C15" s="53" t="s">
        <v>223</v>
      </c>
      <c r="D15" s="52" t="s">
        <v>208</v>
      </c>
      <c r="E15" s="88">
        <f>IF('Clinic 4'!M128&lt;0,-'Clinic 4'!M128,0)</f>
        <v>60000</v>
      </c>
      <c r="F15" s="88">
        <f>IF('Clinic 4'!M128&gt;0,'Clinic 4'!M128,0)</f>
        <v>0</v>
      </c>
    </row>
    <row r="16" spans="1:8" x14ac:dyDescent="0.25">
      <c r="A16" s="51"/>
      <c r="B16" s="53" t="s">
        <v>77</v>
      </c>
      <c r="C16" s="53" t="s">
        <v>223</v>
      </c>
      <c r="D16" s="52" t="s">
        <v>209</v>
      </c>
      <c r="E16" s="88">
        <f>IF('Clinic 4'!M66&lt;0,-'Clinic 4'!M66,0)</f>
        <v>60000</v>
      </c>
      <c r="F16" s="88">
        <f>IF('Clinic 4'!M66&gt;0,'Clinic 4'!M66,0)</f>
        <v>0</v>
      </c>
      <c r="G16" s="55"/>
    </row>
    <row r="17" spans="1:7" x14ac:dyDescent="0.25">
      <c r="A17" s="51"/>
      <c r="B17" s="53" t="s">
        <v>75</v>
      </c>
      <c r="C17" s="53" t="s">
        <v>223</v>
      </c>
      <c r="D17" s="52" t="s">
        <v>205</v>
      </c>
      <c r="E17" s="88">
        <f>IF('RF by Location &lt;-INPUT'!D25+'RF by Location &lt;-INPUT'!H25&lt;0,-('RF by Location &lt;-INPUT'!D25+'RF by Location &lt;-INPUT'!H25),0)</f>
        <v>0</v>
      </c>
      <c r="F17" s="88">
        <f>IF('RF by Location &lt;-INPUT'!D25+'RF by Location &lt;-INPUT'!H25&gt;0,'RF by Location &lt;-INPUT'!D25+'RF by Location &lt;-INPUT'!H25,0)</f>
        <v>0</v>
      </c>
      <c r="G17" s="24"/>
    </row>
    <row r="18" spans="1:7" x14ac:dyDescent="0.25">
      <c r="A18" s="51"/>
      <c r="B18" s="53" t="s">
        <v>78</v>
      </c>
      <c r="C18" s="53" t="s">
        <v>223</v>
      </c>
      <c r="D18" s="52" t="s">
        <v>210</v>
      </c>
      <c r="E18" s="88">
        <f>IF((F17+F16-E16-E19+F19)&gt;0,(F17+F16-E16-E19+F19),0)</f>
        <v>0</v>
      </c>
      <c r="F18" s="88">
        <f>IF((F17+F16-E16-E19+F19)&lt;0,-(F17+F16-E16-E19+F19),0)</f>
        <v>60000</v>
      </c>
      <c r="G18" s="56"/>
    </row>
    <row r="19" spans="1:7" x14ac:dyDescent="0.25">
      <c r="A19" s="51"/>
      <c r="B19" s="53" t="s">
        <v>79</v>
      </c>
      <c r="C19" s="53" t="s">
        <v>223</v>
      </c>
      <c r="D19" s="52" t="s">
        <v>207</v>
      </c>
      <c r="E19" s="88">
        <f>'Bad Debt Detail &lt;-INPUT'!F69</f>
        <v>0</v>
      </c>
      <c r="F19" s="88">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5">
    <tabColor theme="9"/>
  </sheetPr>
  <dimension ref="A1:H25"/>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'CC Rev Entry'!F2</f>
        <v>Amato PT</v>
      </c>
      <c r="H2" s="31"/>
    </row>
    <row r="3" spans="1:8" x14ac:dyDescent="0.25">
      <c r="B3" s="35"/>
      <c r="E3" s="35"/>
      <c r="H3" s="31"/>
    </row>
    <row r="4" spans="1:8" ht="15.75" thickBot="1" x14ac:dyDescent="0.3">
      <c r="B4" s="35"/>
      <c r="D4" s="44" t="s">
        <v>66</v>
      </c>
      <c r="E4" s="45">
        <f>'CC Rev Entry'!F4</f>
        <v>45199</v>
      </c>
    </row>
    <row r="5" spans="1:8" x14ac:dyDescent="0.25">
      <c r="B5" s="35"/>
    </row>
    <row r="6" spans="1:8" ht="15.75" thickBot="1" x14ac:dyDescent="0.3">
      <c r="B6" s="35"/>
      <c r="D6" s="44" t="s">
        <v>67</v>
      </c>
      <c r="E6" s="43" t="s">
        <v>150</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111</v>
      </c>
      <c r="D12" s="88">
        <f>E13</f>
        <v>0</v>
      </c>
      <c r="E12" s="88">
        <f>D13</f>
        <v>0</v>
      </c>
    </row>
    <row r="13" spans="1:8" x14ac:dyDescent="0.25">
      <c r="A13" s="51"/>
      <c r="B13" s="52" t="s">
        <v>205</v>
      </c>
      <c r="C13" s="53" t="s">
        <v>112</v>
      </c>
      <c r="D13" s="88">
        <f>IF('RF by Location &lt;-INPUT'!E25+'RF by Location &lt;-INPUT'!F25+'RF by Location &lt;-INPUT'!G25&lt;0,-('RF by Location &lt;-INPUT'!E25+'RF by Location &lt;-INPUT'!F25+'RF by Location &lt;-INPUT'!G25),0)</f>
        <v>0</v>
      </c>
      <c r="E13" s="88">
        <f>IF('RF by Location &lt;-INPUT'!E25+'RF by Location &lt;-INPUT'!F25+'RF by Location &lt;-INPUT'!G25&gt;0,'RF by Location &lt;-INPUT'!E25+'RF by Location &lt;-INPUT'!F25+'RF by Location &lt;-INPUT'!G25,0)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6">
    <tabColor theme="9"/>
  </sheetPr>
  <dimension ref="A1:H31"/>
  <sheetViews>
    <sheetView workbookViewId="0"/>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Amato PT</v>
      </c>
      <c r="H2" s="31"/>
    </row>
    <row r="3" spans="1:8" x14ac:dyDescent="0.25">
      <c r="D3" s="35"/>
      <c r="F3" s="35"/>
      <c r="H3" s="31"/>
    </row>
    <row r="4" spans="1:8" ht="15.75" thickBot="1" x14ac:dyDescent="0.3">
      <c r="D4" s="35"/>
      <c r="E4" s="44" t="s">
        <v>66</v>
      </c>
      <c r="F4" s="97">
        <f>'Agile AR Aging &lt;-INPUT'!C20</f>
        <v>45199</v>
      </c>
    </row>
    <row r="5" spans="1:8" x14ac:dyDescent="0.25">
      <c r="D5" s="35"/>
    </row>
    <row r="6" spans="1:8" ht="15.75" thickBot="1" x14ac:dyDescent="0.3">
      <c r="D6" s="35"/>
      <c r="E6" s="44" t="s">
        <v>67</v>
      </c>
      <c r="F6" s="43" t="s">
        <v>150</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222</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223</v>
      </c>
      <c r="D12" s="52" t="s">
        <v>205</v>
      </c>
      <c r="E12" s="88">
        <f>F13</f>
        <v>0</v>
      </c>
      <c r="F12" s="88">
        <f>E13</f>
        <v>0</v>
      </c>
    </row>
    <row r="13" spans="1:8" x14ac:dyDescent="0.25">
      <c r="A13" s="51"/>
      <c r="B13" s="53" t="s">
        <v>151</v>
      </c>
      <c r="C13" s="53" t="s">
        <v>223</v>
      </c>
      <c r="D13" s="52" t="s">
        <v>206</v>
      </c>
      <c r="E13" s="88">
        <f>IF('RF by Location &lt;-INPUT'!C26&lt;0,-'RF by Location &lt;-INPUT'!C26,0)</f>
        <v>0</v>
      </c>
      <c r="F13" s="88">
        <f>IF('RF by Location &lt;-INPUT'!C26&gt;0,'RF by Location &lt;-INPUT'!C26,0)</f>
        <v>0</v>
      </c>
    </row>
    <row r="14" spans="1:8" x14ac:dyDescent="0.25">
      <c r="A14" s="51"/>
      <c r="B14" s="53" t="s">
        <v>76</v>
      </c>
      <c r="C14" s="53" t="s">
        <v>223</v>
      </c>
      <c r="D14" s="52" t="s">
        <v>207</v>
      </c>
      <c r="E14" s="88">
        <f>F15</f>
        <v>0</v>
      </c>
      <c r="F14" s="88">
        <f>E15</f>
        <v>60000</v>
      </c>
    </row>
    <row r="15" spans="1:8" x14ac:dyDescent="0.25">
      <c r="A15" s="51"/>
      <c r="B15" s="53" t="s">
        <v>20</v>
      </c>
      <c r="C15" s="53" t="s">
        <v>223</v>
      </c>
      <c r="D15" s="52" t="s">
        <v>208</v>
      </c>
      <c r="E15" s="88">
        <f>IF('Clinic 5'!M128&lt;0,-'Clinic 5'!M128,0)</f>
        <v>60000</v>
      </c>
      <c r="F15" s="88">
        <f>IF('Clinic 5'!M128&gt;0,'Clinic 5'!M128,0)</f>
        <v>0</v>
      </c>
    </row>
    <row r="16" spans="1:8" x14ac:dyDescent="0.25">
      <c r="A16" s="51"/>
      <c r="B16" s="53" t="s">
        <v>77</v>
      </c>
      <c r="C16" s="53" t="s">
        <v>223</v>
      </c>
      <c r="D16" s="52" t="s">
        <v>209</v>
      </c>
      <c r="E16" s="88">
        <f>IF('Clinic 5'!M66&lt;0,-'Clinic 5'!M66,0)</f>
        <v>60000</v>
      </c>
      <c r="F16" s="88">
        <f>IF('Clinic 5'!M66&gt;0,'Clinic 5'!M66,0)</f>
        <v>0</v>
      </c>
      <c r="G16" s="55"/>
    </row>
    <row r="17" spans="1:7" x14ac:dyDescent="0.25">
      <c r="A17" s="51"/>
      <c r="B17" s="53" t="s">
        <v>75</v>
      </c>
      <c r="C17" s="53" t="s">
        <v>223</v>
      </c>
      <c r="D17" s="52" t="s">
        <v>205</v>
      </c>
      <c r="E17" s="88">
        <f>IF('RF by Location &lt;-INPUT'!D26+'RF by Location &lt;-INPUT'!H26&lt;0,-('RF by Location &lt;-INPUT'!D26+'RF by Location &lt;-INPUT'!H26),0)</f>
        <v>0</v>
      </c>
      <c r="F17" s="88">
        <f>IF('RF by Location &lt;-INPUT'!D26+'RF by Location &lt;-INPUT'!H26&gt;0,'RF by Location &lt;-INPUT'!D26+'RF by Location &lt;-INPUT'!H26,0)</f>
        <v>0</v>
      </c>
      <c r="G17" s="24"/>
    </row>
    <row r="18" spans="1:7" x14ac:dyDescent="0.25">
      <c r="A18" s="51"/>
      <c r="B18" s="53" t="s">
        <v>78</v>
      </c>
      <c r="C18" s="53" t="s">
        <v>223</v>
      </c>
      <c r="D18" s="52" t="s">
        <v>210</v>
      </c>
      <c r="E18" s="88">
        <f>IF((F17+F16-E16-E19+F19)&gt;0,(F17+F16-E16-E19+F19),0)</f>
        <v>0</v>
      </c>
      <c r="F18" s="88">
        <f>IF((F17+F16-E16-E19+F19)&lt;0,-(F17+F16-E16-E19+F19),0)</f>
        <v>60000</v>
      </c>
      <c r="G18" s="56"/>
    </row>
    <row r="19" spans="1:7" x14ac:dyDescent="0.25">
      <c r="A19" s="51"/>
      <c r="B19" s="53" t="s">
        <v>79</v>
      </c>
      <c r="C19" s="53" t="s">
        <v>223</v>
      </c>
      <c r="D19" s="52" t="s">
        <v>207</v>
      </c>
      <c r="E19" s="88">
        <f>'Bad Debt Detail &lt;-INPUT'!G69</f>
        <v>0</v>
      </c>
      <c r="F19" s="88">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tabColor theme="9"/>
  </sheetPr>
  <dimension ref="A1:H25"/>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'CC Rev Entry'!F2</f>
        <v>Amato PT</v>
      </c>
      <c r="H2" s="31"/>
    </row>
    <row r="3" spans="1:8" x14ac:dyDescent="0.25">
      <c r="B3" s="35"/>
      <c r="E3" s="35"/>
      <c r="H3" s="31"/>
    </row>
    <row r="4" spans="1:8" ht="15.75" thickBot="1" x14ac:dyDescent="0.3">
      <c r="B4" s="35"/>
      <c r="D4" s="44" t="s">
        <v>66</v>
      </c>
      <c r="E4" s="45">
        <f>'CC Rev Entry'!F4</f>
        <v>45199</v>
      </c>
    </row>
    <row r="5" spans="1:8" x14ac:dyDescent="0.25">
      <c r="B5" s="35"/>
    </row>
    <row r="6" spans="1:8" ht="15.75" thickBot="1" x14ac:dyDescent="0.3">
      <c r="B6" s="35"/>
      <c r="D6" s="44" t="s">
        <v>67</v>
      </c>
      <c r="E6" s="43" t="s">
        <v>150</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111</v>
      </c>
      <c r="D12" s="88">
        <f>E13</f>
        <v>0</v>
      </c>
      <c r="E12" s="88">
        <f>D13</f>
        <v>0</v>
      </c>
    </row>
    <row r="13" spans="1:8" x14ac:dyDescent="0.25">
      <c r="A13" s="51"/>
      <c r="B13" s="52" t="s">
        <v>205</v>
      </c>
      <c r="C13" s="53" t="s">
        <v>112</v>
      </c>
      <c r="D13" s="88">
        <f>IF('RF by Location &lt;-INPUT'!E26+'RF by Location &lt;-INPUT'!F26+'RF by Location &lt;-INPUT'!G26&lt;0,-('RF by Location &lt;-INPUT'!E26+'RF by Location &lt;-INPUT'!F26+'RF by Location &lt;-INPUT'!G26),0)</f>
        <v>0</v>
      </c>
      <c r="E13" s="88">
        <f>IF('RF by Location &lt;-INPUT'!E26+'RF by Location &lt;-INPUT'!F26+'RF by Location &lt;-INPUT'!G26&gt;0,'RF by Location &lt;-INPUT'!E26+'RF by Location &lt;-INPUT'!F26+'RF by Location &lt;-INPUT'!G26,0)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8">
    <tabColor theme="9"/>
  </sheetPr>
  <dimension ref="A1:H31"/>
  <sheetViews>
    <sheetView workbookViewId="0"/>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Amato PT</v>
      </c>
      <c r="H2" s="31"/>
    </row>
    <row r="3" spans="1:8" x14ac:dyDescent="0.25">
      <c r="D3" s="35"/>
      <c r="F3" s="35"/>
      <c r="H3" s="31"/>
    </row>
    <row r="4" spans="1:8" ht="15.75" thickBot="1" x14ac:dyDescent="0.3">
      <c r="D4" s="35"/>
      <c r="E4" s="44" t="s">
        <v>66</v>
      </c>
      <c r="F4" s="97">
        <f>'Agile AR Aging &lt;-INPUT'!C20</f>
        <v>45199</v>
      </c>
    </row>
    <row r="5" spans="1:8" x14ac:dyDescent="0.25">
      <c r="D5" s="35"/>
    </row>
    <row r="6" spans="1:8" ht="15.75" thickBot="1" x14ac:dyDescent="0.3">
      <c r="D6" s="35"/>
      <c r="E6" s="44" t="s">
        <v>67</v>
      </c>
      <c r="F6" s="43" t="s">
        <v>150</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222</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223</v>
      </c>
      <c r="D12" s="52" t="s">
        <v>205</v>
      </c>
      <c r="E12" s="88">
        <f>F13</f>
        <v>0</v>
      </c>
      <c r="F12" s="88">
        <f>E13</f>
        <v>0</v>
      </c>
    </row>
    <row r="13" spans="1:8" x14ac:dyDescent="0.25">
      <c r="A13" s="51"/>
      <c r="B13" s="53" t="s">
        <v>151</v>
      </c>
      <c r="C13" s="53" t="s">
        <v>223</v>
      </c>
      <c r="D13" s="52" t="s">
        <v>206</v>
      </c>
      <c r="E13" s="88">
        <f>IF('RF by Location &lt;-INPUT'!C27&lt;0,-'RF by Location &lt;-INPUT'!C27,0)</f>
        <v>0</v>
      </c>
      <c r="F13" s="88">
        <f>IF('RF by Location &lt;-INPUT'!C27&gt;0,'RF by Location &lt;-INPUT'!C27,0)</f>
        <v>0</v>
      </c>
    </row>
    <row r="14" spans="1:8" x14ac:dyDescent="0.25">
      <c r="A14" s="51"/>
      <c r="B14" s="53" t="s">
        <v>76</v>
      </c>
      <c r="C14" s="53" t="s">
        <v>223</v>
      </c>
      <c r="D14" s="52" t="s">
        <v>207</v>
      </c>
      <c r="E14" s="88">
        <f>F15</f>
        <v>0</v>
      </c>
      <c r="F14" s="88">
        <f>E15</f>
        <v>60000</v>
      </c>
    </row>
    <row r="15" spans="1:8" x14ac:dyDescent="0.25">
      <c r="A15" s="51"/>
      <c r="B15" s="53" t="s">
        <v>20</v>
      </c>
      <c r="C15" s="53" t="s">
        <v>223</v>
      </c>
      <c r="D15" s="52" t="s">
        <v>208</v>
      </c>
      <c r="E15" s="88">
        <f>IF('Clinic 6'!M128&lt;0,-'Clinic 6'!M128,0)</f>
        <v>60000</v>
      </c>
      <c r="F15" s="88">
        <f>IF('Clinic 6'!M128&gt;0,'Clinic 6'!M128,0)</f>
        <v>0</v>
      </c>
    </row>
    <row r="16" spans="1:8" x14ac:dyDescent="0.25">
      <c r="A16" s="51"/>
      <c r="B16" s="53" t="s">
        <v>77</v>
      </c>
      <c r="C16" s="53" t="s">
        <v>223</v>
      </c>
      <c r="D16" s="52" t="s">
        <v>209</v>
      </c>
      <c r="E16" s="88">
        <f>IF('Clinic 6'!M66&lt;0,-'Clinic 6'!M66,0)</f>
        <v>60000</v>
      </c>
      <c r="F16" s="88">
        <f>IF('Clinic 6'!M66&gt;0,'Clinic 6'!M66,0)</f>
        <v>0</v>
      </c>
      <c r="G16" s="55"/>
    </row>
    <row r="17" spans="1:7" x14ac:dyDescent="0.25">
      <c r="A17" s="51"/>
      <c r="B17" s="53" t="s">
        <v>75</v>
      </c>
      <c r="C17" s="53" t="s">
        <v>223</v>
      </c>
      <c r="D17" s="52" t="s">
        <v>205</v>
      </c>
      <c r="E17" s="88">
        <f>IF('RF by Location &lt;-INPUT'!D27+'RF by Location &lt;-INPUT'!H27&lt;0,-('RF by Location &lt;-INPUT'!D27+'RF by Location &lt;-INPUT'!H27),0)</f>
        <v>0</v>
      </c>
      <c r="F17" s="88">
        <f>IF('RF by Location &lt;-INPUT'!D27+'RF by Location &lt;-INPUT'!H27&gt;0,'RF by Location &lt;-INPUT'!D27+'RF by Location &lt;-INPUT'!H27,0)</f>
        <v>0</v>
      </c>
      <c r="G17" s="24"/>
    </row>
    <row r="18" spans="1:7" x14ac:dyDescent="0.25">
      <c r="A18" s="51"/>
      <c r="B18" s="53" t="s">
        <v>78</v>
      </c>
      <c r="C18" s="53" t="s">
        <v>223</v>
      </c>
      <c r="D18" s="52" t="s">
        <v>210</v>
      </c>
      <c r="E18" s="88">
        <f>IF((F17+F16-E16-E19+F19)&gt;0,(F17+F16-E16-E19+F19),0)</f>
        <v>0</v>
      </c>
      <c r="F18" s="88">
        <f>IF((F17+F16-E16-E19+F19)&lt;0,-(F17+F16-E16-E19+F19),0)</f>
        <v>60000</v>
      </c>
      <c r="G18" s="56"/>
    </row>
    <row r="19" spans="1:7" x14ac:dyDescent="0.25">
      <c r="A19" s="51"/>
      <c r="B19" s="53" t="s">
        <v>79</v>
      </c>
      <c r="C19" s="53" t="s">
        <v>223</v>
      </c>
      <c r="D19" s="52" t="s">
        <v>207</v>
      </c>
      <c r="E19" s="88">
        <f>'Bad Debt Detail &lt;-INPUT'!H69</f>
        <v>0</v>
      </c>
      <c r="F19" s="88">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9">
    <tabColor theme="9"/>
  </sheetPr>
  <dimension ref="A1:H25"/>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'CC Rev Entry'!F2</f>
        <v>Amato PT</v>
      </c>
      <c r="H2" s="31"/>
    </row>
    <row r="3" spans="1:8" x14ac:dyDescent="0.25">
      <c r="B3" s="35"/>
      <c r="E3" s="35"/>
      <c r="H3" s="31"/>
    </row>
    <row r="4" spans="1:8" ht="15.75" thickBot="1" x14ac:dyDescent="0.3">
      <c r="B4" s="35"/>
      <c r="D4" s="44" t="s">
        <v>66</v>
      </c>
      <c r="E4" s="45">
        <f>'CC Rev Entry'!F4</f>
        <v>45199</v>
      </c>
    </row>
    <row r="5" spans="1:8" x14ac:dyDescent="0.25">
      <c r="B5" s="35"/>
    </row>
    <row r="6" spans="1:8" ht="15.75" thickBot="1" x14ac:dyDescent="0.3">
      <c r="B6" s="35"/>
      <c r="D6" s="44" t="s">
        <v>67</v>
      </c>
      <c r="E6" s="43" t="s">
        <v>150</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111</v>
      </c>
      <c r="D12" s="88">
        <f>E13</f>
        <v>0</v>
      </c>
      <c r="E12" s="88">
        <f>D13</f>
        <v>0</v>
      </c>
    </row>
    <row r="13" spans="1:8" x14ac:dyDescent="0.25">
      <c r="A13" s="51"/>
      <c r="B13" s="52" t="s">
        <v>205</v>
      </c>
      <c r="C13" s="53" t="s">
        <v>112</v>
      </c>
      <c r="D13" s="88">
        <f>IF('RF by Location &lt;-INPUT'!E27+'RF by Location &lt;-INPUT'!F27+'RF by Location &lt;-INPUT'!G27&lt;0,-('RF by Location &lt;-INPUT'!E27+'RF by Location &lt;-INPUT'!F27+'RF by Location &lt;-INPUT'!G27),0)</f>
        <v>0</v>
      </c>
      <c r="E13" s="88">
        <f>IF('RF by Location &lt;-INPUT'!E27+'RF by Location &lt;-INPUT'!F27+'RF by Location &lt;-INPUT'!G27&gt;0,'RF by Location &lt;-INPUT'!E27+'RF by Location &lt;-INPUT'!F27+'RF by Location &lt;-INPUT'!G27,0)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0">
    <tabColor theme="9"/>
  </sheetPr>
  <dimension ref="A1:H31"/>
  <sheetViews>
    <sheetView workbookViewId="0"/>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Amato PT</v>
      </c>
      <c r="H2" s="31"/>
    </row>
    <row r="3" spans="1:8" x14ac:dyDescent="0.25">
      <c r="D3" s="35"/>
      <c r="F3" s="35"/>
      <c r="H3" s="31"/>
    </row>
    <row r="4" spans="1:8" ht="15.75" thickBot="1" x14ac:dyDescent="0.3">
      <c r="D4" s="35"/>
      <c r="E4" s="44" t="s">
        <v>66</v>
      </c>
      <c r="F4" s="97">
        <f>'Agile AR Aging &lt;-INPUT'!C20</f>
        <v>45199</v>
      </c>
    </row>
    <row r="5" spans="1:8" x14ac:dyDescent="0.25">
      <c r="D5" s="35"/>
    </row>
    <row r="6" spans="1:8" ht="15.75" thickBot="1" x14ac:dyDescent="0.3">
      <c r="D6" s="35"/>
      <c r="E6" s="44" t="s">
        <v>67</v>
      </c>
      <c r="F6" s="43" t="s">
        <v>150</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222</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223</v>
      </c>
      <c r="D12" s="52" t="s">
        <v>205</v>
      </c>
      <c r="E12" s="88">
        <f>F13</f>
        <v>0</v>
      </c>
      <c r="F12" s="88">
        <f>E13</f>
        <v>0</v>
      </c>
    </row>
    <row r="13" spans="1:8" x14ac:dyDescent="0.25">
      <c r="A13" s="51"/>
      <c r="B13" s="53" t="s">
        <v>151</v>
      </c>
      <c r="C13" s="53" t="s">
        <v>223</v>
      </c>
      <c r="D13" s="52" t="s">
        <v>206</v>
      </c>
      <c r="E13" s="88">
        <f>IF('RF by Location &lt;-INPUT'!C28&lt;0,-'RF by Location &lt;-INPUT'!C28,0)</f>
        <v>0</v>
      </c>
      <c r="F13" s="88">
        <f>IF('RF by Location &lt;-INPUT'!C28&gt;0,'RF by Location &lt;-INPUT'!C28,0)</f>
        <v>0</v>
      </c>
    </row>
    <row r="14" spans="1:8" x14ac:dyDescent="0.25">
      <c r="A14" s="51"/>
      <c r="B14" s="53" t="s">
        <v>76</v>
      </c>
      <c r="C14" s="53" t="s">
        <v>223</v>
      </c>
      <c r="D14" s="52" t="s">
        <v>207</v>
      </c>
      <c r="E14" s="88">
        <f>F15</f>
        <v>0</v>
      </c>
      <c r="F14" s="88">
        <f>E15</f>
        <v>60000</v>
      </c>
    </row>
    <row r="15" spans="1:8" x14ac:dyDescent="0.25">
      <c r="A15" s="51"/>
      <c r="B15" s="53" t="s">
        <v>20</v>
      </c>
      <c r="C15" s="53" t="s">
        <v>223</v>
      </c>
      <c r="D15" s="52" t="s">
        <v>208</v>
      </c>
      <c r="E15" s="88">
        <f>IF('Clinic 7'!M128&lt;0,-'Clinic 7'!M128,0)</f>
        <v>60000</v>
      </c>
      <c r="F15" s="88">
        <f>IF('Clinic 7'!M128&gt;0,'Clinic 7'!M128,0)</f>
        <v>0</v>
      </c>
    </row>
    <row r="16" spans="1:8" x14ac:dyDescent="0.25">
      <c r="A16" s="51"/>
      <c r="B16" s="53" t="s">
        <v>77</v>
      </c>
      <c r="C16" s="53" t="s">
        <v>223</v>
      </c>
      <c r="D16" s="52" t="s">
        <v>209</v>
      </c>
      <c r="E16" s="88">
        <f>IF('Clinic 7'!M66&lt;0,-'Clinic 7'!M66,0)</f>
        <v>60000</v>
      </c>
      <c r="F16" s="88">
        <f>IF('Clinic 7'!M66&gt;0,'Clinic 7'!M66,0)</f>
        <v>0</v>
      </c>
      <c r="G16" s="55"/>
    </row>
    <row r="17" spans="1:7" x14ac:dyDescent="0.25">
      <c r="A17" s="51"/>
      <c r="B17" s="53" t="s">
        <v>75</v>
      </c>
      <c r="C17" s="53" t="s">
        <v>223</v>
      </c>
      <c r="D17" s="52" t="s">
        <v>205</v>
      </c>
      <c r="E17" s="88">
        <f>IF('RF by Location &lt;-INPUT'!D28+'RF by Location &lt;-INPUT'!H28&lt;0,-('RF by Location &lt;-INPUT'!D28+'RF by Location &lt;-INPUT'!H28),0)</f>
        <v>0</v>
      </c>
      <c r="F17" s="88">
        <f>IF('RF by Location &lt;-INPUT'!D28+'RF by Location &lt;-INPUT'!H28&gt;0,'RF by Location &lt;-INPUT'!D28+'RF by Location &lt;-INPUT'!H28,0)</f>
        <v>0</v>
      </c>
      <c r="G17" s="24"/>
    </row>
    <row r="18" spans="1:7" x14ac:dyDescent="0.25">
      <c r="A18" s="51"/>
      <c r="B18" s="53" t="s">
        <v>78</v>
      </c>
      <c r="C18" s="53" t="s">
        <v>223</v>
      </c>
      <c r="D18" s="52" t="s">
        <v>210</v>
      </c>
      <c r="E18" s="88">
        <f>IF((F17+F16-E16-E19+F19)&gt;0,(F17+F16-E16-E19+F19),0)</f>
        <v>0</v>
      </c>
      <c r="F18" s="88">
        <f>IF((F17+F16-E16-E19+F19)&lt;0,-(F17+F16-E16-E19+F19),0)</f>
        <v>60000</v>
      </c>
      <c r="G18" s="56"/>
    </row>
    <row r="19" spans="1:7" x14ac:dyDescent="0.25">
      <c r="A19" s="51"/>
      <c r="B19" s="53" t="s">
        <v>79</v>
      </c>
      <c r="C19" s="53" t="s">
        <v>223</v>
      </c>
      <c r="D19" s="52" t="s">
        <v>207</v>
      </c>
      <c r="E19" s="88">
        <f>'Bad Debt Detail &lt;-INPUT'!I69</f>
        <v>0</v>
      </c>
      <c r="F19" s="88">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1">
    <tabColor theme="9"/>
  </sheetPr>
  <dimension ref="A1:H25"/>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'CC Rev Entry'!F2</f>
        <v>Amato PT</v>
      </c>
      <c r="H2" s="31"/>
    </row>
    <row r="3" spans="1:8" x14ac:dyDescent="0.25">
      <c r="B3" s="35"/>
      <c r="E3" s="35"/>
      <c r="H3" s="31"/>
    </row>
    <row r="4" spans="1:8" ht="15.75" thickBot="1" x14ac:dyDescent="0.3">
      <c r="B4" s="35"/>
      <c r="D4" s="44" t="s">
        <v>66</v>
      </c>
      <c r="E4" s="45">
        <f>'CC Rev Entry'!F4</f>
        <v>45199</v>
      </c>
    </row>
    <row r="5" spans="1:8" x14ac:dyDescent="0.25">
      <c r="B5" s="35"/>
    </row>
    <row r="6" spans="1:8" ht="15.75" thickBot="1" x14ac:dyDescent="0.3">
      <c r="B6" s="35"/>
      <c r="D6" s="44" t="s">
        <v>67</v>
      </c>
      <c r="E6" s="43" t="s">
        <v>150</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111</v>
      </c>
      <c r="D12" s="88">
        <f>E13</f>
        <v>0</v>
      </c>
      <c r="E12" s="88">
        <f>D13</f>
        <v>0</v>
      </c>
    </row>
    <row r="13" spans="1:8" x14ac:dyDescent="0.25">
      <c r="A13" s="51"/>
      <c r="B13" s="52" t="s">
        <v>205</v>
      </c>
      <c r="C13" s="53" t="s">
        <v>112</v>
      </c>
      <c r="D13" s="88">
        <f>IF('RF by Location &lt;-INPUT'!E28+'RF by Location &lt;-INPUT'!F28+'RF by Location &lt;-INPUT'!G28&lt;0,-('RF by Location &lt;-INPUT'!E28+'RF by Location &lt;-INPUT'!F28+'RF by Location &lt;-INPUT'!G28),0)</f>
        <v>0</v>
      </c>
      <c r="E13" s="88">
        <f>IF('RF by Location &lt;-INPUT'!E28+'RF by Location &lt;-INPUT'!F28+'RF by Location &lt;-INPUT'!G28&gt;0,'RF by Location &lt;-INPUT'!E28+'RF by Location &lt;-INPUT'!F28+'RF by Location &lt;-INPUT'!G28,0)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2">
    <tabColor theme="9"/>
  </sheetPr>
  <dimension ref="A1:H31"/>
  <sheetViews>
    <sheetView workbookViewId="0"/>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Amato PT</v>
      </c>
      <c r="H2" s="31"/>
    </row>
    <row r="3" spans="1:8" x14ac:dyDescent="0.25">
      <c r="D3" s="35"/>
      <c r="F3" s="35"/>
      <c r="H3" s="31"/>
    </row>
    <row r="4" spans="1:8" ht="15.75" thickBot="1" x14ac:dyDescent="0.3">
      <c r="D4" s="35"/>
      <c r="E4" s="44" t="s">
        <v>66</v>
      </c>
      <c r="F4" s="97">
        <f>'Agile AR Aging &lt;-INPUT'!C20</f>
        <v>45199</v>
      </c>
    </row>
    <row r="5" spans="1:8" x14ac:dyDescent="0.25">
      <c r="D5" s="35"/>
    </row>
    <row r="6" spans="1:8" ht="15.75" thickBot="1" x14ac:dyDescent="0.3">
      <c r="D6" s="35"/>
      <c r="E6" s="44" t="s">
        <v>67</v>
      </c>
      <c r="F6" s="43" t="s">
        <v>150</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222</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223</v>
      </c>
      <c r="D12" s="52" t="s">
        <v>205</v>
      </c>
      <c r="E12" s="88">
        <f>F13</f>
        <v>0</v>
      </c>
      <c r="F12" s="88">
        <f>E13</f>
        <v>0</v>
      </c>
    </row>
    <row r="13" spans="1:8" x14ac:dyDescent="0.25">
      <c r="A13" s="51"/>
      <c r="B13" s="53" t="s">
        <v>151</v>
      </c>
      <c r="C13" s="53" t="s">
        <v>223</v>
      </c>
      <c r="D13" s="52" t="s">
        <v>206</v>
      </c>
      <c r="E13" s="88">
        <f>IF('RF by Location &lt;-INPUT'!C29&lt;0,-'RF by Location &lt;-INPUT'!C29,0)</f>
        <v>0</v>
      </c>
      <c r="F13" s="88">
        <f>IF('RF by Location &lt;-INPUT'!C29&gt;0,'RF by Location &lt;-INPUT'!C29,0)</f>
        <v>0</v>
      </c>
    </row>
    <row r="14" spans="1:8" x14ac:dyDescent="0.25">
      <c r="A14" s="51"/>
      <c r="B14" s="53" t="s">
        <v>76</v>
      </c>
      <c r="C14" s="53" t="s">
        <v>223</v>
      </c>
      <c r="D14" s="52" t="s">
        <v>207</v>
      </c>
      <c r="E14" s="88">
        <f>F15</f>
        <v>0</v>
      </c>
      <c r="F14" s="88">
        <f>E15</f>
        <v>60000</v>
      </c>
    </row>
    <row r="15" spans="1:8" x14ac:dyDescent="0.25">
      <c r="A15" s="51"/>
      <c r="B15" s="53" t="s">
        <v>20</v>
      </c>
      <c r="C15" s="53" t="s">
        <v>223</v>
      </c>
      <c r="D15" s="52" t="s">
        <v>208</v>
      </c>
      <c r="E15" s="88">
        <f>IF('Clinic 8'!M128&lt;0,-'Clinic 8'!M128,0)</f>
        <v>60000</v>
      </c>
      <c r="F15" s="88">
        <f>IF('Clinic 8'!M128&gt;0,'Clinic 8'!M128,0)</f>
        <v>0</v>
      </c>
    </row>
    <row r="16" spans="1:8" x14ac:dyDescent="0.25">
      <c r="A16" s="51"/>
      <c r="B16" s="53" t="s">
        <v>77</v>
      </c>
      <c r="C16" s="53" t="s">
        <v>223</v>
      </c>
      <c r="D16" s="52" t="s">
        <v>209</v>
      </c>
      <c r="E16" s="88">
        <f>IF('Clinic 8'!M66&lt;0,-'Clinic 8'!M66,0)</f>
        <v>60000</v>
      </c>
      <c r="F16" s="88">
        <f>IF('Clinic 8'!M66&gt;0,'Clinic 8'!M66,0)</f>
        <v>0</v>
      </c>
      <c r="G16" s="55"/>
    </row>
    <row r="17" spans="1:7" x14ac:dyDescent="0.25">
      <c r="A17" s="51"/>
      <c r="B17" s="53" t="s">
        <v>75</v>
      </c>
      <c r="C17" s="53" t="s">
        <v>223</v>
      </c>
      <c r="D17" s="52" t="s">
        <v>205</v>
      </c>
      <c r="E17" s="88">
        <f>IF('RF by Location &lt;-INPUT'!D29+'RF by Location &lt;-INPUT'!H29&lt;0,-('RF by Location &lt;-INPUT'!D29+'RF by Location &lt;-INPUT'!H29),0)</f>
        <v>0</v>
      </c>
      <c r="F17" s="88">
        <f>IF('RF by Location &lt;-INPUT'!D29+'RF by Location &lt;-INPUT'!H29&gt;0,'RF by Location &lt;-INPUT'!D29+'RF by Location &lt;-INPUT'!H29,0)</f>
        <v>0</v>
      </c>
      <c r="G17" s="24"/>
    </row>
    <row r="18" spans="1:7" x14ac:dyDescent="0.25">
      <c r="A18" s="51"/>
      <c r="B18" s="53" t="s">
        <v>78</v>
      </c>
      <c r="C18" s="53" t="s">
        <v>223</v>
      </c>
      <c r="D18" s="52" t="s">
        <v>210</v>
      </c>
      <c r="E18" s="88">
        <f>IF((F17+F16-E16-E19+F19)&gt;0,(F17+F16-E16-E19+F19),0)</f>
        <v>0</v>
      </c>
      <c r="F18" s="88">
        <f>IF((F17+F16-E16-E19+F19)&lt;0,-(F17+F16-E16-E19+F19),0)</f>
        <v>60000</v>
      </c>
      <c r="G18" s="56"/>
    </row>
    <row r="19" spans="1:7" x14ac:dyDescent="0.25">
      <c r="A19" s="51"/>
      <c r="B19" s="53" t="s">
        <v>79</v>
      </c>
      <c r="C19" s="53" t="s">
        <v>223</v>
      </c>
      <c r="D19" s="52" t="s">
        <v>207</v>
      </c>
      <c r="E19" s="88">
        <f>'Bad Debt Detail &lt;-INPUT'!J69</f>
        <v>0</v>
      </c>
      <c r="F19" s="88">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3">
    <tabColor theme="9"/>
  </sheetPr>
  <dimension ref="A1:H25"/>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'CC Rev Entry'!F2</f>
        <v>Amato PT</v>
      </c>
      <c r="H2" s="31"/>
    </row>
    <row r="3" spans="1:8" x14ac:dyDescent="0.25">
      <c r="B3" s="35"/>
      <c r="E3" s="35"/>
      <c r="H3" s="31"/>
    </row>
    <row r="4" spans="1:8" ht="15.75" thickBot="1" x14ac:dyDescent="0.3">
      <c r="B4" s="35"/>
      <c r="D4" s="44" t="s">
        <v>66</v>
      </c>
      <c r="E4" s="45">
        <f>'CC Rev Entry'!F4</f>
        <v>45199</v>
      </c>
    </row>
    <row r="5" spans="1:8" x14ac:dyDescent="0.25">
      <c r="B5" s="35"/>
    </row>
    <row r="6" spans="1:8" ht="15.75" thickBot="1" x14ac:dyDescent="0.3">
      <c r="B6" s="35"/>
      <c r="D6" s="44" t="s">
        <v>67</v>
      </c>
      <c r="E6" s="43" t="s">
        <v>150</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111</v>
      </c>
      <c r="D12" s="88">
        <f>E13</f>
        <v>0</v>
      </c>
      <c r="E12" s="88">
        <f>D13</f>
        <v>0</v>
      </c>
    </row>
    <row r="13" spans="1:8" x14ac:dyDescent="0.25">
      <c r="A13" s="51"/>
      <c r="B13" s="52" t="s">
        <v>205</v>
      </c>
      <c r="C13" s="53" t="s">
        <v>112</v>
      </c>
      <c r="D13" s="88">
        <f>IF('RF by Location &lt;-INPUT'!E29+'RF by Location &lt;-INPUT'!F29+'RF by Location &lt;-INPUT'!G29&lt;0,-('RF by Location &lt;-INPUT'!E29+'RF by Location &lt;-INPUT'!F29+'RF by Location &lt;-INPUT'!G29),0)</f>
        <v>0</v>
      </c>
      <c r="E13" s="88">
        <f>IF('RF by Location &lt;-INPUT'!E29+'RF by Location &lt;-INPUT'!F29+'RF by Location &lt;-INPUT'!G29&gt;0,'RF by Location &lt;-INPUT'!E29+'RF by Location &lt;-INPUT'!F29+'RF by Location &lt;-INPUT'!G29,0)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4">
    <tabColor theme="9"/>
  </sheetPr>
  <dimension ref="A1:H31"/>
  <sheetViews>
    <sheetView workbookViewId="0"/>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Amato PT</v>
      </c>
      <c r="H2" s="31"/>
    </row>
    <row r="3" spans="1:8" x14ac:dyDescent="0.25">
      <c r="D3" s="35"/>
      <c r="F3" s="35"/>
      <c r="H3" s="31"/>
    </row>
    <row r="4" spans="1:8" ht="15.75" thickBot="1" x14ac:dyDescent="0.3">
      <c r="D4" s="35"/>
      <c r="E4" s="44" t="s">
        <v>66</v>
      </c>
      <c r="F4" s="97">
        <f>'Agile AR Aging &lt;-INPUT'!C20</f>
        <v>45199</v>
      </c>
    </row>
    <row r="5" spans="1:8" x14ac:dyDescent="0.25">
      <c r="D5" s="35"/>
    </row>
    <row r="6" spans="1:8" ht="15.75" thickBot="1" x14ac:dyDescent="0.3">
      <c r="D6" s="35"/>
      <c r="E6" s="44" t="s">
        <v>67</v>
      </c>
      <c r="F6" s="43" t="s">
        <v>150</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222</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223</v>
      </c>
      <c r="D12" s="52" t="s">
        <v>205</v>
      </c>
      <c r="E12" s="88">
        <f>F13</f>
        <v>0</v>
      </c>
      <c r="F12" s="88">
        <f>E13</f>
        <v>0</v>
      </c>
    </row>
    <row r="13" spans="1:8" x14ac:dyDescent="0.25">
      <c r="A13" s="51"/>
      <c r="B13" s="53" t="s">
        <v>151</v>
      </c>
      <c r="C13" s="53" t="s">
        <v>223</v>
      </c>
      <c r="D13" s="52" t="s">
        <v>206</v>
      </c>
      <c r="E13" s="88">
        <f>IF('RF by Location &lt;-INPUT'!C30&lt;0,-'RF by Location &lt;-INPUT'!C30,0)</f>
        <v>0</v>
      </c>
      <c r="F13" s="88">
        <f>IF('RF by Location &lt;-INPUT'!C30&gt;0,'RF by Location &lt;-INPUT'!C30,0)</f>
        <v>0</v>
      </c>
    </row>
    <row r="14" spans="1:8" x14ac:dyDescent="0.25">
      <c r="A14" s="51"/>
      <c r="B14" s="53" t="s">
        <v>76</v>
      </c>
      <c r="C14" s="53" t="s">
        <v>223</v>
      </c>
      <c r="D14" s="52" t="s">
        <v>207</v>
      </c>
      <c r="E14" s="88">
        <f>F15</f>
        <v>0</v>
      </c>
      <c r="F14" s="88">
        <f>E15</f>
        <v>60000</v>
      </c>
    </row>
    <row r="15" spans="1:8" x14ac:dyDescent="0.25">
      <c r="A15" s="51"/>
      <c r="B15" s="53" t="s">
        <v>20</v>
      </c>
      <c r="C15" s="53" t="s">
        <v>223</v>
      </c>
      <c r="D15" s="52" t="s">
        <v>208</v>
      </c>
      <c r="E15" s="88">
        <f>IF('Clinic 9'!M128&lt;0,-'Clinic 9'!M128,0)</f>
        <v>60000</v>
      </c>
      <c r="F15" s="88">
        <f>IF('Clinic 9'!M128&gt;0,'Clinic 9'!M128,0)</f>
        <v>0</v>
      </c>
    </row>
    <row r="16" spans="1:8" x14ac:dyDescent="0.25">
      <c r="A16" s="51"/>
      <c r="B16" s="53" t="s">
        <v>77</v>
      </c>
      <c r="C16" s="53" t="s">
        <v>223</v>
      </c>
      <c r="D16" s="52" t="s">
        <v>209</v>
      </c>
      <c r="E16" s="88">
        <f>IF('Clinic 9'!M66&lt;0,-'Clinic 9'!M66,0)</f>
        <v>60000</v>
      </c>
      <c r="F16" s="88">
        <f>IF('Clinic 9'!M66&gt;0,'Clinic 9'!M66,0)</f>
        <v>0</v>
      </c>
      <c r="G16" s="55"/>
    </row>
    <row r="17" spans="1:7" x14ac:dyDescent="0.25">
      <c r="A17" s="51"/>
      <c r="B17" s="53" t="s">
        <v>75</v>
      </c>
      <c r="C17" s="53" t="s">
        <v>223</v>
      </c>
      <c r="D17" s="52" t="s">
        <v>205</v>
      </c>
      <c r="E17" s="88">
        <f>IF('RF by Location &lt;-INPUT'!D30+'RF by Location &lt;-INPUT'!H30&lt;0,-('RF by Location &lt;-INPUT'!D30+'RF by Location &lt;-INPUT'!H30),0)</f>
        <v>0</v>
      </c>
      <c r="F17" s="88">
        <f>IF('RF by Location &lt;-INPUT'!D30+'RF by Location &lt;-INPUT'!H30&gt;0,'RF by Location &lt;-INPUT'!D30+'RF by Location &lt;-INPUT'!H30,0)</f>
        <v>0</v>
      </c>
      <c r="G17" s="24"/>
    </row>
    <row r="18" spans="1:7" x14ac:dyDescent="0.25">
      <c r="A18" s="51"/>
      <c r="B18" s="53" t="s">
        <v>78</v>
      </c>
      <c r="C18" s="53" t="s">
        <v>223</v>
      </c>
      <c r="D18" s="52" t="s">
        <v>210</v>
      </c>
      <c r="E18" s="88">
        <f>IF((F17+F16-E16-E19+F19)&gt;0,(F17+F16-E16-E19+F19),0)</f>
        <v>0</v>
      </c>
      <c r="F18" s="88">
        <f>IF((F17+F16-E16-E19+F19)&lt;0,-(F17+F16-E16-E19+F19),0)</f>
        <v>60000</v>
      </c>
      <c r="G18" s="56"/>
    </row>
    <row r="19" spans="1:7" x14ac:dyDescent="0.25">
      <c r="A19" s="51"/>
      <c r="B19" s="53" t="s">
        <v>79</v>
      </c>
      <c r="C19" s="53" t="s">
        <v>223</v>
      </c>
      <c r="D19" s="52" t="s">
        <v>207</v>
      </c>
      <c r="E19" s="88">
        <f>'Bad Debt Detail &lt;-INPUT'!K69</f>
        <v>0</v>
      </c>
      <c r="F19" s="88">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5">
    <tabColor theme="9"/>
  </sheetPr>
  <dimension ref="A1:H25"/>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'CC Rev Entry'!F2</f>
        <v>Amato PT</v>
      </c>
      <c r="H2" s="31"/>
    </row>
    <row r="3" spans="1:8" x14ac:dyDescent="0.25">
      <c r="B3" s="35"/>
      <c r="E3" s="35"/>
      <c r="H3" s="31"/>
    </row>
    <row r="4" spans="1:8" ht="15.75" thickBot="1" x14ac:dyDescent="0.3">
      <c r="B4" s="35"/>
      <c r="D4" s="44" t="s">
        <v>66</v>
      </c>
      <c r="E4" s="45">
        <f>'CC Rev Entry'!F4</f>
        <v>45199</v>
      </c>
    </row>
    <row r="5" spans="1:8" x14ac:dyDescent="0.25">
      <c r="B5" s="35"/>
    </row>
    <row r="6" spans="1:8" ht="15.75" thickBot="1" x14ac:dyDescent="0.3">
      <c r="B6" s="35"/>
      <c r="D6" s="44" t="s">
        <v>67</v>
      </c>
      <c r="E6" s="43" t="s">
        <v>150</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111</v>
      </c>
      <c r="D12" s="88">
        <f>E13</f>
        <v>0</v>
      </c>
      <c r="E12" s="88">
        <f>D13</f>
        <v>0</v>
      </c>
    </row>
    <row r="13" spans="1:8" x14ac:dyDescent="0.25">
      <c r="A13" s="51"/>
      <c r="B13" s="52" t="s">
        <v>205</v>
      </c>
      <c r="C13" s="53" t="s">
        <v>112</v>
      </c>
      <c r="D13" s="88">
        <f>IF('RF by Location &lt;-INPUT'!E30+'RF by Location &lt;-INPUT'!F30+'RF by Location &lt;-INPUT'!G30&lt;0,-('RF by Location &lt;-INPUT'!E30+'RF by Location &lt;-INPUT'!F30+'RF by Location &lt;-INPUT'!G30),0)</f>
        <v>0</v>
      </c>
      <c r="E13" s="88">
        <f>IF('RF by Location &lt;-INPUT'!E30+'RF by Location &lt;-INPUT'!F30+'RF by Location &lt;-INPUT'!G30&gt;0,'RF by Location &lt;-INPUT'!E30+'RF by Location &lt;-INPUT'!F30+'RF by Location &lt;-INPUT'!G30,0)</f>
        <v>0</v>
      </c>
    </row>
    <row r="14" spans="1:8" x14ac:dyDescent="0.25">
      <c r="A14" s="51"/>
      <c r="B14" s="52"/>
      <c r="C14" s="53"/>
      <c r="D14" s="54"/>
      <c r="E14" s="54">
        <v>1</v>
      </c>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1</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6">
    <tabColor theme="9"/>
  </sheetPr>
  <dimension ref="A1:H31"/>
  <sheetViews>
    <sheetView workbookViewId="0"/>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Amato PT</v>
      </c>
      <c r="H2" s="31"/>
    </row>
    <row r="3" spans="1:8" x14ac:dyDescent="0.25">
      <c r="D3" s="35"/>
      <c r="F3" s="35"/>
      <c r="H3" s="31"/>
    </row>
    <row r="4" spans="1:8" ht="15.75" thickBot="1" x14ac:dyDescent="0.3">
      <c r="D4" s="35"/>
      <c r="E4" s="44" t="s">
        <v>66</v>
      </c>
      <c r="F4" s="97">
        <f>'Agile AR Aging &lt;-INPUT'!C20</f>
        <v>45199</v>
      </c>
    </row>
    <row r="5" spans="1:8" x14ac:dyDescent="0.25">
      <c r="D5" s="35"/>
    </row>
    <row r="6" spans="1:8" ht="15.75" thickBot="1" x14ac:dyDescent="0.3">
      <c r="D6" s="35"/>
      <c r="E6" s="44" t="s">
        <v>67</v>
      </c>
      <c r="F6" s="43" t="s">
        <v>150</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222</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223</v>
      </c>
      <c r="D12" s="52" t="s">
        <v>205</v>
      </c>
      <c r="E12" s="88">
        <f>F13</f>
        <v>0</v>
      </c>
      <c r="F12" s="88">
        <f>E13</f>
        <v>0</v>
      </c>
    </row>
    <row r="13" spans="1:8" x14ac:dyDescent="0.25">
      <c r="A13" s="51"/>
      <c r="B13" s="53" t="s">
        <v>151</v>
      </c>
      <c r="C13" s="53" t="s">
        <v>223</v>
      </c>
      <c r="D13" s="52" t="s">
        <v>206</v>
      </c>
      <c r="E13" s="88">
        <f>IF('RF by Location &lt;-INPUT'!C31&lt;0,-'RF by Location &lt;-INPUT'!C31,0)</f>
        <v>0</v>
      </c>
      <c r="F13" s="88">
        <f>IF('RF by Location &lt;-INPUT'!C31&gt;0,'RF by Location &lt;-INPUT'!C31,0)</f>
        <v>0</v>
      </c>
    </row>
    <row r="14" spans="1:8" x14ac:dyDescent="0.25">
      <c r="A14" s="51"/>
      <c r="B14" s="53" t="s">
        <v>76</v>
      </c>
      <c r="C14" s="53" t="s">
        <v>223</v>
      </c>
      <c r="D14" s="52" t="s">
        <v>207</v>
      </c>
      <c r="E14" s="88">
        <f>F15</f>
        <v>0</v>
      </c>
      <c r="F14" s="88">
        <f>E15</f>
        <v>60000</v>
      </c>
    </row>
    <row r="15" spans="1:8" x14ac:dyDescent="0.25">
      <c r="A15" s="51"/>
      <c r="B15" s="53" t="s">
        <v>20</v>
      </c>
      <c r="C15" s="53" t="s">
        <v>223</v>
      </c>
      <c r="D15" s="52" t="s">
        <v>208</v>
      </c>
      <c r="E15" s="88">
        <f>IF('Clinic 10'!M128&lt;0,-'Clinic 10'!M128,0)</f>
        <v>60000</v>
      </c>
      <c r="F15" s="88">
        <f>IF('Clinic 10'!M128&gt;0,'Clinic 10'!M128,0)</f>
        <v>0</v>
      </c>
    </row>
    <row r="16" spans="1:8" x14ac:dyDescent="0.25">
      <c r="A16" s="51"/>
      <c r="B16" s="53" t="s">
        <v>77</v>
      </c>
      <c r="C16" s="53" t="s">
        <v>223</v>
      </c>
      <c r="D16" s="52" t="s">
        <v>209</v>
      </c>
      <c r="E16" s="88">
        <f>IF('Clinic 10'!M66&lt;0,-'Clinic 10'!M66,0)</f>
        <v>60000</v>
      </c>
      <c r="F16" s="88">
        <f>IF('Clinic 10'!M66&gt;0,'Clinic 10'!M66,0)</f>
        <v>0</v>
      </c>
      <c r="G16" s="55"/>
    </row>
    <row r="17" spans="1:7" x14ac:dyDescent="0.25">
      <c r="A17" s="51"/>
      <c r="B17" s="53" t="s">
        <v>75</v>
      </c>
      <c r="C17" s="53" t="s">
        <v>223</v>
      </c>
      <c r="D17" s="52" t="s">
        <v>205</v>
      </c>
      <c r="E17" s="88">
        <f>IF('RF by Location &lt;-INPUT'!D31+'RF by Location &lt;-INPUT'!H31&lt;0,-('RF by Location &lt;-INPUT'!D31+'RF by Location &lt;-INPUT'!H31),0)</f>
        <v>0</v>
      </c>
      <c r="F17" s="88">
        <f>IF('RF by Location &lt;-INPUT'!D31+'RF by Location &lt;-INPUT'!H31&gt;0,'RF by Location &lt;-INPUT'!D31+'RF by Location &lt;-INPUT'!H31,0)</f>
        <v>0</v>
      </c>
      <c r="G17" s="24"/>
    </row>
    <row r="18" spans="1:7" x14ac:dyDescent="0.25">
      <c r="A18" s="51"/>
      <c r="B18" s="53" t="s">
        <v>78</v>
      </c>
      <c r="C18" s="53" t="s">
        <v>223</v>
      </c>
      <c r="D18" s="52" t="s">
        <v>210</v>
      </c>
      <c r="E18" s="88">
        <f>IF((F17+F16-E16-E19+F19)&gt;0,(F17+F16-E16-E19+F19),0)</f>
        <v>0</v>
      </c>
      <c r="F18" s="88">
        <f>IF((F17+F16-E16-E19+F19)&lt;0,-(F17+F16-E16-E19+F19),0)</f>
        <v>60000</v>
      </c>
      <c r="G18" s="56"/>
    </row>
    <row r="19" spans="1:7" x14ac:dyDescent="0.25">
      <c r="A19" s="51"/>
      <c r="B19" s="53" t="s">
        <v>79</v>
      </c>
      <c r="C19" s="53" t="s">
        <v>223</v>
      </c>
      <c r="D19" s="52" t="s">
        <v>207</v>
      </c>
      <c r="E19" s="88">
        <f>'Bad Debt Detail &lt;-INPUT'!L69</f>
        <v>0</v>
      </c>
      <c r="F19" s="88">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7">
    <tabColor theme="9"/>
  </sheetPr>
  <dimension ref="A1:H25"/>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'CC Rev Entry'!F2</f>
        <v>Amato PT</v>
      </c>
      <c r="H2" s="31"/>
    </row>
    <row r="3" spans="1:8" x14ac:dyDescent="0.25">
      <c r="B3" s="35"/>
      <c r="E3" s="35"/>
      <c r="H3" s="31"/>
    </row>
    <row r="4" spans="1:8" ht="15.75" thickBot="1" x14ac:dyDescent="0.3">
      <c r="B4" s="35"/>
      <c r="D4" s="44" t="s">
        <v>66</v>
      </c>
      <c r="E4" s="45">
        <f>'CC Rev Entry'!F4</f>
        <v>45199</v>
      </c>
    </row>
    <row r="5" spans="1:8" x14ac:dyDescent="0.25">
      <c r="B5" s="35"/>
    </row>
    <row r="6" spans="1:8" ht="15.75" thickBot="1" x14ac:dyDescent="0.3">
      <c r="B6" s="35"/>
      <c r="D6" s="44" t="s">
        <v>67</v>
      </c>
      <c r="E6" s="43" t="s">
        <v>150</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111</v>
      </c>
      <c r="D12" s="88">
        <f>E13</f>
        <v>0</v>
      </c>
      <c r="E12" s="88">
        <f>D13</f>
        <v>0</v>
      </c>
    </row>
    <row r="13" spans="1:8" x14ac:dyDescent="0.25">
      <c r="A13" s="51"/>
      <c r="B13" s="52" t="s">
        <v>205</v>
      </c>
      <c r="C13" s="53" t="s">
        <v>112</v>
      </c>
      <c r="D13" s="88">
        <f>IF('RF by Location &lt;-INPUT'!E31+'RF by Location &lt;-INPUT'!F31+'RF by Location &lt;-INPUT'!G31&lt;0,-('RF by Location &lt;-INPUT'!E31+'RF by Location &lt;-INPUT'!F31+'RF by Location &lt;-INPUT'!G31),0)</f>
        <v>0</v>
      </c>
      <c r="E13" s="88">
        <f>IF('RF by Location &lt;-INPUT'!E31+'RF by Location &lt;-INPUT'!F31+'RF by Location &lt;-INPUT'!G31&gt;0,'RF by Location &lt;-INPUT'!E31+'RF by Location &lt;-INPUT'!F31+'RF by Location &lt;-INPUT'!G31,0)</f>
        <v>0</v>
      </c>
    </row>
    <row r="14" spans="1:8" x14ac:dyDescent="0.25">
      <c r="A14" s="51"/>
      <c r="B14" s="52"/>
      <c r="C14" s="53"/>
      <c r="D14" s="54"/>
      <c r="E14" s="54">
        <v>1</v>
      </c>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1</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8">
    <tabColor theme="9"/>
  </sheetPr>
  <dimension ref="A1:H31"/>
  <sheetViews>
    <sheetView workbookViewId="0"/>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Amato PT</v>
      </c>
      <c r="H2" s="31"/>
    </row>
    <row r="3" spans="1:8" x14ac:dyDescent="0.25">
      <c r="D3" s="35"/>
      <c r="F3" s="35"/>
      <c r="H3" s="31"/>
    </row>
    <row r="4" spans="1:8" ht="15.75" thickBot="1" x14ac:dyDescent="0.3">
      <c r="D4" s="35"/>
      <c r="E4" s="44" t="s">
        <v>66</v>
      </c>
      <c r="F4" s="97">
        <f>'Agile AR Aging &lt;-INPUT'!C20</f>
        <v>45199</v>
      </c>
    </row>
    <row r="5" spans="1:8" x14ac:dyDescent="0.25">
      <c r="D5" s="35"/>
    </row>
    <row r="6" spans="1:8" ht="15.75" thickBot="1" x14ac:dyDescent="0.3">
      <c r="D6" s="35"/>
      <c r="E6" s="44" t="s">
        <v>67</v>
      </c>
      <c r="F6" s="43" t="s">
        <v>150</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222</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223</v>
      </c>
      <c r="D12" s="52" t="s">
        <v>205</v>
      </c>
      <c r="E12" s="88">
        <f>F13</f>
        <v>0</v>
      </c>
      <c r="F12" s="88">
        <f>E13</f>
        <v>0</v>
      </c>
    </row>
    <row r="13" spans="1:8" x14ac:dyDescent="0.25">
      <c r="A13" s="51"/>
      <c r="B13" s="53" t="s">
        <v>151</v>
      </c>
      <c r="C13" s="53" t="s">
        <v>223</v>
      </c>
      <c r="D13" s="52" t="s">
        <v>206</v>
      </c>
      <c r="E13" s="88">
        <f>IF('RF by Location &lt;-INPUT'!C32&lt;0,-'RF by Location &lt;-INPUT'!C32,0)</f>
        <v>0</v>
      </c>
      <c r="F13" s="88">
        <f>IF('RF by Location &lt;-INPUT'!C32&gt;0,'RF by Location &lt;-INPUT'!C32,0)</f>
        <v>0</v>
      </c>
    </row>
    <row r="14" spans="1:8" x14ac:dyDescent="0.25">
      <c r="A14" s="51"/>
      <c r="B14" s="53" t="s">
        <v>76</v>
      </c>
      <c r="C14" s="53" t="s">
        <v>223</v>
      </c>
      <c r="D14" s="52" t="s">
        <v>207</v>
      </c>
      <c r="E14" s="88">
        <f>F15</f>
        <v>0</v>
      </c>
      <c r="F14" s="88">
        <f>E15</f>
        <v>60000</v>
      </c>
    </row>
    <row r="15" spans="1:8" x14ac:dyDescent="0.25">
      <c r="A15" s="51"/>
      <c r="B15" s="53" t="s">
        <v>20</v>
      </c>
      <c r="C15" s="53" t="s">
        <v>223</v>
      </c>
      <c r="D15" s="52" t="s">
        <v>208</v>
      </c>
      <c r="E15" s="88">
        <f>IF('Clinic 11'!M128&lt;0,-'Clinic 11'!M128,0)</f>
        <v>60000</v>
      </c>
      <c r="F15" s="88">
        <f>IF('Clinic 11'!M128&gt;0,'Clinic 11'!M128,0)</f>
        <v>0</v>
      </c>
    </row>
    <row r="16" spans="1:8" x14ac:dyDescent="0.25">
      <c r="A16" s="51"/>
      <c r="B16" s="53" t="s">
        <v>77</v>
      </c>
      <c r="C16" s="53" t="s">
        <v>223</v>
      </c>
      <c r="D16" s="52" t="s">
        <v>209</v>
      </c>
      <c r="E16" s="88">
        <f>IF('Clinic 11'!M66&lt;0,-'Clinic 11'!M66,0)</f>
        <v>60000</v>
      </c>
      <c r="F16" s="88">
        <f>IF('Clinic 11'!M66&gt;0,'Clinic 11'!M66,0)</f>
        <v>0</v>
      </c>
      <c r="G16" s="55"/>
    </row>
    <row r="17" spans="1:7" x14ac:dyDescent="0.25">
      <c r="A17" s="51"/>
      <c r="B17" s="53" t="s">
        <v>75</v>
      </c>
      <c r="C17" s="53" t="s">
        <v>223</v>
      </c>
      <c r="D17" s="52" t="s">
        <v>205</v>
      </c>
      <c r="E17" s="88">
        <f>IF('RF by Location &lt;-INPUT'!D32+'RF by Location &lt;-INPUT'!H32&lt;0,-('RF by Location &lt;-INPUT'!D32+'RF by Location &lt;-INPUT'!H32),0)</f>
        <v>0</v>
      </c>
      <c r="F17" s="88">
        <f>IF('RF by Location &lt;-INPUT'!D32+'RF by Location &lt;-INPUT'!H32&gt;0,'RF by Location &lt;-INPUT'!D32+'RF by Location &lt;-INPUT'!H32,0)</f>
        <v>0</v>
      </c>
      <c r="G17" s="24"/>
    </row>
    <row r="18" spans="1:7" x14ac:dyDescent="0.25">
      <c r="A18" s="51"/>
      <c r="B18" s="53" t="s">
        <v>78</v>
      </c>
      <c r="C18" s="53" t="s">
        <v>223</v>
      </c>
      <c r="D18" s="52" t="s">
        <v>210</v>
      </c>
      <c r="E18" s="88">
        <f>IF((F17+F16-E16-E19+F19)&gt;0,(F17+F16-E16-E19+F19),0)</f>
        <v>0</v>
      </c>
      <c r="F18" s="88">
        <f>IF((F17+F16-E16-E19+F19)&lt;0,-(F17+F16-E16-E19+F19),0)</f>
        <v>60000</v>
      </c>
      <c r="G18" s="56"/>
    </row>
    <row r="19" spans="1:7" x14ac:dyDescent="0.25">
      <c r="A19" s="51"/>
      <c r="B19" s="53" t="s">
        <v>79</v>
      </c>
      <c r="C19" s="53" t="s">
        <v>223</v>
      </c>
      <c r="D19" s="52" t="s">
        <v>207</v>
      </c>
      <c r="E19" s="88">
        <f>'Bad Debt Detail &lt;-INPUT'!M69</f>
        <v>0</v>
      </c>
      <c r="F19" s="88">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9">
    <tabColor theme="9"/>
  </sheetPr>
  <dimension ref="A1:H25"/>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'CC Rev Entry'!F2</f>
        <v>Amato PT</v>
      </c>
      <c r="H2" s="31"/>
    </row>
    <row r="3" spans="1:8" x14ac:dyDescent="0.25">
      <c r="B3" s="35"/>
      <c r="E3" s="35"/>
      <c r="H3" s="31"/>
    </row>
    <row r="4" spans="1:8" ht="15.75" thickBot="1" x14ac:dyDescent="0.3">
      <c r="B4" s="35"/>
      <c r="D4" s="44" t="s">
        <v>66</v>
      </c>
      <c r="E4" s="45">
        <f>'CC Rev Entry'!F4</f>
        <v>45199</v>
      </c>
    </row>
    <row r="5" spans="1:8" x14ac:dyDescent="0.25">
      <c r="B5" s="35"/>
    </row>
    <row r="6" spans="1:8" ht="15.75" thickBot="1" x14ac:dyDescent="0.3">
      <c r="B6" s="35"/>
      <c r="D6" s="44" t="s">
        <v>67</v>
      </c>
      <c r="E6" s="43" t="s">
        <v>150</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111</v>
      </c>
      <c r="D12" s="88">
        <f>E13</f>
        <v>0</v>
      </c>
      <c r="E12" s="88">
        <f>D13</f>
        <v>0</v>
      </c>
    </row>
    <row r="13" spans="1:8" x14ac:dyDescent="0.25">
      <c r="A13" s="51"/>
      <c r="B13" s="52" t="s">
        <v>205</v>
      </c>
      <c r="C13" s="53" t="s">
        <v>112</v>
      </c>
      <c r="D13" s="88">
        <f>IF('RF by Location &lt;-INPUT'!E32+'RF by Location &lt;-INPUT'!F32+'RF by Location &lt;-INPUT'!G32&lt;0,-('RF by Location &lt;-INPUT'!E32+'RF by Location &lt;-INPUT'!F32+'RF by Location &lt;-INPUT'!G32),0)</f>
        <v>0</v>
      </c>
      <c r="E13" s="88">
        <f>IF('RF by Location &lt;-INPUT'!E32+'RF by Location &lt;-INPUT'!F32+'RF by Location &lt;-INPUT'!G32&gt;0,'RF by Location &lt;-INPUT'!E32+'RF by Location &lt;-INPUT'!F32+'RF by Location &lt;-INPUT'!G32,0)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50">
    <tabColor theme="9"/>
  </sheetPr>
  <dimension ref="A1:H31"/>
  <sheetViews>
    <sheetView workbookViewId="0"/>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Amato PT</v>
      </c>
      <c r="H2" s="31"/>
    </row>
    <row r="3" spans="1:8" x14ac:dyDescent="0.25">
      <c r="D3" s="35"/>
      <c r="F3" s="35"/>
      <c r="H3" s="31"/>
    </row>
    <row r="4" spans="1:8" ht="15.75" thickBot="1" x14ac:dyDescent="0.3">
      <c r="D4" s="35"/>
      <c r="E4" s="44" t="s">
        <v>66</v>
      </c>
      <c r="F4" s="97">
        <f>'Agile AR Aging &lt;-INPUT'!C20</f>
        <v>45199</v>
      </c>
    </row>
    <row r="5" spans="1:8" x14ac:dyDescent="0.25">
      <c r="D5" s="35"/>
    </row>
    <row r="6" spans="1:8" ht="15.75" thickBot="1" x14ac:dyDescent="0.3">
      <c r="D6" s="35"/>
      <c r="E6" s="44" t="s">
        <v>67</v>
      </c>
      <c r="F6" s="43" t="s">
        <v>150</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222</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223</v>
      </c>
      <c r="D12" s="52" t="s">
        <v>205</v>
      </c>
      <c r="E12" s="88">
        <f>F13</f>
        <v>0</v>
      </c>
      <c r="F12" s="88">
        <f>E13</f>
        <v>0</v>
      </c>
    </row>
    <row r="13" spans="1:8" x14ac:dyDescent="0.25">
      <c r="A13" s="51"/>
      <c r="B13" s="53" t="s">
        <v>151</v>
      </c>
      <c r="C13" s="53" t="s">
        <v>223</v>
      </c>
      <c r="D13" s="52" t="s">
        <v>206</v>
      </c>
      <c r="E13" s="88">
        <f>IF('RF by Location &lt;-INPUT'!C33&lt;0,-'RF by Location &lt;-INPUT'!C33,0)</f>
        <v>0</v>
      </c>
      <c r="F13" s="88">
        <f>IF('RF by Location &lt;-INPUT'!C33&gt;0,'RF by Location &lt;-INPUT'!C33,0)</f>
        <v>0</v>
      </c>
    </row>
    <row r="14" spans="1:8" x14ac:dyDescent="0.25">
      <c r="A14" s="51"/>
      <c r="B14" s="53" t="s">
        <v>76</v>
      </c>
      <c r="C14" s="53" t="s">
        <v>223</v>
      </c>
      <c r="D14" s="52" t="s">
        <v>207</v>
      </c>
      <c r="E14" s="88">
        <f>F15</f>
        <v>0</v>
      </c>
      <c r="F14" s="88">
        <f>E15</f>
        <v>60000</v>
      </c>
    </row>
    <row r="15" spans="1:8" x14ac:dyDescent="0.25">
      <c r="A15" s="51"/>
      <c r="B15" s="53" t="s">
        <v>20</v>
      </c>
      <c r="C15" s="53" t="s">
        <v>223</v>
      </c>
      <c r="D15" s="52" t="s">
        <v>208</v>
      </c>
      <c r="E15" s="88">
        <f>IF('Clinic 12'!M128&lt;0,-'Clinic 12'!M128,0)</f>
        <v>60000</v>
      </c>
      <c r="F15" s="88">
        <f>IF('Clinic 12'!M128&gt;0,'Clinic 12'!M128,0)</f>
        <v>0</v>
      </c>
    </row>
    <row r="16" spans="1:8" x14ac:dyDescent="0.25">
      <c r="A16" s="51"/>
      <c r="B16" s="53" t="s">
        <v>77</v>
      </c>
      <c r="C16" s="53" t="s">
        <v>223</v>
      </c>
      <c r="D16" s="52" t="s">
        <v>209</v>
      </c>
      <c r="E16" s="88">
        <f>IF('Clinic 12'!M66&lt;0,-'Clinic 12'!M66,0)</f>
        <v>60000</v>
      </c>
      <c r="F16" s="88">
        <f>IF('Clinic 12'!M66&gt;0,'Clinic 12'!M66,0)</f>
        <v>0</v>
      </c>
      <c r="G16" s="55"/>
    </row>
    <row r="17" spans="1:7" x14ac:dyDescent="0.25">
      <c r="A17" s="51"/>
      <c r="B17" s="53" t="s">
        <v>75</v>
      </c>
      <c r="C17" s="53" t="s">
        <v>223</v>
      </c>
      <c r="D17" s="52" t="s">
        <v>205</v>
      </c>
      <c r="E17" s="88">
        <f>IF('RF by Location &lt;-INPUT'!D33+'RF by Location &lt;-INPUT'!H33&lt;0,-('RF by Location &lt;-INPUT'!D33+'RF by Location &lt;-INPUT'!H33),0)</f>
        <v>0</v>
      </c>
      <c r="F17" s="88">
        <f>IF('RF by Location &lt;-INPUT'!D33+'RF by Location &lt;-INPUT'!H33&gt;0,'RF by Location &lt;-INPUT'!D33+'RF by Location &lt;-INPUT'!H33,0)</f>
        <v>0</v>
      </c>
      <c r="G17" s="24"/>
    </row>
    <row r="18" spans="1:7" x14ac:dyDescent="0.25">
      <c r="A18" s="51"/>
      <c r="B18" s="53" t="s">
        <v>78</v>
      </c>
      <c r="C18" s="53" t="s">
        <v>223</v>
      </c>
      <c r="D18" s="52" t="s">
        <v>210</v>
      </c>
      <c r="E18" s="88">
        <f>IF((F17+F16-E16-E19+F19)&gt;0,(F17+F16-E16-E19+F19),0)</f>
        <v>0</v>
      </c>
      <c r="F18" s="88">
        <f>IF((F17+F16-E16-E19+F19)&lt;0,-(F17+F16-E16-E19+F19),0)</f>
        <v>60000</v>
      </c>
      <c r="G18" s="56"/>
    </row>
    <row r="19" spans="1:7" x14ac:dyDescent="0.25">
      <c r="A19" s="51"/>
      <c r="B19" s="53" t="s">
        <v>79</v>
      </c>
      <c r="C19" s="53" t="s">
        <v>223</v>
      </c>
      <c r="D19" s="52" t="s">
        <v>207</v>
      </c>
      <c r="E19" s="88">
        <f>'Bad Debt Detail &lt;-INPUT'!N69</f>
        <v>0</v>
      </c>
      <c r="F19" s="88">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1">
    <tabColor theme="9"/>
  </sheetPr>
  <dimension ref="A1:H25"/>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'CC Rev Entry'!F2</f>
        <v>Amato PT</v>
      </c>
      <c r="H2" s="31"/>
    </row>
    <row r="3" spans="1:8" x14ac:dyDescent="0.25">
      <c r="B3" s="35"/>
      <c r="E3" s="35"/>
      <c r="H3" s="31"/>
    </row>
    <row r="4" spans="1:8" ht="15.75" thickBot="1" x14ac:dyDescent="0.3">
      <c r="B4" s="35"/>
      <c r="D4" s="44" t="s">
        <v>66</v>
      </c>
      <c r="E4" s="45">
        <f>'CC Rev Entry'!F4</f>
        <v>45199</v>
      </c>
    </row>
    <row r="5" spans="1:8" x14ac:dyDescent="0.25">
      <c r="B5" s="35"/>
    </row>
    <row r="6" spans="1:8" ht="15.75" thickBot="1" x14ac:dyDescent="0.3">
      <c r="B6" s="35"/>
      <c r="D6" s="44" t="s">
        <v>67</v>
      </c>
      <c r="E6" s="43" t="s">
        <v>150</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111</v>
      </c>
      <c r="D12" s="88">
        <f>E13</f>
        <v>0</v>
      </c>
      <c r="E12" s="88">
        <f>D13</f>
        <v>0</v>
      </c>
    </row>
    <row r="13" spans="1:8" x14ac:dyDescent="0.25">
      <c r="A13" s="51"/>
      <c r="B13" s="52" t="s">
        <v>205</v>
      </c>
      <c r="C13" s="53" t="s">
        <v>112</v>
      </c>
      <c r="D13" s="88">
        <f>IF('RF by Location &lt;-INPUT'!E33+'RF by Location &lt;-INPUT'!F33+'RF by Location &lt;-INPUT'!G33&lt;0,-('RF by Location &lt;-INPUT'!E33+'RF by Location &lt;-INPUT'!F33+'RF by Location &lt;-INPUT'!G33),0)</f>
        <v>0</v>
      </c>
      <c r="E13" s="88">
        <f>IF('RF by Location &lt;-INPUT'!E33+'RF by Location &lt;-INPUT'!F33+'RF by Location &lt;-INPUT'!G33&gt;0,'RF by Location &lt;-INPUT'!E33+'RF by Location &lt;-INPUT'!F33+'RF by Location &lt;-INPUT'!G33,0)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2">
    <tabColor theme="9"/>
  </sheetPr>
  <dimension ref="A1:H31"/>
  <sheetViews>
    <sheetView workbookViewId="0"/>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Amato PT</v>
      </c>
      <c r="H2" s="31"/>
    </row>
    <row r="3" spans="1:8" x14ac:dyDescent="0.25">
      <c r="D3" s="35"/>
      <c r="F3" s="35"/>
      <c r="H3" s="31"/>
    </row>
    <row r="4" spans="1:8" ht="15.75" thickBot="1" x14ac:dyDescent="0.3">
      <c r="D4" s="35"/>
      <c r="E4" s="44" t="s">
        <v>66</v>
      </c>
      <c r="F4" s="97">
        <f>'Agile AR Aging &lt;-INPUT'!C20</f>
        <v>45199</v>
      </c>
    </row>
    <row r="5" spans="1:8" x14ac:dyDescent="0.25">
      <c r="D5" s="35"/>
    </row>
    <row r="6" spans="1:8" ht="15.75" thickBot="1" x14ac:dyDescent="0.3">
      <c r="D6" s="35"/>
      <c r="E6" s="44" t="s">
        <v>67</v>
      </c>
      <c r="F6" s="43" t="s">
        <v>150</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222</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223</v>
      </c>
      <c r="D12" s="52" t="s">
        <v>205</v>
      </c>
      <c r="E12" s="88">
        <f>F13</f>
        <v>0</v>
      </c>
      <c r="F12" s="88">
        <f>E13</f>
        <v>0</v>
      </c>
    </row>
    <row r="13" spans="1:8" x14ac:dyDescent="0.25">
      <c r="A13" s="51"/>
      <c r="B13" s="53" t="s">
        <v>151</v>
      </c>
      <c r="C13" s="53" t="s">
        <v>223</v>
      </c>
      <c r="D13" s="52" t="s">
        <v>206</v>
      </c>
      <c r="E13" s="88">
        <f>IF('RF by Location &lt;-INPUT'!C34&lt;0,-'RF by Location &lt;-INPUT'!C34,0)</f>
        <v>0</v>
      </c>
      <c r="F13" s="88">
        <f>IF('RF by Location &lt;-INPUT'!C34&gt;0,'RF by Location &lt;-INPUT'!C34,0)</f>
        <v>0</v>
      </c>
    </row>
    <row r="14" spans="1:8" x14ac:dyDescent="0.25">
      <c r="A14" s="51"/>
      <c r="B14" s="53" t="s">
        <v>76</v>
      </c>
      <c r="C14" s="53" t="s">
        <v>223</v>
      </c>
      <c r="D14" s="52" t="s">
        <v>207</v>
      </c>
      <c r="E14" s="88">
        <f>F15</f>
        <v>0</v>
      </c>
      <c r="F14" s="88">
        <f>E15</f>
        <v>60000</v>
      </c>
    </row>
    <row r="15" spans="1:8" x14ac:dyDescent="0.25">
      <c r="A15" s="51"/>
      <c r="B15" s="53" t="s">
        <v>20</v>
      </c>
      <c r="C15" s="53" t="s">
        <v>223</v>
      </c>
      <c r="D15" s="52" t="s">
        <v>208</v>
      </c>
      <c r="E15" s="88">
        <f>IF('Clinic 13'!M128&lt;0,-'Clinic 13'!M128,0)</f>
        <v>60000</v>
      </c>
      <c r="F15" s="88">
        <f>IF('Clinic 13'!M128&gt;0,'Clinic 13'!M128,0)</f>
        <v>0</v>
      </c>
    </row>
    <row r="16" spans="1:8" x14ac:dyDescent="0.25">
      <c r="A16" s="51"/>
      <c r="B16" s="53" t="s">
        <v>77</v>
      </c>
      <c r="C16" s="53" t="s">
        <v>223</v>
      </c>
      <c r="D16" s="52" t="s">
        <v>209</v>
      </c>
      <c r="E16" s="88">
        <f>IF('Clinic 13'!M66&lt;0,-'Clinic 13'!M66,0)</f>
        <v>60000</v>
      </c>
      <c r="F16" s="88">
        <f>IF('Clinic 13'!M66&gt;0,'Clinic 13'!M66,0)</f>
        <v>0</v>
      </c>
      <c r="G16" s="55"/>
    </row>
    <row r="17" spans="1:7" x14ac:dyDescent="0.25">
      <c r="A17" s="51"/>
      <c r="B17" s="53" t="s">
        <v>75</v>
      </c>
      <c r="C17" s="53" t="s">
        <v>223</v>
      </c>
      <c r="D17" s="52" t="s">
        <v>205</v>
      </c>
      <c r="E17" s="88">
        <f>IF('RF by Location &lt;-INPUT'!D34+'RF by Location &lt;-INPUT'!H34&lt;0,-('RF by Location &lt;-INPUT'!D34+'RF by Location &lt;-INPUT'!H34),0)</f>
        <v>0</v>
      </c>
      <c r="F17" s="88">
        <f>IF('RF by Location &lt;-INPUT'!D34+'RF by Location &lt;-INPUT'!H34&gt;0,'RF by Location &lt;-INPUT'!D34+'RF by Location &lt;-INPUT'!H34,0)</f>
        <v>0</v>
      </c>
      <c r="G17" s="24"/>
    </row>
    <row r="18" spans="1:7" x14ac:dyDescent="0.25">
      <c r="A18" s="51"/>
      <c r="B18" s="53" t="s">
        <v>78</v>
      </c>
      <c r="C18" s="53" t="s">
        <v>223</v>
      </c>
      <c r="D18" s="52" t="s">
        <v>210</v>
      </c>
      <c r="E18" s="88">
        <f>IF((F17+F16-E16-E19+F19)&gt;0,(F17+F16-E16-E19+F19),0)</f>
        <v>0</v>
      </c>
      <c r="F18" s="88">
        <f>IF((F17+F16-E16-E19+F19)&lt;0,-(F17+F16-E16-E19+F19),0)</f>
        <v>60000</v>
      </c>
      <c r="G18" s="56"/>
    </row>
    <row r="19" spans="1:7" x14ac:dyDescent="0.25">
      <c r="A19" s="51"/>
      <c r="B19" s="53" t="s">
        <v>79</v>
      </c>
      <c r="C19" s="53" t="s">
        <v>223</v>
      </c>
      <c r="D19" s="52" t="s">
        <v>207</v>
      </c>
      <c r="E19" s="88">
        <f>'Bad Debt Detail &lt;-INPUT'!O69</f>
        <v>0</v>
      </c>
      <c r="F19" s="88">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3">
    <tabColor theme="9"/>
  </sheetPr>
  <dimension ref="A1:H25"/>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'CC Rev Entry'!F2</f>
        <v>Amato PT</v>
      </c>
      <c r="H2" s="31"/>
    </row>
    <row r="3" spans="1:8" x14ac:dyDescent="0.25">
      <c r="B3" s="35"/>
      <c r="E3" s="35"/>
      <c r="H3" s="31"/>
    </row>
    <row r="4" spans="1:8" ht="15.75" thickBot="1" x14ac:dyDescent="0.3">
      <c r="B4" s="35"/>
      <c r="D4" s="44" t="s">
        <v>66</v>
      </c>
      <c r="E4" s="45">
        <f>'CC Rev Entry'!F4</f>
        <v>45199</v>
      </c>
    </row>
    <row r="5" spans="1:8" x14ac:dyDescent="0.25">
      <c r="B5" s="35"/>
    </row>
    <row r="6" spans="1:8" ht="15.75" thickBot="1" x14ac:dyDescent="0.3">
      <c r="B6" s="35"/>
      <c r="D6" s="44" t="s">
        <v>67</v>
      </c>
      <c r="E6" s="43" t="s">
        <v>150</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111</v>
      </c>
      <c r="D12" s="88">
        <f>E13</f>
        <v>0</v>
      </c>
      <c r="E12" s="88">
        <f>D13</f>
        <v>0</v>
      </c>
    </row>
    <row r="13" spans="1:8" x14ac:dyDescent="0.25">
      <c r="A13" s="51"/>
      <c r="B13" s="52" t="s">
        <v>205</v>
      </c>
      <c r="C13" s="53" t="s">
        <v>112</v>
      </c>
      <c r="D13" s="88">
        <f>IF('RF by Location &lt;-INPUT'!E34+'RF by Location &lt;-INPUT'!F34+'RF by Location &lt;-INPUT'!G34&lt;0,-('RF by Location &lt;-INPUT'!E34+'RF by Location &lt;-INPUT'!F34+'RF by Location &lt;-INPUT'!G34),0)</f>
        <v>0</v>
      </c>
      <c r="E13" s="88">
        <f>IF('RF by Location &lt;-INPUT'!E34+'RF by Location &lt;-INPUT'!F34+'RF by Location &lt;-INPUT'!G34&gt;0,'RF by Location &lt;-INPUT'!E34+'RF by Location &lt;-INPUT'!F34+'RF by Location &lt;-INPUT'!G34,0)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4">
    <tabColor theme="9"/>
  </sheetPr>
  <dimension ref="A1:H31"/>
  <sheetViews>
    <sheetView workbookViewId="0"/>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Amato PT</v>
      </c>
      <c r="H2" s="31"/>
    </row>
    <row r="3" spans="1:8" x14ac:dyDescent="0.25">
      <c r="D3" s="35"/>
      <c r="F3" s="35"/>
      <c r="H3" s="31"/>
    </row>
    <row r="4" spans="1:8" ht="15.75" thickBot="1" x14ac:dyDescent="0.3">
      <c r="D4" s="35"/>
      <c r="E4" s="44" t="s">
        <v>66</v>
      </c>
      <c r="F4" s="97">
        <f>'Agile AR Aging &lt;-INPUT'!C20</f>
        <v>45199</v>
      </c>
    </row>
    <row r="5" spans="1:8" x14ac:dyDescent="0.25">
      <c r="D5" s="35"/>
    </row>
    <row r="6" spans="1:8" ht="15.75" thickBot="1" x14ac:dyDescent="0.3">
      <c r="D6" s="35"/>
      <c r="E6" s="44" t="s">
        <v>67</v>
      </c>
      <c r="F6" s="43" t="s">
        <v>150</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222</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223</v>
      </c>
      <c r="D12" s="52" t="s">
        <v>205</v>
      </c>
      <c r="E12" s="88">
        <f>F13</f>
        <v>0</v>
      </c>
      <c r="F12" s="88">
        <f>E13</f>
        <v>0</v>
      </c>
    </row>
    <row r="13" spans="1:8" x14ac:dyDescent="0.25">
      <c r="A13" s="51"/>
      <c r="B13" s="53" t="s">
        <v>151</v>
      </c>
      <c r="C13" s="53" t="s">
        <v>223</v>
      </c>
      <c r="D13" s="52" t="s">
        <v>206</v>
      </c>
      <c r="E13" s="88">
        <f>IF('RF by Location &lt;-INPUT'!C35&lt;0,-'RF by Location &lt;-INPUT'!C35,0)</f>
        <v>0</v>
      </c>
      <c r="F13" s="88">
        <f>IF('RF by Location &lt;-INPUT'!C35&gt;0,'RF by Location &lt;-INPUT'!C35,0)</f>
        <v>0</v>
      </c>
    </row>
    <row r="14" spans="1:8" x14ac:dyDescent="0.25">
      <c r="A14" s="51"/>
      <c r="B14" s="53" t="s">
        <v>76</v>
      </c>
      <c r="C14" s="53" t="s">
        <v>223</v>
      </c>
      <c r="D14" s="52" t="s">
        <v>207</v>
      </c>
      <c r="E14" s="88">
        <f>F15</f>
        <v>0</v>
      </c>
      <c r="F14" s="88">
        <f>E15</f>
        <v>60000</v>
      </c>
    </row>
    <row r="15" spans="1:8" x14ac:dyDescent="0.25">
      <c r="A15" s="51"/>
      <c r="B15" s="53" t="s">
        <v>20</v>
      </c>
      <c r="C15" s="53" t="s">
        <v>223</v>
      </c>
      <c r="D15" s="52" t="s">
        <v>208</v>
      </c>
      <c r="E15" s="88">
        <f>IF('Clinic 14'!M128&lt;0,-'Clinic 14'!M128,0)</f>
        <v>60000</v>
      </c>
      <c r="F15" s="88">
        <f>IF('Clinic 14'!M128&gt;0,'Clinic 14'!M128,0)</f>
        <v>0</v>
      </c>
    </row>
    <row r="16" spans="1:8" x14ac:dyDescent="0.25">
      <c r="A16" s="51"/>
      <c r="B16" s="53" t="s">
        <v>77</v>
      </c>
      <c r="C16" s="53" t="s">
        <v>223</v>
      </c>
      <c r="D16" s="52" t="s">
        <v>209</v>
      </c>
      <c r="E16" s="88">
        <f>IF('Clinic 14'!M66&lt;0,-'Clinic 14'!M66,0)</f>
        <v>60000</v>
      </c>
      <c r="F16" s="88">
        <f>IF('Clinic 14'!M66&gt;0,'Clinic 14'!M66,0)</f>
        <v>0</v>
      </c>
      <c r="G16" s="55"/>
    </row>
    <row r="17" spans="1:7" x14ac:dyDescent="0.25">
      <c r="A17" s="51"/>
      <c r="B17" s="53" t="s">
        <v>75</v>
      </c>
      <c r="C17" s="53" t="s">
        <v>223</v>
      </c>
      <c r="D17" s="52" t="s">
        <v>205</v>
      </c>
      <c r="E17" s="88">
        <f>IF('RF by Location &lt;-INPUT'!D35+'RF by Location &lt;-INPUT'!H35&lt;0,-('RF by Location &lt;-INPUT'!D35+'RF by Location &lt;-INPUT'!H35),0)</f>
        <v>0</v>
      </c>
      <c r="F17" s="88">
        <f>IF('RF by Location &lt;-INPUT'!D35+'RF by Location &lt;-INPUT'!H35&gt;0,'RF by Location &lt;-INPUT'!D35+'RF by Location &lt;-INPUT'!H35,0)</f>
        <v>0</v>
      </c>
      <c r="G17" s="24"/>
    </row>
    <row r="18" spans="1:7" x14ac:dyDescent="0.25">
      <c r="A18" s="51"/>
      <c r="B18" s="53" t="s">
        <v>78</v>
      </c>
      <c r="C18" s="53" t="s">
        <v>223</v>
      </c>
      <c r="D18" s="52" t="s">
        <v>210</v>
      </c>
      <c r="E18" s="88">
        <f>IF((F17+F16-E16-E19+F19)&gt;0,(F17+F16-E16-E19+F19),0)</f>
        <v>0</v>
      </c>
      <c r="F18" s="88">
        <f>IF((F17+F16-E16-E19+F19)&lt;0,-(F17+F16-E16-E19+F19),0)</f>
        <v>60000</v>
      </c>
      <c r="G18" s="56"/>
    </row>
    <row r="19" spans="1:7" x14ac:dyDescent="0.25">
      <c r="A19" s="51"/>
      <c r="B19" s="53" t="s">
        <v>79</v>
      </c>
      <c r="C19" s="53" t="s">
        <v>223</v>
      </c>
      <c r="D19" s="52" t="s">
        <v>207</v>
      </c>
      <c r="E19" s="88">
        <f>'Bad Debt Detail &lt;-INPUT'!P69</f>
        <v>0</v>
      </c>
      <c r="F19" s="88">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5">
    <tabColor theme="9"/>
  </sheetPr>
  <dimension ref="A1:H25"/>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'CC Rev Entry'!F2</f>
        <v>Amato PT</v>
      </c>
      <c r="H2" s="31"/>
    </row>
    <row r="3" spans="1:8" x14ac:dyDescent="0.25">
      <c r="B3" s="35"/>
      <c r="E3" s="35"/>
      <c r="H3" s="31"/>
    </row>
    <row r="4" spans="1:8" ht="15.75" thickBot="1" x14ac:dyDescent="0.3">
      <c r="B4" s="35"/>
      <c r="D4" s="44" t="s">
        <v>66</v>
      </c>
      <c r="E4" s="45">
        <f>'CC Rev Entry'!F4</f>
        <v>45199</v>
      </c>
    </row>
    <row r="5" spans="1:8" x14ac:dyDescent="0.25">
      <c r="B5" s="35"/>
    </row>
    <row r="6" spans="1:8" ht="15.75" thickBot="1" x14ac:dyDescent="0.3">
      <c r="B6" s="35"/>
      <c r="D6" s="44" t="s">
        <v>67</v>
      </c>
      <c r="E6" s="43" t="s">
        <v>150</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111</v>
      </c>
      <c r="D12" s="88">
        <f>E13</f>
        <v>0</v>
      </c>
      <c r="E12" s="88">
        <f>D13</f>
        <v>0</v>
      </c>
    </row>
    <row r="13" spans="1:8" x14ac:dyDescent="0.25">
      <c r="A13" s="51"/>
      <c r="B13" s="52" t="s">
        <v>205</v>
      </c>
      <c r="C13" s="53" t="s">
        <v>112</v>
      </c>
      <c r="D13" s="88">
        <f>IF('RF by Location &lt;-INPUT'!E35+'RF by Location &lt;-INPUT'!F35+'RF by Location &lt;-INPUT'!G35&lt;0,-('RF by Location &lt;-INPUT'!E35+'RF by Location &lt;-INPUT'!F35+'RF by Location &lt;-INPUT'!G35),0)</f>
        <v>0</v>
      </c>
      <c r="E13" s="88">
        <f>IF('RF by Location &lt;-INPUT'!E35+'RF by Location &lt;-INPUT'!F35+'RF by Location &lt;-INPUT'!G35&gt;0,'RF by Location &lt;-INPUT'!E35+'RF by Location &lt;-INPUT'!F35+'RF by Location &lt;-INPUT'!G35,0)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6">
    <tabColor theme="9"/>
  </sheetPr>
  <dimension ref="A1:H31"/>
  <sheetViews>
    <sheetView workbookViewId="0"/>
  </sheetViews>
  <sheetFormatPr defaultColWidth="9.140625" defaultRowHeight="15" x14ac:dyDescent="0.25"/>
  <cols>
    <col min="1" max="1" width="18.7109375" customWidth="1"/>
    <col min="2" max="3" width="22.7109375" customWidth="1"/>
    <col min="4" max="4" width="15.7109375" customWidth="1"/>
    <col min="5" max="6" width="18.7109375" customWidth="1"/>
  </cols>
  <sheetData>
    <row r="1" spans="1:8" x14ac:dyDescent="0.25">
      <c r="D1" s="35"/>
      <c r="G1" s="64"/>
      <c r="H1" s="31"/>
    </row>
    <row r="2" spans="1:8" ht="15.75" thickBot="1" x14ac:dyDescent="0.3">
      <c r="D2" s="35"/>
      <c r="E2" s="44" t="s">
        <v>65</v>
      </c>
      <c r="F2" s="43" t="str">
        <f>'Reimbursement Rates &lt;-INPUT'!A2</f>
        <v>Amato PT</v>
      </c>
      <c r="H2" s="31"/>
    </row>
    <row r="3" spans="1:8" x14ac:dyDescent="0.25">
      <c r="D3" s="35"/>
      <c r="F3" s="35"/>
      <c r="H3" s="31"/>
    </row>
    <row r="4" spans="1:8" ht="15.75" thickBot="1" x14ac:dyDescent="0.3">
      <c r="D4" s="35"/>
      <c r="E4" s="44" t="s">
        <v>66</v>
      </c>
      <c r="F4" s="97">
        <f>'Agile AR Aging &lt;-INPUT'!C20</f>
        <v>45199</v>
      </c>
    </row>
    <row r="5" spans="1:8" x14ac:dyDescent="0.25">
      <c r="D5" s="35"/>
    </row>
    <row r="6" spans="1:8" ht="15.75" thickBot="1" x14ac:dyDescent="0.3">
      <c r="D6" s="35"/>
      <c r="E6" s="44" t="s">
        <v>67</v>
      </c>
      <c r="F6" s="43" t="s">
        <v>150</v>
      </c>
    </row>
    <row r="7" spans="1:8" ht="18" x14ac:dyDescent="0.25">
      <c r="A7" s="46" t="s">
        <v>68</v>
      </c>
      <c r="B7" s="46"/>
      <c r="D7" s="35"/>
    </row>
    <row r="8" spans="1:8" ht="15.75" thickBot="1" x14ac:dyDescent="0.3">
      <c r="D8" s="35"/>
      <c r="E8" s="44" t="s">
        <v>69</v>
      </c>
      <c r="F8" s="47"/>
    </row>
    <row r="9" spans="1:8" x14ac:dyDescent="0.25">
      <c r="D9" s="35"/>
      <c r="F9" t="s">
        <v>53</v>
      </c>
    </row>
    <row r="10" spans="1:8" x14ac:dyDescent="0.25">
      <c r="A10" s="48" t="s">
        <v>70</v>
      </c>
      <c r="B10" s="48" t="s">
        <v>222</v>
      </c>
      <c r="C10" s="49" t="s">
        <v>72</v>
      </c>
      <c r="D10" s="49" t="s">
        <v>71</v>
      </c>
      <c r="E10" s="49" t="s">
        <v>73</v>
      </c>
      <c r="F10" s="49" t="s">
        <v>74</v>
      </c>
      <c r="G10" s="50"/>
    </row>
    <row r="11" spans="1:8" x14ac:dyDescent="0.25">
      <c r="A11" s="51"/>
      <c r="B11" s="51"/>
      <c r="C11" s="53"/>
      <c r="D11" s="52"/>
      <c r="E11" s="54"/>
      <c r="F11" s="54"/>
    </row>
    <row r="12" spans="1:8" x14ac:dyDescent="0.25">
      <c r="A12" s="51">
        <f>F4</f>
        <v>45199</v>
      </c>
      <c r="B12" s="53" t="s">
        <v>75</v>
      </c>
      <c r="C12" s="53" t="s">
        <v>223</v>
      </c>
      <c r="D12" s="52" t="s">
        <v>205</v>
      </c>
      <c r="E12" s="88">
        <f>F13</f>
        <v>0</v>
      </c>
      <c r="F12" s="88">
        <f>E13</f>
        <v>0</v>
      </c>
    </row>
    <row r="13" spans="1:8" x14ac:dyDescent="0.25">
      <c r="A13" s="51"/>
      <c r="B13" s="53" t="s">
        <v>151</v>
      </c>
      <c r="C13" s="53" t="s">
        <v>223</v>
      </c>
      <c r="D13" s="52" t="s">
        <v>206</v>
      </c>
      <c r="E13" s="88">
        <f>IF('RF by Location &lt;-INPUT'!C36&lt;0,-'RF by Location &lt;-INPUT'!C36,0)</f>
        <v>0</v>
      </c>
      <c r="F13" s="88">
        <f>IF('RF by Location &lt;-INPUT'!C36&gt;0,'RF by Location &lt;-INPUT'!C36,0)</f>
        <v>0</v>
      </c>
    </row>
    <row r="14" spans="1:8" x14ac:dyDescent="0.25">
      <c r="A14" s="51"/>
      <c r="B14" s="53" t="s">
        <v>76</v>
      </c>
      <c r="C14" s="53" t="s">
        <v>223</v>
      </c>
      <c r="D14" s="52" t="s">
        <v>207</v>
      </c>
      <c r="E14" s="88">
        <f>F15</f>
        <v>0</v>
      </c>
      <c r="F14" s="88">
        <f>E15</f>
        <v>60000</v>
      </c>
    </row>
    <row r="15" spans="1:8" x14ac:dyDescent="0.25">
      <c r="A15" s="51"/>
      <c r="B15" s="53" t="s">
        <v>20</v>
      </c>
      <c r="C15" s="53" t="s">
        <v>223</v>
      </c>
      <c r="D15" s="52" t="s">
        <v>208</v>
      </c>
      <c r="E15" s="88">
        <f>IF('Clinic 15'!M128&lt;0,-'Clinic 15'!M128,0)</f>
        <v>60000</v>
      </c>
      <c r="F15" s="88">
        <f>IF('Clinic 15'!M128&gt;0,'Clinic 15'!M128,0)</f>
        <v>0</v>
      </c>
    </row>
    <row r="16" spans="1:8" x14ac:dyDescent="0.25">
      <c r="A16" s="51"/>
      <c r="B16" s="53" t="s">
        <v>77</v>
      </c>
      <c r="C16" s="53" t="s">
        <v>223</v>
      </c>
      <c r="D16" s="52" t="s">
        <v>209</v>
      </c>
      <c r="E16" s="88">
        <f>IF('Clinic 15'!M66&lt;0,-'Clinic 15'!M66,0)</f>
        <v>60000</v>
      </c>
      <c r="F16" s="88">
        <f>IF('Clinic 15'!M66&gt;0,'Clinic 15'!M66,0)</f>
        <v>0</v>
      </c>
      <c r="G16" s="55"/>
    </row>
    <row r="17" spans="1:7" x14ac:dyDescent="0.25">
      <c r="A17" s="51"/>
      <c r="B17" s="53" t="s">
        <v>75</v>
      </c>
      <c r="C17" s="53" t="s">
        <v>223</v>
      </c>
      <c r="D17" s="52" t="s">
        <v>205</v>
      </c>
      <c r="E17" s="88">
        <f>IF('RF by Location &lt;-INPUT'!D36+'RF by Location &lt;-INPUT'!H36&lt;0,-('RF by Location &lt;-INPUT'!D36+'RF by Location &lt;-INPUT'!H36),0)</f>
        <v>0</v>
      </c>
      <c r="F17" s="88">
        <f>IF('RF by Location &lt;-INPUT'!D36+'RF by Location &lt;-INPUT'!H36&gt;0,'RF by Location &lt;-INPUT'!D36+'RF by Location &lt;-INPUT'!H36,0)</f>
        <v>0</v>
      </c>
      <c r="G17" s="24"/>
    </row>
    <row r="18" spans="1:7" x14ac:dyDescent="0.25">
      <c r="A18" s="51"/>
      <c r="B18" s="53" t="s">
        <v>78</v>
      </c>
      <c r="C18" s="53" t="s">
        <v>223</v>
      </c>
      <c r="D18" s="52" t="s">
        <v>210</v>
      </c>
      <c r="E18" s="88">
        <f>IF((F17+F16-E16-E19+F19)&gt;0,(F17+F16-E16-E19+F19),0)</f>
        <v>0</v>
      </c>
      <c r="F18" s="88">
        <f>IF((F17+F16-E16-E19+F19)&lt;0,-(F17+F16-E16-E19+F19),0)</f>
        <v>60000</v>
      </c>
      <c r="G18" s="56"/>
    </row>
    <row r="19" spans="1:7" x14ac:dyDescent="0.25">
      <c r="A19" s="51"/>
      <c r="B19" s="53" t="s">
        <v>79</v>
      </c>
      <c r="C19" s="53" t="s">
        <v>223</v>
      </c>
      <c r="D19" s="52" t="s">
        <v>207</v>
      </c>
      <c r="E19" s="88">
        <f>'Bad Debt Detail &lt;-INPUT'!Q69</f>
        <v>0</v>
      </c>
      <c r="F19" s="88">
        <v>0</v>
      </c>
    </row>
    <row r="20" spans="1:7" x14ac:dyDescent="0.25">
      <c r="A20" s="51"/>
      <c r="B20" s="51"/>
      <c r="C20" s="53"/>
      <c r="D20" s="52"/>
      <c r="E20" s="54"/>
      <c r="F20" s="54"/>
    </row>
    <row r="21" spans="1:7" x14ac:dyDescent="0.25">
      <c r="A21" s="51"/>
      <c r="B21" s="51"/>
      <c r="C21" s="53"/>
      <c r="D21" s="52"/>
      <c r="E21" s="54"/>
      <c r="F21" s="54"/>
    </row>
    <row r="22" spans="1:7" x14ac:dyDescent="0.25">
      <c r="A22" s="52"/>
      <c r="B22" s="52"/>
      <c r="C22" s="53"/>
      <c r="D22" s="52"/>
      <c r="E22" s="54"/>
      <c r="F22" s="54"/>
    </row>
    <row r="23" spans="1:7" x14ac:dyDescent="0.25">
      <c r="C23" s="57" t="s">
        <v>80</v>
      </c>
      <c r="D23" s="35"/>
      <c r="E23" s="58">
        <f>SUM(E11:E22)</f>
        <v>120000</v>
      </c>
      <c r="F23" s="58">
        <f>SUM(F11:F22)</f>
        <v>120000</v>
      </c>
    </row>
    <row r="24" spans="1:7" x14ac:dyDescent="0.25">
      <c r="D24" s="35"/>
    </row>
    <row r="25" spans="1:7" x14ac:dyDescent="0.25">
      <c r="A25" s="44" t="s">
        <v>81</v>
      </c>
      <c r="B25" s="44"/>
      <c r="D25" s="35"/>
    </row>
    <row r="26" spans="1:7" x14ac:dyDescent="0.25">
      <c r="C26" s="15"/>
      <c r="D26" s="59"/>
      <c r="E26" s="15"/>
    </row>
    <row r="27" spans="1:7" x14ac:dyDescent="0.25">
      <c r="C27" s="61"/>
      <c r="D27" s="60"/>
      <c r="E27" s="61"/>
    </row>
    <row r="28" spans="1:7" x14ac:dyDescent="0.25">
      <c r="C28" s="61"/>
      <c r="D28" s="60"/>
      <c r="E28" s="61"/>
    </row>
    <row r="29" spans="1:7" x14ac:dyDescent="0.25">
      <c r="D29" s="35"/>
    </row>
    <row r="30" spans="1:7" x14ac:dyDescent="0.25">
      <c r="A30" s="62" t="s">
        <v>82</v>
      </c>
      <c r="B30" s="62"/>
      <c r="D30" s="63"/>
    </row>
    <row r="31" spans="1:7" x14ac:dyDescent="0.25">
      <c r="A31" s="65" t="s">
        <v>83</v>
      </c>
      <c r="B31" s="65"/>
      <c r="D31" s="61"/>
    </row>
  </sheetData>
  <pageMargins left="0.7" right="0.7" top="0.75" bottom="0.75" header="0.3" footer="0.3"/>
  <pageSetup scale="77"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7">
    <tabColor theme="9"/>
  </sheetPr>
  <dimension ref="A1:H25"/>
  <sheetViews>
    <sheetView workbookViewId="0"/>
  </sheetViews>
  <sheetFormatPr defaultColWidth="9.140625" defaultRowHeight="15" x14ac:dyDescent="0.25"/>
  <cols>
    <col min="1" max="1" width="18.7109375" customWidth="1"/>
    <col min="2" max="2" width="15.7109375" customWidth="1"/>
    <col min="3" max="3" width="30.7109375" customWidth="1"/>
    <col min="4" max="5" width="18.7109375" customWidth="1"/>
  </cols>
  <sheetData>
    <row r="1" spans="1:8" x14ac:dyDescent="0.25">
      <c r="B1" s="35"/>
      <c r="F1" s="64"/>
      <c r="H1" s="31"/>
    </row>
    <row r="2" spans="1:8" ht="15.75" thickBot="1" x14ac:dyDescent="0.3">
      <c r="B2" s="35"/>
      <c r="D2" s="44" t="s">
        <v>65</v>
      </c>
      <c r="E2" s="43" t="str">
        <f>'CC Rev Entry'!F2</f>
        <v>Amato PT</v>
      </c>
      <c r="H2" s="31"/>
    </row>
    <row r="3" spans="1:8" x14ac:dyDescent="0.25">
      <c r="B3" s="35"/>
      <c r="E3" s="35"/>
      <c r="H3" s="31"/>
    </row>
    <row r="4" spans="1:8" ht="15.75" thickBot="1" x14ac:dyDescent="0.3">
      <c r="B4" s="35"/>
      <c r="D4" s="44" t="s">
        <v>66</v>
      </c>
      <c r="E4" s="45">
        <f>'CC Rev Entry'!F4</f>
        <v>45199</v>
      </c>
    </row>
    <row r="5" spans="1:8" x14ac:dyDescent="0.25">
      <c r="B5" s="35"/>
    </row>
    <row r="6" spans="1:8" ht="15.75" thickBot="1" x14ac:dyDescent="0.3">
      <c r="B6" s="35"/>
      <c r="D6" s="44" t="s">
        <v>67</v>
      </c>
      <c r="E6" s="43" t="s">
        <v>150</v>
      </c>
    </row>
    <row r="7" spans="1:8" ht="18" x14ac:dyDescent="0.25">
      <c r="A7" s="46" t="s">
        <v>68</v>
      </c>
      <c r="B7" s="35"/>
    </row>
    <row r="8" spans="1:8" ht="15.75" thickBot="1" x14ac:dyDescent="0.3">
      <c r="B8" s="35"/>
      <c r="D8" s="44" t="s">
        <v>69</v>
      </c>
      <c r="E8" s="47"/>
    </row>
    <row r="9" spans="1:8" x14ac:dyDescent="0.25">
      <c r="B9" s="35"/>
      <c r="E9" t="s">
        <v>53</v>
      </c>
    </row>
    <row r="10" spans="1:8" x14ac:dyDescent="0.25">
      <c r="A10" s="48" t="s">
        <v>70</v>
      </c>
      <c r="B10" s="49" t="s">
        <v>71</v>
      </c>
      <c r="C10" s="49" t="s">
        <v>72</v>
      </c>
      <c r="D10" s="49" t="s">
        <v>73</v>
      </c>
      <c r="E10" s="49" t="s">
        <v>74</v>
      </c>
      <c r="F10" s="50"/>
    </row>
    <row r="11" spans="1:8" x14ac:dyDescent="0.25">
      <c r="A11" s="51"/>
      <c r="B11" s="52"/>
      <c r="C11" s="53"/>
      <c r="D11" s="54"/>
      <c r="E11" s="54"/>
    </row>
    <row r="12" spans="1:8" x14ac:dyDescent="0.25">
      <c r="A12" s="51">
        <f>E4</f>
        <v>45199</v>
      </c>
      <c r="B12" s="52" t="s">
        <v>45</v>
      </c>
      <c r="C12" s="53" t="s">
        <v>111</v>
      </c>
      <c r="D12" s="88">
        <f>E13</f>
        <v>0</v>
      </c>
      <c r="E12" s="88">
        <f>D13</f>
        <v>0</v>
      </c>
    </row>
    <row r="13" spans="1:8" x14ac:dyDescent="0.25">
      <c r="A13" s="51"/>
      <c r="B13" s="52" t="s">
        <v>205</v>
      </c>
      <c r="C13" s="53" t="s">
        <v>112</v>
      </c>
      <c r="D13" s="88">
        <f>IF('RF by Location &lt;-INPUT'!E36+'RF by Location &lt;-INPUT'!F36+'RF by Location &lt;-INPUT'!G36&lt;0,-('RF by Location &lt;-INPUT'!E36+'RF by Location &lt;-INPUT'!F36+'RF by Location &lt;-INPUT'!G36),0)</f>
        <v>0</v>
      </c>
      <c r="E13" s="88">
        <f>IF('RF by Location &lt;-INPUT'!E36+'RF by Location &lt;-INPUT'!F36+'RF by Location &lt;-INPUT'!G36&gt;0,'RF by Location &lt;-INPUT'!E36+'RF by Location &lt;-INPUT'!F36+'RF by Location &lt;-INPUT'!G36,0)</f>
        <v>0</v>
      </c>
    </row>
    <row r="14" spans="1:8" x14ac:dyDescent="0.25">
      <c r="A14" s="51"/>
      <c r="B14" s="52"/>
      <c r="C14" s="53"/>
      <c r="D14" s="54"/>
      <c r="E14" s="54"/>
    </row>
    <row r="15" spans="1:8" x14ac:dyDescent="0.25">
      <c r="A15" s="51"/>
      <c r="B15" s="52"/>
      <c r="C15" s="53"/>
      <c r="D15" s="54"/>
      <c r="E15" s="54"/>
    </row>
    <row r="16" spans="1:8" x14ac:dyDescent="0.25">
      <c r="A16" s="52"/>
      <c r="B16" s="52"/>
      <c r="C16" s="53"/>
      <c r="D16" s="54"/>
      <c r="E16" s="54"/>
    </row>
    <row r="17" spans="1:5" x14ac:dyDescent="0.25">
      <c r="B17" s="35"/>
      <c r="C17" s="57" t="s">
        <v>80</v>
      </c>
      <c r="D17" s="58">
        <f>SUM(D11:D16)</f>
        <v>0</v>
      </c>
      <c r="E17" s="58">
        <f>SUM(E11:E16)</f>
        <v>0</v>
      </c>
    </row>
    <row r="18" spans="1:5" x14ac:dyDescent="0.25">
      <c r="B18" s="35"/>
    </row>
    <row r="19" spans="1:5" x14ac:dyDescent="0.25">
      <c r="A19" s="44" t="s">
        <v>81</v>
      </c>
      <c r="B19" s="35"/>
    </row>
    <row r="20" spans="1:5" x14ac:dyDescent="0.25">
      <c r="B20" s="59"/>
      <c r="C20" s="15"/>
      <c r="D20" s="15"/>
    </row>
    <row r="21" spans="1:5" x14ac:dyDescent="0.25">
      <c r="B21" s="60"/>
      <c r="C21" s="61"/>
      <c r="D21" s="61"/>
    </row>
    <row r="22" spans="1:5" x14ac:dyDescent="0.25">
      <c r="B22" s="60"/>
      <c r="C22" s="61"/>
      <c r="D22" s="61"/>
    </row>
    <row r="23" spans="1:5" x14ac:dyDescent="0.25">
      <c r="B23" s="35"/>
    </row>
    <row r="24" spans="1:5" x14ac:dyDescent="0.25">
      <c r="A24" s="62" t="s">
        <v>82</v>
      </c>
      <c r="B24" s="63"/>
    </row>
    <row r="25" spans="1:5" x14ac:dyDescent="0.25">
      <c r="A25" s="65" t="s">
        <v>83</v>
      </c>
      <c r="B25" s="61"/>
    </row>
  </sheetData>
  <pageMargins left="0.7" right="0.7" top="0.75" bottom="0.75" header="0.3" footer="0.3"/>
  <pageSetup scale="88"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57</vt:i4>
      </vt:variant>
    </vt:vector>
  </HeadingPairs>
  <TitlesOfParts>
    <vt:vector size="57" baseType="lpstr">
      <vt:lpstr>Company Summary</vt:lpstr>
      <vt:lpstr>Creve Coeur</vt:lpstr>
      <vt:lpstr>SSOR Summary Unposted Money</vt:lpstr>
      <vt:lpstr>CWE</vt:lpstr>
      <vt:lpstr>Clinic 3</vt:lpstr>
      <vt:lpstr>Clinic 4</vt:lpstr>
      <vt:lpstr>Clinic 5</vt:lpstr>
      <vt:lpstr>Clinic 6</vt:lpstr>
      <vt:lpstr>Clinic 7</vt:lpstr>
      <vt:lpstr>Clinic 8</vt:lpstr>
      <vt:lpstr>Clinic 9</vt:lpstr>
      <vt:lpstr>Clinic 10</vt:lpstr>
      <vt:lpstr>Clinic 11</vt:lpstr>
      <vt:lpstr>Clinic 12</vt:lpstr>
      <vt:lpstr>Clinic 13</vt:lpstr>
      <vt:lpstr>Clinic 14</vt:lpstr>
      <vt:lpstr>Clinic 15</vt:lpstr>
      <vt:lpstr>Reimbursement Rates &lt;-INPUT</vt:lpstr>
      <vt:lpstr>Agile AR Aging &lt;-INPUT</vt:lpstr>
      <vt:lpstr>RF by Location &lt;-INPUT</vt:lpstr>
      <vt:lpstr>RF by Payor &lt;-INPUT</vt:lpstr>
      <vt:lpstr>Bad Debt Detail &lt;-INPUT</vt:lpstr>
      <vt:lpstr>Credit Bal Entry</vt:lpstr>
      <vt:lpstr>Summary Cash Entry</vt:lpstr>
      <vt:lpstr>CC Cash Entry</vt:lpstr>
      <vt:lpstr>Summary Rev Entry</vt:lpstr>
      <vt:lpstr>CC Rev Entry</vt:lpstr>
      <vt:lpstr>CWE Rev Entry</vt:lpstr>
      <vt:lpstr>CurrentMonthTransactionData</vt:lpstr>
      <vt:lpstr>CurrentMonthAgingData</vt:lpstr>
      <vt:lpstr>CWE Cash Entry</vt:lpstr>
      <vt:lpstr>Clinic 3 1-16 Rev Entry</vt:lpstr>
      <vt:lpstr>Clinic 3 1-16 Cash Entry</vt:lpstr>
      <vt:lpstr>Clinic 4 1-16 Rev Entry</vt:lpstr>
      <vt:lpstr>Clinic 4 1-16 Cash Entry</vt:lpstr>
      <vt:lpstr>Clinic 5 1-16 Rev Entry</vt:lpstr>
      <vt:lpstr>Clinic 5 1-16 Cash Entry</vt:lpstr>
      <vt:lpstr>Clinic 6 1-16 Rev Entry</vt:lpstr>
      <vt:lpstr>Clinic 6 1-16 Cash Entry</vt:lpstr>
      <vt:lpstr>Clinic 7 1-16 Rev Entry</vt:lpstr>
      <vt:lpstr>Clinic 7 1-16 Cash Entry</vt:lpstr>
      <vt:lpstr>Clinic 8 1-16 Rev Entry</vt:lpstr>
      <vt:lpstr>Clinic 8 1-16 Cash Entry</vt:lpstr>
      <vt:lpstr>Clinic 9 1-16 Rev Entry</vt:lpstr>
      <vt:lpstr>Clinic 9 1-16 Cash Entry</vt:lpstr>
      <vt:lpstr>Clinic 10 1-16 Rev Entry</vt:lpstr>
      <vt:lpstr>Clinic 10 1-16 Cash Entry</vt:lpstr>
      <vt:lpstr>Clinic 11 1-16 Rev Entry</vt:lpstr>
      <vt:lpstr>Clinic 11 1-16 Cash Entry</vt:lpstr>
      <vt:lpstr>Clinic 12 1-16 Rev Entry</vt:lpstr>
      <vt:lpstr>Clinic 12 1-16 Cash Entry</vt:lpstr>
      <vt:lpstr>Clinic 13 1-16 Rev Entry</vt:lpstr>
      <vt:lpstr>Clinic 13 1-16 Cash Entry</vt:lpstr>
      <vt:lpstr>Clinic 14 1-16 Rev Entry</vt:lpstr>
      <vt:lpstr>Clinic 14 1-16 Cash Entry</vt:lpstr>
      <vt:lpstr>Clinic 15 1-16 Rev Entry</vt:lpstr>
      <vt:lpstr>Clinic 15 1-16 Cash Entry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Jolman</dc:creator>
  <cp:lastModifiedBy>Bill Westers</cp:lastModifiedBy>
  <cp:lastPrinted>2018-09-10T20:05:12Z</cp:lastPrinted>
  <dcterms:created xsi:type="dcterms:W3CDTF">2011-06-21T16:39:11Z</dcterms:created>
  <dcterms:modified xsi:type="dcterms:W3CDTF">2023-10-04T15:15:59Z</dcterms:modified>
</cp:coreProperties>
</file>